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Excel Folder\"/>
    </mc:Choice>
  </mc:AlternateContent>
  <xr:revisionPtr revIDLastSave="0" documentId="13_ncr:1_{165BEB3E-F377-46C5-902D-EA2FCC0B9250}" xr6:coauthVersionLast="47" xr6:coauthVersionMax="47" xr10:uidLastSave="{00000000-0000-0000-0000-000000000000}"/>
  <bookViews>
    <workbookView xWindow="-108" yWindow="-108" windowWidth="23256" windowHeight="12456" activeTab="1" xr2:uid="{D6040DBC-0C86-4C80-A13B-5894871506A4}"/>
  </bookViews>
  <sheets>
    <sheet name="RAW_DATA" sheetId="2" r:id="rId1"/>
    <sheet name="Data Analysis" sheetId="3" r:id="rId2"/>
  </sheets>
  <definedNames>
    <definedName name="ExternalData_1" localSheetId="0" hidden="1">RAW_DATA!$A$1:$G$3501</definedName>
    <definedName name="Slicer_Quarters__Order_Date">#N/A</definedName>
  </definedNames>
  <calcPr calcId="191029"/>
  <pivotCaches>
    <pivotCache cacheId="0" r:id="rId3"/>
    <pivotCache cacheId="1"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18" i="2" l="1"/>
  <c r="J17" i="2"/>
  <c r="J7" i="2"/>
  <c r="J2" i="2"/>
  <c r="J13" i="2"/>
  <c r="J12" i="2"/>
  <c r="J8" i="2"/>
  <c r="J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21C0B63-1DC5-4F87-98AB-0949EF8BF74C}" keepAlive="1" name="Query - ecommerce_sales_data (2)" description="Connection to the 'ecommerce_sales_data (2)' query in the workbook." type="5" refreshedVersion="8" background="1" saveData="1">
    <dbPr connection="Provider=Microsoft.Mashup.OleDb.1;Data Source=$Workbook$;Location=&quot;ecommerce_sales_data (2)&quot;;Extended Properties=&quot;&quot;" command="SELECT * FROM [ecommerce_sales_data (2)]"/>
  </connection>
  <connection id="2" xr16:uid="{6E6B2F69-0817-4128-BBB9-67C6291E475B}" keepAlive="1" name="Query - ecommerce_sales_data (3)" description="Connection to the 'ecommerce_sales_data (3)' query in the workbook." type="5" refreshedVersion="8" background="1" saveData="1">
    <dbPr connection="Provider=Microsoft.Mashup.OleDb.1;Data Source=$Workbook$;Location=&quot;ecommerce_sales_data (3)&quot;;Extended Properties=&quot;&quot;" command="SELECT * FROM [ecommerce_sales_data (3)]"/>
  </connection>
  <connection id="3" xr16:uid="{EE9A5530-273F-413A-B06F-43DDB1B0DD57}" keepAlive="1" name="Query - ecommerce_sales_data (4)" description="Connection to the 'ecommerce_sales_data (4)' query in the workbook." type="5" refreshedVersion="8" background="1" saveData="1">
    <dbPr connection="Provider=Microsoft.Mashup.OleDb.1;Data Source=$Workbook$;Location=&quot;ecommerce_sales_data (4)&quot;;Extended Properties=&quot;&quot;" command="SELECT * FROM [ecommerce_sales_data (4)]"/>
  </connection>
  <connection id="4" xr16:uid="{541D6F20-0FB2-4BDE-AB2B-1EB58D2A0827}" keepAlive="1" name="Query - ecommerce_sales_data (5)" description="Connection to the 'ecommerce_sales_data (5)' query in the workbook." type="5" refreshedVersion="8" background="1" saveData="1">
    <dbPr connection="Provider=Microsoft.Mashup.OleDb.1;Data Source=$Workbook$;Location=&quot;ecommerce_sales_data (5)&quot;;Extended Properties=&quot;&quot;" command="SELECT * FROM [ecommerce_sales_data (5)]"/>
  </connection>
</connections>
</file>

<file path=xl/sharedStrings.xml><?xml version="1.0" encoding="utf-8"?>
<sst xmlns="http://schemas.openxmlformats.org/spreadsheetml/2006/main" count="10597" uniqueCount="73">
  <si>
    <t>Order Date</t>
  </si>
  <si>
    <t>Product Name</t>
  </si>
  <si>
    <t>Category</t>
  </si>
  <si>
    <t>Region</t>
  </si>
  <si>
    <t>Quantity</t>
  </si>
  <si>
    <t>Sales</t>
  </si>
  <si>
    <t>Profit</t>
  </si>
  <si>
    <t>Printer</t>
  </si>
  <si>
    <t>Office</t>
  </si>
  <si>
    <t>North</t>
  </si>
  <si>
    <t>Mouse</t>
  </si>
  <si>
    <t>Accessories</t>
  </si>
  <si>
    <t>East</t>
  </si>
  <si>
    <t>Tablet</t>
  </si>
  <si>
    <t>Electronics</t>
  </si>
  <si>
    <t>South</t>
  </si>
  <si>
    <t>West</t>
  </si>
  <si>
    <t>Camera</t>
  </si>
  <si>
    <t>Headphones</t>
  </si>
  <si>
    <t>Smartwatch</t>
  </si>
  <si>
    <t>Monitor</t>
  </si>
  <si>
    <t>Smartphone</t>
  </si>
  <si>
    <t>Keyboard</t>
  </si>
  <si>
    <t>Laptop</t>
  </si>
  <si>
    <t xml:space="preserve">MAX SALES </t>
  </si>
  <si>
    <t>Row Labels</t>
  </si>
  <si>
    <t>Sum of Profit</t>
  </si>
  <si>
    <t>Grand Total</t>
  </si>
  <si>
    <t>Sum of Sales</t>
  </si>
  <si>
    <t>MAX PROFIT</t>
  </si>
  <si>
    <t>TOTAL ORDER</t>
  </si>
  <si>
    <t>TOTAL QUANTITY</t>
  </si>
  <si>
    <t>TOTAL PROFT</t>
  </si>
  <si>
    <t>TOTAL SALES</t>
  </si>
  <si>
    <t>AVERAGE SALES</t>
  </si>
  <si>
    <t>AVERAGE PROFIT</t>
  </si>
  <si>
    <t>Jan</t>
  </si>
  <si>
    <t>Feb</t>
  </si>
  <si>
    <t>Mar</t>
  </si>
  <si>
    <t>Apr</t>
  </si>
  <si>
    <t>May</t>
  </si>
  <si>
    <t>Jun</t>
  </si>
  <si>
    <t>Jul</t>
  </si>
  <si>
    <t>Aug</t>
  </si>
  <si>
    <t>Sep</t>
  </si>
  <si>
    <t>Oct</t>
  </si>
  <si>
    <t>Nov</t>
  </si>
  <si>
    <t>Dec</t>
  </si>
  <si>
    <t>Highest Profit</t>
  </si>
  <si>
    <t>177280  (January)</t>
  </si>
  <si>
    <t>Lowest Profit</t>
  </si>
  <si>
    <t>118959 (February)</t>
  </si>
  <si>
    <t xml:space="preserve">Average Profit </t>
  </si>
  <si>
    <t>153722(All Month)</t>
  </si>
  <si>
    <t>Sum of Quantity</t>
  </si>
  <si>
    <t xml:space="preserve">Highest Quantity Sold </t>
  </si>
  <si>
    <t>Lowest Quantity Sold</t>
  </si>
  <si>
    <t>Average Quantity Sold</t>
  </si>
  <si>
    <t>1604  (Headphones)</t>
  </si>
  <si>
    <t>1726  (All Product)</t>
  </si>
  <si>
    <t>Most Profitable Category</t>
  </si>
  <si>
    <t>Highest Profitable Region</t>
  </si>
  <si>
    <t>Low Profitable Region</t>
  </si>
  <si>
    <t>Low Profitable Category</t>
  </si>
  <si>
    <t xml:space="preserve">Total Sales By West </t>
  </si>
  <si>
    <t>Total Sales By Electronics</t>
  </si>
  <si>
    <t>Total Sales By  North</t>
  </si>
  <si>
    <t xml:space="preserve">Total Sales By Office </t>
  </si>
  <si>
    <t>E-Commerce Sales Analysis Dashboard</t>
  </si>
  <si>
    <t>Sales By Product</t>
  </si>
  <si>
    <t>Sales By Region</t>
  </si>
  <si>
    <t>Sales By Category</t>
  </si>
  <si>
    <t>1876  (Monitor)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</si>
</sst>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10" x14ac:knownFonts="1">
    <font>
      <sz val="11"/>
      <color theme="1"/>
      <name val="Aptos Narrow"/>
      <family val="2"/>
      <scheme val="minor"/>
    </font>
    <font>
      <b/>
      <sz val="12"/>
      <color theme="1"/>
      <name val="Aptos Narrow"/>
      <family val="2"/>
      <scheme val="minor"/>
    </font>
    <font>
      <sz val="12"/>
      <color theme="1"/>
      <name val="Aptos Narrow"/>
      <family val="2"/>
      <scheme val="minor"/>
    </font>
    <font>
      <b/>
      <sz val="12"/>
      <color theme="0"/>
      <name val="Aptos Narrow"/>
      <family val="2"/>
      <scheme val="minor"/>
    </font>
    <font>
      <sz val="8"/>
      <name val="Aptos Narrow"/>
      <family val="2"/>
      <scheme val="minor"/>
    </font>
    <font>
      <b/>
      <sz val="14"/>
      <color theme="1"/>
      <name val="Aptos Narrow"/>
      <family val="2"/>
      <scheme val="minor"/>
    </font>
    <font>
      <sz val="14"/>
      <color theme="1"/>
      <name val="Aptos Narrow"/>
      <family val="2"/>
      <scheme val="minor"/>
    </font>
    <font>
      <sz val="22"/>
      <color theme="1"/>
      <name val="Aptos Narrow"/>
      <family val="2"/>
      <scheme val="minor"/>
    </font>
    <font>
      <b/>
      <sz val="24"/>
      <color theme="1"/>
      <name val="Aptos Narrow"/>
      <family val="2"/>
      <scheme val="minor"/>
    </font>
    <font>
      <b/>
      <sz val="20"/>
      <color theme="1"/>
      <name val="Aptos Narrow"/>
      <family val="2"/>
      <scheme val="minor"/>
    </font>
  </fonts>
  <fills count="12">
    <fill>
      <patternFill patternType="none"/>
    </fill>
    <fill>
      <patternFill patternType="gray125"/>
    </fill>
    <fill>
      <patternFill patternType="solid">
        <fgColor theme="5" tint="0.59999389629810485"/>
        <bgColor indexed="64"/>
      </patternFill>
    </fill>
    <fill>
      <patternFill patternType="solid">
        <fgColor theme="3" tint="9.9978637043366805E-2"/>
        <bgColor indexed="64"/>
      </patternFill>
    </fill>
    <fill>
      <patternFill patternType="solid">
        <fgColor theme="3" tint="0.749992370372631"/>
        <bgColor indexed="64"/>
      </patternFill>
    </fill>
    <fill>
      <patternFill patternType="solid">
        <fgColor theme="0" tint="-0.14999847407452621"/>
        <bgColor indexed="64"/>
      </patternFill>
    </fill>
    <fill>
      <patternFill patternType="solid">
        <fgColor theme="7" tint="0.59999389629810485"/>
        <bgColor indexed="64"/>
      </patternFill>
    </fill>
    <fill>
      <patternFill patternType="solid">
        <fgColor theme="0"/>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rgb="FF00B05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40">
    <xf numFmtId="0" fontId="0" fillId="0" borderId="0" xfId="0"/>
    <xf numFmtId="41" fontId="0" fillId="0" borderId="0" xfId="0" applyNumberFormat="1"/>
    <xf numFmtId="0" fontId="1" fillId="6" borderId="1" xfId="0" applyFont="1" applyFill="1" applyBorder="1"/>
    <xf numFmtId="0" fontId="1" fillId="0" borderId="1" xfId="0" pivotButton="1" applyFont="1" applyBorder="1"/>
    <xf numFmtId="0" fontId="1" fillId="0" borderId="1" xfId="0" applyFont="1" applyBorder="1"/>
    <xf numFmtId="1" fontId="1" fillId="6" borderId="1" xfId="0" applyNumberFormat="1" applyFont="1" applyFill="1" applyBorder="1"/>
    <xf numFmtId="0" fontId="1" fillId="0" borderId="1" xfId="0" applyFont="1" applyBorder="1" applyAlignment="1">
      <alignment horizontal="left"/>
    </xf>
    <xf numFmtId="1" fontId="1" fillId="0" borderId="1" xfId="0" applyNumberFormat="1" applyFont="1" applyBorder="1"/>
    <xf numFmtId="41" fontId="1" fillId="6" borderId="1" xfId="0" applyNumberFormat="1" applyFont="1" applyFill="1" applyBorder="1"/>
    <xf numFmtId="41" fontId="1" fillId="0" borderId="1" xfId="0" applyNumberFormat="1" applyFont="1" applyBorder="1"/>
    <xf numFmtId="0" fontId="1" fillId="0" borderId="1" xfId="0" applyNumberFormat="1" applyFont="1" applyBorder="1"/>
    <xf numFmtId="0" fontId="1" fillId="2" borderId="1" xfId="0" applyFont="1" applyFill="1" applyBorder="1"/>
    <xf numFmtId="0" fontId="1" fillId="2" borderId="1" xfId="0" applyFont="1" applyFill="1" applyBorder="1" applyAlignment="1">
      <alignment horizontal="left"/>
    </xf>
    <xf numFmtId="1" fontId="1" fillId="6" borderId="1" xfId="0" applyNumberFormat="1" applyFont="1" applyFill="1" applyBorder="1" applyAlignment="1">
      <alignment horizontal="right"/>
    </xf>
    <xf numFmtId="0" fontId="1" fillId="6" borderId="1" xfId="0" applyFont="1" applyFill="1" applyBorder="1" applyAlignment="1">
      <alignment horizontal="right"/>
    </xf>
    <xf numFmtId="1" fontId="3" fillId="7" borderId="1" xfId="0" applyNumberFormat="1" applyFont="1" applyFill="1" applyBorder="1"/>
    <xf numFmtId="14" fontId="1" fillId="0" borderId="1" xfId="0" applyNumberFormat="1" applyFont="1" applyBorder="1"/>
    <xf numFmtId="0" fontId="3" fillId="3" borderId="1" xfId="0" applyFont="1" applyFill="1" applyBorder="1"/>
    <xf numFmtId="0" fontId="1" fillId="5" borderId="1" xfId="0" applyFont="1" applyFill="1" applyBorder="1" applyAlignment="1">
      <alignment horizontal="left"/>
    </xf>
    <xf numFmtId="0" fontId="1" fillId="5" borderId="1" xfId="0" applyNumberFormat="1" applyFont="1" applyFill="1" applyBorder="1"/>
    <xf numFmtId="0" fontId="2" fillId="4" borderId="1" xfId="0" applyFont="1" applyFill="1" applyBorder="1" applyAlignment="1">
      <alignment horizontal="left"/>
    </xf>
    <xf numFmtId="0" fontId="2" fillId="4" borderId="1" xfId="0" applyNumberFormat="1" applyFont="1" applyFill="1" applyBorder="1"/>
    <xf numFmtId="0" fontId="1" fillId="3" borderId="1" xfId="0" applyFont="1" applyFill="1" applyBorder="1"/>
    <xf numFmtId="0" fontId="1" fillId="4" borderId="1" xfId="0" applyFont="1" applyFill="1" applyBorder="1" applyAlignment="1">
      <alignment horizontal="left"/>
    </xf>
    <xf numFmtId="1" fontId="1" fillId="4" borderId="1" xfId="0" applyNumberFormat="1" applyFont="1" applyFill="1" applyBorder="1"/>
    <xf numFmtId="0" fontId="1" fillId="4" borderId="1" xfId="0" applyNumberFormat="1" applyFont="1" applyFill="1" applyBorder="1"/>
    <xf numFmtId="0" fontId="0" fillId="5" borderId="1" xfId="0" applyFill="1" applyBorder="1" applyAlignment="1">
      <alignment horizontal="left"/>
    </xf>
    <xf numFmtId="1" fontId="1" fillId="5" borderId="1" xfId="0" applyNumberFormat="1" applyFont="1" applyFill="1" applyBorder="1"/>
    <xf numFmtId="0" fontId="3" fillId="7" borderId="1" xfId="0" applyNumberFormat="1" applyFont="1" applyFill="1" applyBorder="1"/>
    <xf numFmtId="0" fontId="6" fillId="0" borderId="0" xfId="0" applyFont="1"/>
    <xf numFmtId="1" fontId="5" fillId="8" borderId="1" xfId="0" applyNumberFormat="1" applyFont="1" applyFill="1" applyBorder="1"/>
    <xf numFmtId="0" fontId="5" fillId="8" borderId="1" xfId="0" applyFont="1" applyFill="1" applyBorder="1" applyAlignment="1">
      <alignment horizontal="center"/>
    </xf>
    <xf numFmtId="0" fontId="5" fillId="8" borderId="1" xfId="0" applyFont="1" applyFill="1" applyBorder="1"/>
    <xf numFmtId="0" fontId="5" fillId="9" borderId="1" xfId="0" applyFont="1" applyFill="1" applyBorder="1" applyAlignment="1">
      <alignment horizontal="center"/>
    </xf>
    <xf numFmtId="0" fontId="5" fillId="10" borderId="1" xfId="0" applyFont="1" applyFill="1" applyBorder="1" applyAlignment="1">
      <alignment horizontal="center"/>
    </xf>
    <xf numFmtId="0" fontId="0" fillId="0" borderId="0" xfId="0" applyAlignment="1">
      <alignment horizontal="center"/>
    </xf>
    <xf numFmtId="0" fontId="9" fillId="0" borderId="0" xfId="0" applyFont="1" applyAlignment="1">
      <alignment horizontal="center"/>
    </xf>
    <xf numFmtId="0" fontId="8" fillId="11" borderId="0" xfId="0" applyFont="1" applyFill="1" applyAlignment="1">
      <alignment horizontal="center"/>
    </xf>
    <xf numFmtId="0" fontId="7" fillId="11" borderId="0" xfId="0" applyFont="1" applyFill="1" applyAlignment="1">
      <alignment horizontal="center"/>
    </xf>
    <xf numFmtId="0" fontId="9" fillId="0" borderId="2" xfId="0" applyFont="1" applyBorder="1" applyAlignment="1">
      <alignment horizontal="center"/>
    </xf>
  </cellXfs>
  <cellStyles count="1">
    <cellStyle name="Normal" xfId="0" builtinId="0"/>
  </cellStyles>
  <dxfs count="336">
    <dxf>
      <fill>
        <patternFill patternType="solid">
          <bgColor theme="6" tint="0.59999389629810485"/>
        </patternFill>
      </fill>
    </dxf>
    <dxf>
      <fill>
        <patternFill patternType="solid">
          <bgColor theme="6" tint="0.59999389629810485"/>
        </patternFill>
      </fill>
    </dxf>
    <dxf>
      <fill>
        <patternFill patternType="solid">
          <bgColor theme="5" tint="0.59999389629810485"/>
        </patternFill>
      </fill>
    </dxf>
    <dxf>
      <fill>
        <patternFill patternType="solid">
          <bgColor theme="5" tint="0.59999389629810485"/>
        </patternFill>
      </fill>
    </dxf>
    <dxf>
      <font>
        <b/>
      </font>
    </dxf>
    <dxf>
      <font>
        <b/>
      </font>
    </dxf>
    <dxf>
      <font>
        <sz val="12"/>
      </font>
    </dxf>
    <dxf>
      <font>
        <sz val="12"/>
      </font>
    </dxf>
    <dxf>
      <font>
        <sz val="12"/>
      </font>
    </dxf>
    <dxf>
      <font>
        <sz val="12"/>
      </font>
    </dxf>
    <dxf>
      <font>
        <b/>
      </font>
    </dxf>
    <dxf>
      <font>
        <b/>
      </font>
    </dxf>
    <dxf>
      <numFmt numFmtId="1" formatCode="0"/>
    </dxf>
    <dxf>
      <fill>
        <patternFill>
          <bgColor theme="3" tint="9.9978637043366805E-2"/>
        </patternFill>
      </fill>
    </dxf>
    <dxf>
      <fill>
        <patternFill>
          <bgColor theme="3" tint="9.9978637043366805E-2"/>
        </patternFill>
      </fill>
    </dxf>
    <dxf>
      <fill>
        <patternFill>
          <bgColor theme="2"/>
        </patternFill>
      </fill>
    </dxf>
    <dxf>
      <fill>
        <patternFill>
          <bgColor theme="3" tint="0.749992370372631"/>
        </patternFill>
      </fill>
    </dxf>
    <dxf>
      <fill>
        <patternFill>
          <bgColor theme="3" tint="0.749992370372631"/>
        </patternFill>
      </fill>
    </dxf>
    <dxf>
      <fill>
        <patternFill patternType="solid">
          <bgColor theme="0"/>
        </patternFill>
      </fill>
    </dxf>
    <dxf>
      <fill>
        <patternFill>
          <bgColor theme="3" tint="9.9978637043366805E-2"/>
        </patternFill>
      </fill>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bgColor theme="0" tint="-0.14999847407452621"/>
        </patternFill>
      </fill>
    </dxf>
    <dxf>
      <fill>
        <patternFill>
          <bgColor theme="0" tint="-0.14999847407452621"/>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sz val="12"/>
      </font>
    </dxf>
    <dxf>
      <font>
        <sz val="12"/>
      </font>
    </dxf>
    <dxf>
      <fill>
        <patternFill patternType="solid">
          <bgColor theme="3" tint="0.749992370372631"/>
        </patternFill>
      </fill>
    </dxf>
    <dxf>
      <fill>
        <patternFill patternType="solid">
          <bgColor theme="3" tint="0.749992370372631"/>
        </patternFill>
      </fill>
    </dxf>
    <dxf>
      <fill>
        <patternFill patternType="solid">
          <bgColor theme="0" tint="-0.14999847407452621"/>
        </patternFill>
      </fill>
    </dxf>
    <dxf>
      <fill>
        <patternFill patternType="solid">
          <bgColor theme="0" tint="-0.14999847407452621"/>
        </patternFill>
      </fill>
    </dxf>
    <dxf>
      <font>
        <sz val="12"/>
      </font>
    </dxf>
    <dxf>
      <font>
        <b/>
      </font>
    </dxf>
    <dxf>
      <font>
        <sz val="12"/>
      </font>
    </dxf>
    <dxf>
      <font>
        <b/>
      </font>
    </dxf>
    <dxf>
      <font>
        <sz val="12"/>
      </font>
    </dxf>
    <dxf>
      <font>
        <sz val="12"/>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patternFill>
      </fill>
    </dxf>
    <dxf>
      <fill>
        <patternFill patternType="solid">
          <bgColor theme="3"/>
        </patternFill>
      </fill>
    </dxf>
    <dxf>
      <fill>
        <patternFill>
          <bgColor theme="3" tint="9.9978637043366805E-2"/>
        </patternFill>
      </fill>
    </dxf>
    <dxf>
      <fill>
        <patternFill>
          <bgColor theme="3" tint="9.9978637043366805E-2"/>
        </patternFill>
      </fill>
    </dxf>
    <dxf>
      <font>
        <sz val="12"/>
      </font>
    </dxf>
    <dxf>
      <font>
        <b/>
      </font>
    </dxf>
    <dxf>
      <font>
        <color theme="0"/>
      </font>
    </dxf>
    <dxf>
      <font>
        <color theme="0"/>
      </font>
    </dxf>
    <dxf>
      <font>
        <sz val="12"/>
      </font>
    </dxf>
    <dxf>
      <font>
        <sz val="12"/>
      </font>
    </dxf>
    <dxf>
      <fill>
        <patternFill patternType="solid">
          <bgColor theme="3" tint="0.749992370372631"/>
        </patternFill>
      </fill>
    </dxf>
    <dxf>
      <fill>
        <patternFill patternType="solid">
          <bgColor theme="3" tint="0.749992370372631"/>
        </patternFill>
      </fill>
    </dxf>
    <dxf>
      <font>
        <sz val="12"/>
      </font>
    </dxf>
    <dxf>
      <font>
        <sz val="12"/>
      </font>
    </dxf>
    <dxf>
      <font>
        <sz val="12"/>
      </font>
    </dxf>
    <dxf>
      <font>
        <sz val="12"/>
      </font>
    </dxf>
    <dxf>
      <font>
        <sz val="12"/>
      </font>
    </dxf>
    <dxf>
      <font>
        <sz val="12"/>
      </font>
    </dxf>
    <dxf>
      <font>
        <b/>
      </font>
    </dxf>
    <dxf>
      <font>
        <b/>
      </font>
    </dxf>
    <dxf>
      <font>
        <b/>
      </font>
    </dxf>
    <dxf>
      <font>
        <b/>
      </font>
    </dxf>
    <dxf>
      <font>
        <b/>
      </font>
    </dxf>
    <dxf>
      <font>
        <b/>
      </font>
    </dxf>
    <dxf>
      <fill>
        <patternFill patternType="solid">
          <bgColor theme="3" tint="9.9978637043366805E-2"/>
        </patternFill>
      </fill>
    </dxf>
    <dxf>
      <font>
        <color theme="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0" tint="-0.14999847407452621"/>
        </patternFill>
      </fill>
    </dxf>
    <dxf>
      <fill>
        <patternFill patternType="solid">
          <bgColor theme="0" tint="-0.14999847407452621"/>
        </patternFill>
      </fill>
    </dxf>
    <dxf>
      <fill>
        <patternFill patternType="solid">
          <bgColor theme="6" tint="0.59999389629810485"/>
        </patternFill>
      </fill>
    </dxf>
    <dxf>
      <fill>
        <patternFill patternType="solid">
          <bgColor theme="6" tint="0.59999389629810485"/>
        </patternFill>
      </fill>
    </dxf>
    <dxf>
      <fill>
        <patternFill patternType="solid">
          <bgColor theme="5" tint="0.59999389629810485"/>
        </patternFill>
      </fill>
    </dxf>
    <dxf>
      <fill>
        <patternFill patternType="solid">
          <bgColor theme="5" tint="0.59999389629810485"/>
        </patternFill>
      </fill>
    </dxf>
    <dxf>
      <font>
        <b/>
      </font>
    </dxf>
    <dxf>
      <font>
        <b/>
      </font>
    </dxf>
    <dxf>
      <font>
        <sz val="12"/>
      </font>
    </dxf>
    <dxf>
      <font>
        <sz val="12"/>
      </font>
    </dxf>
    <dxf>
      <font>
        <sz val="12"/>
      </font>
    </dxf>
    <dxf>
      <font>
        <sz val="12"/>
      </font>
    </dxf>
    <dxf>
      <font>
        <b/>
      </font>
    </dxf>
    <dxf>
      <font>
        <b/>
      </font>
    </dxf>
    <dxf>
      <numFmt numFmtId="1" formatCode="0"/>
    </dxf>
    <dxf>
      <fill>
        <patternFill>
          <bgColor theme="3" tint="9.9978637043366805E-2"/>
        </patternFill>
      </fill>
    </dxf>
    <dxf>
      <fill>
        <patternFill>
          <bgColor theme="3" tint="9.9978637043366805E-2"/>
        </patternFill>
      </fill>
    </dxf>
    <dxf>
      <fill>
        <patternFill>
          <bgColor theme="2"/>
        </patternFill>
      </fill>
    </dxf>
    <dxf>
      <fill>
        <patternFill>
          <bgColor theme="3" tint="0.749992370372631"/>
        </patternFill>
      </fill>
    </dxf>
    <dxf>
      <fill>
        <patternFill>
          <bgColor theme="3" tint="0.749992370372631"/>
        </patternFill>
      </fill>
    </dxf>
    <dxf>
      <fill>
        <patternFill patternType="solid">
          <bgColor theme="0"/>
        </patternFill>
      </fill>
    </dxf>
    <dxf>
      <fill>
        <patternFill>
          <bgColor theme="3" tint="9.9978637043366805E-2"/>
        </patternFill>
      </fill>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bgColor theme="0" tint="-0.14999847407452621"/>
        </patternFill>
      </fill>
    </dxf>
    <dxf>
      <fill>
        <patternFill>
          <bgColor theme="0" tint="-0.14999847407452621"/>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sz val="12"/>
      </font>
    </dxf>
    <dxf>
      <font>
        <sz val="12"/>
      </font>
    </dxf>
    <dxf>
      <fill>
        <patternFill patternType="solid">
          <bgColor theme="3" tint="0.749992370372631"/>
        </patternFill>
      </fill>
    </dxf>
    <dxf>
      <fill>
        <patternFill patternType="solid">
          <bgColor theme="3" tint="0.749992370372631"/>
        </patternFill>
      </fill>
    </dxf>
    <dxf>
      <fill>
        <patternFill patternType="solid">
          <bgColor theme="0" tint="-0.14999847407452621"/>
        </patternFill>
      </fill>
    </dxf>
    <dxf>
      <fill>
        <patternFill patternType="solid">
          <bgColor theme="0" tint="-0.14999847407452621"/>
        </patternFill>
      </fill>
    </dxf>
    <dxf>
      <font>
        <sz val="12"/>
      </font>
    </dxf>
    <dxf>
      <font>
        <b/>
      </font>
    </dxf>
    <dxf>
      <font>
        <sz val="12"/>
      </font>
    </dxf>
    <dxf>
      <font>
        <b/>
      </font>
    </dxf>
    <dxf>
      <font>
        <sz val="12"/>
      </font>
    </dxf>
    <dxf>
      <font>
        <sz val="12"/>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59999389629810485"/>
        </patternFill>
      </fill>
    </dxf>
    <dxf>
      <fill>
        <patternFill patternType="solid">
          <bgColor theme="6" tint="0.59999389629810485"/>
        </patternFill>
      </fill>
    </dxf>
    <dxf>
      <fill>
        <patternFill patternType="solid">
          <bgColor theme="5" tint="0.59999389629810485"/>
        </patternFill>
      </fill>
    </dxf>
    <dxf>
      <fill>
        <patternFill patternType="solid">
          <bgColor theme="5" tint="0.59999389629810485"/>
        </patternFill>
      </fill>
    </dxf>
    <dxf>
      <font>
        <b/>
      </font>
    </dxf>
    <dxf>
      <font>
        <b/>
      </font>
    </dxf>
    <dxf>
      <font>
        <sz val="12"/>
      </font>
    </dxf>
    <dxf>
      <font>
        <sz val="12"/>
      </font>
    </dxf>
    <dxf>
      <font>
        <sz val="12"/>
      </font>
    </dxf>
    <dxf>
      <font>
        <sz val="12"/>
      </font>
    </dxf>
    <dxf>
      <font>
        <b/>
      </font>
    </dxf>
    <dxf>
      <font>
        <b/>
      </font>
    </dxf>
    <dxf>
      <numFmt numFmtId="1" formatCode="0"/>
    </dxf>
    <dxf>
      <fill>
        <patternFill>
          <bgColor theme="3" tint="9.9978637043366805E-2"/>
        </patternFill>
      </fill>
    </dxf>
    <dxf>
      <fill>
        <patternFill>
          <bgColor theme="3" tint="9.9978637043366805E-2"/>
        </patternFill>
      </fill>
    </dxf>
    <dxf>
      <fill>
        <patternFill>
          <bgColor theme="2"/>
        </patternFill>
      </fill>
    </dxf>
    <dxf>
      <fill>
        <patternFill>
          <bgColor theme="3" tint="0.749992370372631"/>
        </patternFill>
      </fill>
    </dxf>
    <dxf>
      <fill>
        <patternFill>
          <bgColor theme="3" tint="0.749992370372631"/>
        </patternFill>
      </fill>
    </dxf>
    <dxf>
      <fill>
        <patternFill patternType="solid">
          <bgColor theme="0"/>
        </patternFill>
      </fill>
    </dxf>
    <dxf>
      <fill>
        <patternFill>
          <bgColor theme="3" tint="9.9978637043366805E-2"/>
        </patternFill>
      </fill>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2" tint="-9.9978637043366805E-2"/>
        </patternFill>
      </fill>
    </dxf>
    <dxf>
      <fill>
        <patternFill>
          <bgColor theme="0" tint="-0.14999847407452621"/>
        </patternFill>
      </fill>
    </dxf>
    <dxf>
      <fill>
        <patternFill>
          <bgColor theme="0" tint="-0.14999847407452621"/>
        </patternFill>
      </fill>
    </dxf>
    <dxf>
      <fill>
        <patternFill patternType="solid">
          <bgColor theme="3" tint="9.9978637043366805E-2"/>
        </patternFill>
      </fill>
    </dxf>
    <dxf>
      <fill>
        <patternFill patternType="solid">
          <bgColor theme="3" tint="9.9978637043366805E-2"/>
        </patternFill>
      </fill>
    </dxf>
    <dxf>
      <font>
        <color theme="0"/>
      </font>
    </dxf>
    <dxf>
      <font>
        <color theme="0"/>
      </font>
    </dxf>
    <dxf>
      <font>
        <sz val="12"/>
      </font>
    </dxf>
    <dxf>
      <font>
        <sz val="12"/>
      </font>
    </dxf>
    <dxf>
      <fill>
        <patternFill patternType="solid">
          <bgColor theme="3" tint="0.749992370372631"/>
        </patternFill>
      </fill>
    </dxf>
    <dxf>
      <fill>
        <patternFill patternType="solid">
          <bgColor theme="3" tint="0.749992370372631"/>
        </patternFill>
      </fill>
    </dxf>
    <dxf>
      <fill>
        <patternFill patternType="solid">
          <bgColor theme="0" tint="-0.14999847407452621"/>
        </patternFill>
      </fill>
    </dxf>
    <dxf>
      <fill>
        <patternFill patternType="solid">
          <bgColor theme="0" tint="-0.14999847407452621"/>
        </patternFill>
      </fill>
    </dxf>
    <dxf>
      <font>
        <sz val="12"/>
      </font>
    </dxf>
    <dxf>
      <font>
        <b/>
      </font>
    </dxf>
    <dxf>
      <font>
        <sz val="12"/>
      </font>
    </dxf>
    <dxf>
      <font>
        <b/>
      </font>
    </dxf>
    <dxf>
      <font>
        <sz val="12"/>
      </font>
    </dxf>
    <dxf>
      <font>
        <sz val="12"/>
      </font>
    </dxf>
    <dxf>
      <font>
        <b/>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sz val="12"/>
      </font>
    </dxf>
    <dxf>
      <font>
        <sz val="12"/>
      </font>
    </dxf>
    <dxf>
      <font>
        <b/>
      </font>
    </dxf>
    <dxf>
      <font>
        <sz val="12"/>
      </font>
    </dxf>
    <dxf>
      <font>
        <b/>
      </font>
    </dxf>
    <dxf>
      <font>
        <sz val="12"/>
      </font>
    </dxf>
    <dxf>
      <fill>
        <patternFill patternType="solid">
          <bgColor theme="0" tint="-0.14999847407452621"/>
        </patternFill>
      </fill>
    </dxf>
    <dxf>
      <fill>
        <patternFill patternType="solid">
          <bgColor theme="0" tint="-0.14999847407452621"/>
        </patternFill>
      </fill>
    </dxf>
    <dxf>
      <fill>
        <patternFill patternType="solid">
          <bgColor theme="3" tint="0.749992370372631"/>
        </patternFill>
      </fill>
    </dxf>
    <dxf>
      <fill>
        <patternFill patternType="solid">
          <bgColor theme="3" tint="0.749992370372631"/>
        </patternFill>
      </fill>
    </dxf>
    <dxf>
      <font>
        <sz val="12"/>
      </font>
    </dxf>
    <dxf>
      <font>
        <sz val="12"/>
      </font>
    </dxf>
    <dxf>
      <font>
        <color theme="0"/>
      </font>
    </dxf>
    <dxf>
      <font>
        <color theme="0"/>
      </font>
    </dxf>
    <dxf>
      <fill>
        <patternFill patternType="solid">
          <bgColor theme="3" tint="9.9978637043366805E-2"/>
        </patternFill>
      </fill>
    </dxf>
    <dxf>
      <fill>
        <patternFill patternType="solid">
          <bgColor theme="3" tint="9.9978637043366805E-2"/>
        </patternFill>
      </fill>
    </dxf>
    <dxf>
      <fill>
        <patternFill patternType="solid">
          <bgColor theme="0" tint="-0.14999847407452621"/>
        </patternFill>
      </fill>
    </dxf>
    <dxf>
      <fill>
        <patternFill patternType="solid">
          <bgColor theme="0" tint="-0.149998474074526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theme="0"/>
      </font>
    </dxf>
    <dxf>
      <fill>
        <patternFill patternType="solid">
          <bgColor theme="3" tint="9.9978637043366805E-2"/>
        </patternFill>
      </fill>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
      <fill>
        <patternFill patternType="solid">
          <bgColor theme="3" tint="0.749992370372631"/>
        </patternFill>
      </fill>
    </dxf>
    <dxf>
      <fill>
        <patternFill patternType="solid">
          <bgColor theme="3" tint="0.749992370372631"/>
        </patternFill>
      </fill>
    </dxf>
    <dxf>
      <font>
        <sz val="12"/>
      </font>
    </dxf>
    <dxf>
      <font>
        <sz val="12"/>
      </font>
    </dxf>
    <dxf>
      <font>
        <color theme="0"/>
      </font>
    </dxf>
    <dxf>
      <font>
        <color theme="0"/>
      </font>
    </dxf>
    <dxf>
      <font>
        <b/>
      </font>
    </dxf>
    <dxf>
      <font>
        <sz val="12"/>
      </font>
    </dxf>
    <dxf>
      <fill>
        <patternFill>
          <bgColor theme="3" tint="9.9978637043366805E-2"/>
        </patternFill>
      </fill>
    </dxf>
    <dxf>
      <fill>
        <patternFill>
          <bgColor theme="3" tint="9.9978637043366805E-2"/>
        </patternFill>
      </fill>
    </dxf>
    <dxf>
      <fill>
        <patternFill patternType="solid">
          <bgColor theme="3"/>
        </patternFill>
      </fill>
    </dxf>
    <dxf>
      <fill>
        <patternFill patternType="solid">
          <bgColor theme="3"/>
        </patternFill>
      </fill>
    </dxf>
    <dxf>
      <fill>
        <patternFill>
          <bgColor theme="0" tint="-0.14999847407452621"/>
        </patternFill>
      </fill>
    </dxf>
    <dxf>
      <fill>
        <patternFill>
          <bgColor theme="0" tint="-0.14999847407452621"/>
        </patternFill>
      </fill>
    </dxf>
    <dxf>
      <fill>
        <patternFill patternType="solid">
          <bgColor theme="2" tint="-9.9978637043366805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sz val="12"/>
      </font>
    </dxf>
    <dxf>
      <fill>
        <patternFill>
          <bgColor theme="3" tint="9.9978637043366805E-2"/>
        </patternFill>
      </fill>
    </dxf>
    <dxf>
      <fill>
        <patternFill patternType="solid">
          <bgColor theme="0"/>
        </patternFill>
      </fill>
    </dxf>
    <dxf>
      <fill>
        <patternFill>
          <bgColor theme="3" tint="0.749992370372631"/>
        </patternFill>
      </fill>
    </dxf>
    <dxf>
      <fill>
        <patternFill>
          <bgColor theme="3" tint="0.749992370372631"/>
        </patternFill>
      </fill>
    </dxf>
    <dxf>
      <fill>
        <patternFill>
          <bgColor theme="2"/>
        </patternFill>
      </fill>
    </dxf>
    <dxf>
      <fill>
        <patternFill>
          <bgColor theme="3" tint="9.9978637043366805E-2"/>
        </patternFill>
      </fill>
    </dxf>
    <dxf>
      <fill>
        <patternFill>
          <bgColor theme="3" tint="9.9978637043366805E-2"/>
        </patternFill>
      </fill>
    </dxf>
    <dxf>
      <numFmt numFmtId="1" formatCode="0"/>
    </dxf>
    <dxf>
      <font>
        <b/>
      </font>
    </dxf>
    <dxf>
      <font>
        <b/>
      </font>
    </dxf>
    <dxf>
      <font>
        <sz val="12"/>
      </font>
    </dxf>
    <dxf>
      <font>
        <sz val="12"/>
      </font>
    </dxf>
    <dxf>
      <font>
        <sz val="12"/>
      </font>
    </dxf>
    <dxf>
      <font>
        <sz val="12"/>
      </font>
    </dxf>
    <dxf>
      <font>
        <b/>
      </font>
    </dxf>
    <dxf>
      <font>
        <b/>
      </font>
    </dxf>
    <dxf>
      <fill>
        <patternFill patternType="solid">
          <bgColor theme="5" tint="0.59999389629810485"/>
        </patternFill>
      </fill>
    </dxf>
    <dxf>
      <fill>
        <patternFill patternType="solid">
          <bgColor theme="5" tint="0.59999389629810485"/>
        </patternFill>
      </fill>
    </dxf>
    <dxf>
      <fill>
        <patternFill patternType="solid">
          <bgColor theme="6" tint="0.59999389629810485"/>
        </patternFill>
      </fill>
    </dxf>
    <dxf>
      <fill>
        <patternFill patternType="solid">
          <bgColor theme="6" tint="0.59999389629810485"/>
        </patternFill>
      </fill>
    </dxf>
    <dxf>
      <font>
        <b/>
        <strike val="0"/>
        <outline val="0"/>
        <shadow val="0"/>
        <u val="none"/>
        <vertAlign val="baseline"/>
        <sz val="12"/>
        <color theme="1"/>
        <name val="Aptos Narrow"/>
        <family val="2"/>
        <scheme val="minor"/>
      </font>
      <numFmt numFmtId="33" formatCode="_ * #,##0_ ;_ * \-#,##0_ ;_ * &quot;-&quot;_ ;_ @_ "/>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ptos Narrow"/>
        <family val="2"/>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ptos Narrow"/>
        <family val="2"/>
        <scheme val="minor"/>
      </font>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ptos Narrow"/>
        <family val="2"/>
        <scheme val="minor"/>
      </font>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strike val="0"/>
        <outline val="0"/>
        <shadow val="0"/>
        <u val="none"/>
        <vertAlign val="baseline"/>
        <sz val="12"/>
        <color theme="1"/>
        <name val="Aptos Narrow"/>
        <family val="2"/>
        <scheme val="minor"/>
      </font>
    </dxf>
    <dxf>
      <font>
        <color theme="0"/>
      </font>
    </dxf>
    <dxf>
      <fill>
        <patternFill patternType="solid">
          <bgColor theme="0"/>
        </patternFill>
      </fill>
    </dxf>
    <dxf>
      <font>
        <sz val="12"/>
      </font>
    </dxf>
    <dxf>
      <font>
        <b/>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2"/>
      </font>
    </dxf>
    <dxf>
      <font>
        <sz val="12"/>
      </font>
    </dxf>
    <dxf>
      <font>
        <b/>
      </font>
    </dxf>
    <dxf>
      <font>
        <b/>
      </font>
    </dxf>
    <dxf>
      <font>
        <b/>
      </font>
    </dxf>
    <dxf>
      <font>
        <b/>
      </font>
    </dxf>
    <dxf>
      <font>
        <sz val="12"/>
      </font>
    </dxf>
    <dxf>
      <font>
        <sz val="12"/>
      </font>
    </dxf>
    <dxf>
      <numFmt numFmtId="1" formatCode="0"/>
    </dxf>
    <dxf>
      <font>
        <color theme="0"/>
      </font>
    </dxf>
    <dxf>
      <fill>
        <patternFill patternType="solid">
          <bgColor theme="0"/>
        </patternFill>
      </fill>
    </dxf>
    <dxf>
      <font>
        <color theme="1"/>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font>
    </dxf>
    <dxf>
      <font>
        <b/>
      </font>
    </dxf>
    <dxf>
      <font>
        <b/>
      </font>
    </dxf>
    <dxf>
      <font>
        <b/>
      </font>
    </dxf>
    <dxf>
      <font>
        <b/>
      </font>
    </dxf>
    <dxf>
      <font>
        <b/>
      </font>
    </dxf>
    <dxf>
      <font>
        <sz val="12"/>
      </font>
    </dxf>
    <dxf>
      <font>
        <sz val="12"/>
      </font>
    </dxf>
    <dxf>
      <font>
        <sz val="12"/>
      </font>
    </dxf>
    <dxf>
      <font>
        <sz val="12"/>
      </font>
    </dxf>
    <dxf>
      <font>
        <sz val="12"/>
      </font>
    </dxf>
    <dxf>
      <font>
        <sz val="12"/>
      </font>
    </dxf>
  </dxfs>
  <tableStyles count="0" defaultTableStyle="TableStyleMedium2" defaultPivotStyle="PivotStyleLight16"/>
  <colors>
    <mruColors>
      <color rgb="FFFF2D2D"/>
      <color rgb="FFFF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FILE.xlsx]Data Analysis!PivotTable6</c:name>
    <c:fmtId val="5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Sales</a:t>
            </a:r>
            <a:r>
              <a:rPr lang="en-US" baseline="0"/>
              <a:t> per PRODUCT</a:t>
            </a:r>
          </a:p>
        </c:rich>
      </c:tx>
      <c:layout>
        <c:manualLayout>
          <c:xMode val="edge"/>
          <c:yMode val="edge"/>
          <c:x val="0.28959246283641854"/>
          <c:y val="3.2652698073757737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3924713155348974E-2"/>
          <c:y val="0.18821789225499355"/>
          <c:w val="0.82858695526495307"/>
          <c:h val="0.50168690778059521"/>
        </c:manualLayout>
      </c:layout>
      <c:barChart>
        <c:barDir val="col"/>
        <c:grouping val="clustered"/>
        <c:varyColors val="0"/>
        <c:ser>
          <c:idx val="0"/>
          <c:order val="0"/>
          <c:tx>
            <c:strRef>
              <c:f>'Data Analysis'!$B$2</c:f>
              <c:strCache>
                <c:ptCount val="1"/>
                <c:pt idx="0">
                  <c:v>Total</c:v>
                </c:pt>
              </c:strCache>
            </c:strRef>
          </c:tx>
          <c:spPr>
            <a:solidFill>
              <a:schemeClr val="accent3">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 Analysis'!$A$3:$A$13</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'Data Analysis'!$B$3:$B$13</c:f>
              <c:numCache>
                <c:formatCode>General</c:formatCode>
                <c:ptCount val="10"/>
                <c:pt idx="0">
                  <c:v>1177381</c:v>
                </c:pt>
                <c:pt idx="1">
                  <c:v>988638</c:v>
                </c:pt>
                <c:pt idx="2">
                  <c:v>1024507</c:v>
                </c:pt>
                <c:pt idx="3">
                  <c:v>1005873</c:v>
                </c:pt>
                <c:pt idx="4">
                  <c:v>1152974</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0-1593-4CE6-B0D6-45170A321EB7}"/>
            </c:ext>
          </c:extLst>
        </c:ser>
        <c:dLbls>
          <c:dLblPos val="ctr"/>
          <c:showLegendKey val="0"/>
          <c:showVal val="1"/>
          <c:showCatName val="0"/>
          <c:showSerName val="0"/>
          <c:showPercent val="0"/>
          <c:showBubbleSize val="0"/>
        </c:dLbls>
        <c:gapWidth val="79"/>
        <c:axId val="1886712000"/>
        <c:axId val="1886712480"/>
      </c:barChart>
      <c:catAx>
        <c:axId val="1886712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886712480"/>
        <c:crosses val="autoZero"/>
        <c:auto val="1"/>
        <c:lblAlgn val="ctr"/>
        <c:lblOffset val="100"/>
        <c:noMultiLvlLbl val="0"/>
      </c:catAx>
      <c:valAx>
        <c:axId val="1886712480"/>
        <c:scaling>
          <c:orientation val="minMax"/>
        </c:scaling>
        <c:delete val="1"/>
        <c:axPos val="l"/>
        <c:numFmt formatCode="General" sourceLinked="1"/>
        <c:majorTickMark val="none"/>
        <c:minorTickMark val="none"/>
        <c:tickLblPos val="nextTo"/>
        <c:crossAx val="1886712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FILE.xlsx]Data Analysis!PivotTable4</c:name>
    <c:fmtId val="1"/>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Sales</a:t>
            </a:r>
            <a:r>
              <a:rPr lang="en-US" sz="1400" baseline="0"/>
              <a:t> Per Region</a:t>
            </a:r>
          </a:p>
        </c:rich>
      </c:tx>
      <c:layout>
        <c:manualLayout>
          <c:xMode val="edge"/>
          <c:yMode val="edge"/>
          <c:x val="0.24715839736900358"/>
          <c:y val="0.1374307378244386"/>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4">
              <a:shade val="58000"/>
            </a:schemeClr>
          </a:solidFill>
          <a:ln>
            <a:noFill/>
          </a:ln>
          <a:effectLst>
            <a:outerShdw blurRad="254000" sx="102000" sy="102000" algn="ctr" rotWithShape="0">
              <a:prstClr val="black">
                <a:alpha val="20000"/>
              </a:prstClr>
            </a:outerShdw>
          </a:effectLst>
        </c:spPr>
      </c:pivotFmt>
      <c:pivotFmt>
        <c:idx val="3"/>
        <c:spPr>
          <a:solidFill>
            <a:schemeClr val="accent4">
              <a:shade val="86000"/>
            </a:schemeClr>
          </a:solidFill>
          <a:ln>
            <a:noFill/>
          </a:ln>
          <a:effectLst>
            <a:outerShdw blurRad="254000" sx="102000" sy="102000" algn="ctr" rotWithShape="0">
              <a:prstClr val="black">
                <a:alpha val="20000"/>
              </a:prstClr>
            </a:outerShdw>
          </a:effectLst>
        </c:spPr>
      </c:pivotFmt>
      <c:pivotFmt>
        <c:idx val="4"/>
        <c:spPr>
          <a:solidFill>
            <a:schemeClr val="accent4">
              <a:tint val="86000"/>
            </a:schemeClr>
          </a:solidFill>
          <a:ln>
            <a:noFill/>
          </a:ln>
          <a:effectLst>
            <a:outerShdw blurRad="254000" sx="102000" sy="102000" algn="ctr" rotWithShape="0">
              <a:prstClr val="black">
                <a:alpha val="20000"/>
              </a:prstClr>
            </a:outerShdw>
          </a:effectLst>
        </c:spPr>
      </c:pivotFmt>
      <c:pivotFmt>
        <c:idx val="5"/>
        <c:spPr>
          <a:solidFill>
            <a:schemeClr val="accent4">
              <a:tint val="58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58874553331436"/>
          <c:y val="0.33467171565386389"/>
          <c:w val="0.38389400120165701"/>
          <c:h val="0.60807637594918951"/>
        </c:manualLayout>
      </c:layout>
      <c:pieChart>
        <c:varyColors val="1"/>
        <c:ser>
          <c:idx val="0"/>
          <c:order val="0"/>
          <c:tx>
            <c:strRef>
              <c:f>'Data Analysis'!$B$16</c:f>
              <c:strCache>
                <c:ptCount val="1"/>
                <c:pt idx="0">
                  <c:v>Total</c:v>
                </c:pt>
              </c:strCache>
            </c:strRef>
          </c:tx>
          <c:dPt>
            <c:idx val="0"/>
            <c:bubble3D val="0"/>
            <c:spPr>
              <a:solidFill>
                <a:schemeClr val="accent4">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427-4467-A061-9268F006035A}"/>
              </c:ext>
            </c:extLst>
          </c:dPt>
          <c:dPt>
            <c:idx val="1"/>
            <c:bubble3D val="0"/>
            <c:spPr>
              <a:solidFill>
                <a:schemeClr val="accent4">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7F9-45EA-A853-6DF97544A8CA}"/>
              </c:ext>
            </c:extLst>
          </c:dPt>
          <c:dPt>
            <c:idx val="2"/>
            <c:bubble3D val="0"/>
            <c:spPr>
              <a:solidFill>
                <a:schemeClr val="accent4">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7F9-45EA-A853-6DF97544A8CA}"/>
              </c:ext>
            </c:extLst>
          </c:dPt>
          <c:dPt>
            <c:idx val="3"/>
            <c:bubble3D val="0"/>
            <c:spPr>
              <a:solidFill>
                <a:schemeClr val="accent4">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7F9-45EA-A853-6DF97544A8C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'Data Analysis'!$A$17:$A$21</c:f>
              <c:strCache>
                <c:ptCount val="4"/>
                <c:pt idx="0">
                  <c:v>East</c:v>
                </c:pt>
                <c:pt idx="1">
                  <c:v>North</c:v>
                </c:pt>
                <c:pt idx="2">
                  <c:v>South</c:v>
                </c:pt>
                <c:pt idx="3">
                  <c:v>West</c:v>
                </c:pt>
              </c:strCache>
            </c:strRef>
          </c:cat>
          <c:val>
            <c:numRef>
              <c:f>'Data Analysis'!$B$17:$B$21</c:f>
              <c:numCache>
                <c:formatCode>0</c:formatCode>
                <c:ptCount val="4"/>
                <c:pt idx="0">
                  <c:v>2675110</c:v>
                </c:pt>
                <c:pt idx="1">
                  <c:v>2488773</c:v>
                </c:pt>
                <c:pt idx="2">
                  <c:v>2652474</c:v>
                </c:pt>
                <c:pt idx="3">
                  <c:v>2844450</c:v>
                </c:pt>
              </c:numCache>
            </c:numRef>
          </c:val>
          <c:extLst>
            <c:ext xmlns:c16="http://schemas.microsoft.com/office/drawing/2014/chart" uri="{C3380CC4-5D6E-409C-BE32-E72D297353CC}">
              <c16:uniqueId val="{00000002-C427-4467-A061-9268F006035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80421686746987953"/>
          <c:y val="0.25991907261592301"/>
          <c:w val="0.16804245283018868"/>
          <c:h val="0.5159119496855345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[PROJECT FILE.xlsx]Data Analysis!PivotTable5</c:name>
    <c:fmtId val="1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baseline="0"/>
              <a:t>Total sales per </a:t>
            </a:r>
            <a:r>
              <a:rPr lang="en-IN" sz="1600" b="1" i="0" u="none" strike="noStrike" cap="all" normalizeH="0" baseline="0"/>
              <a:t>Category</a:t>
            </a:r>
            <a:r>
              <a:rPr lang="en-US" baseline="0"/>
              <a:t> </a:t>
            </a:r>
            <a:endParaRPr lang="en-US"/>
          </a:p>
        </c:rich>
      </c:tx>
      <c:layout>
        <c:manualLayout>
          <c:xMode val="edge"/>
          <c:yMode val="edge"/>
          <c:x val="0.2622855874633318"/>
          <c:y val="6.1390631255838789E-2"/>
        </c:manualLayout>
      </c:layout>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589663424424887"/>
          <c:y val="0.28446055824942784"/>
          <c:w val="0.68221186506098508"/>
          <c:h val="0.64020987489558145"/>
        </c:manualLayout>
      </c:layout>
      <c:barChart>
        <c:barDir val="bar"/>
        <c:grouping val="stacked"/>
        <c:varyColors val="0"/>
        <c:ser>
          <c:idx val="0"/>
          <c:order val="0"/>
          <c:tx>
            <c:strRef>
              <c:f>'Data Analysis'!$B$24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'Data Analysis'!$A$25:$A$28</c:f>
              <c:strCache>
                <c:ptCount val="3"/>
                <c:pt idx="0">
                  <c:v>Accessories</c:v>
                </c:pt>
                <c:pt idx="1">
                  <c:v>Electronics</c:v>
                </c:pt>
                <c:pt idx="2">
                  <c:v>Office</c:v>
                </c:pt>
              </c:strCache>
            </c:strRef>
          </c:cat>
          <c:val>
            <c:numRef>
              <c:f>'Data Analysis'!$B$25:$B$28</c:f>
              <c:numCache>
                <c:formatCode>General</c:formatCode>
                <c:ptCount val="3"/>
                <c:pt idx="0">
                  <c:v>4240517</c:v>
                </c:pt>
                <c:pt idx="1">
                  <c:v>5326074</c:v>
                </c:pt>
                <c:pt idx="2">
                  <c:v>1094216</c:v>
                </c:pt>
              </c:numCache>
            </c:numRef>
          </c:val>
          <c:extLst>
            <c:ext xmlns:c16="http://schemas.microsoft.com/office/drawing/2014/chart" uri="{C3380CC4-5D6E-409C-BE32-E72D297353CC}">
              <c16:uniqueId val="{00000000-415E-4F91-9A79-01E54F3CB3BF}"/>
            </c:ext>
          </c:extLst>
        </c:ser>
        <c:dLbls>
          <c:dLblPos val="ctr"/>
          <c:showLegendKey val="0"/>
          <c:showVal val="1"/>
          <c:showCatName val="0"/>
          <c:showSerName val="0"/>
          <c:showPercent val="0"/>
          <c:showBubbleSize val="0"/>
        </c:dLbls>
        <c:gapWidth val="79"/>
        <c:overlap val="100"/>
        <c:axId val="80976527"/>
        <c:axId val="80983247"/>
      </c:barChart>
      <c:catAx>
        <c:axId val="80976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0983247"/>
        <c:crosses val="autoZero"/>
        <c:auto val="1"/>
        <c:lblAlgn val="ctr"/>
        <c:lblOffset val="100"/>
        <c:noMultiLvlLbl val="0"/>
      </c:catAx>
      <c:valAx>
        <c:axId val="80983247"/>
        <c:scaling>
          <c:orientation val="minMax"/>
        </c:scaling>
        <c:delete val="1"/>
        <c:axPos val="b"/>
        <c:numFmt formatCode="General" sourceLinked="1"/>
        <c:majorTickMark val="none"/>
        <c:minorTickMark val="none"/>
        <c:tickLblPos val="nextTo"/>
        <c:crossAx val="8097652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4">
        <a:lumMod val="40000"/>
        <a:lumOff val="60000"/>
      </a:schemeClr>
    </a:solidFill>
    <a:ln w="9525" cap="flat" cmpd="sng" algn="ctr">
      <a:solidFill>
        <a:schemeClr val="accent1"/>
      </a:solidFill>
      <a:round/>
    </a:ln>
    <a:effectLst>
      <a:glow rad="63500">
        <a:schemeClr val="bg1">
          <a:alpha val="40000"/>
        </a:schemeClr>
      </a:glow>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FILE.xlsx]RAW_DATA!PivotTable7</c:name>
    <c:fmtId val="1"/>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Monthly Sales Trend</a:t>
            </a:r>
          </a:p>
        </c:rich>
      </c:tx>
      <c:layout>
        <c:manualLayout>
          <c:xMode val="edge"/>
          <c:yMode val="edge"/>
          <c:x val="0.3049860017497813"/>
          <c:y val="7.7682997958588504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25400" cap="rnd">
            <a:solidFill>
              <a:schemeClr val="lt1"/>
            </a:solidFill>
            <a:round/>
          </a:ln>
          <a:effectLst>
            <a:outerShdw dist="25400" dir="2700000" algn="tl" rotWithShape="0">
              <a:schemeClr val="accent1"/>
            </a:outerShdw>
          </a:effectLst>
        </c:spPr>
        <c:marker>
          <c:symbol val="none"/>
        </c:marker>
        <c:dLbl>
          <c:idx val="0"/>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25400" cap="rnd">
            <a:solidFill>
              <a:schemeClr val="lt1"/>
            </a:solidFill>
            <a:round/>
          </a:ln>
          <a:effectLst>
            <a:outerShdw dist="25400" dir="2700000" algn="tl" rotWithShape="0">
              <a:schemeClr val="accent1"/>
            </a:outerShdw>
          </a:effectLst>
        </c:spPr>
        <c:marker>
          <c:symbol val="none"/>
        </c:marker>
        <c:dLbl>
          <c:idx val="0"/>
          <c:layout>
            <c:manualLayout>
              <c:x val="-8.0347331583552076E-2"/>
              <c:y val="-6.255585344057193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5400" cap="rnd">
            <a:solidFill>
              <a:schemeClr val="lt1"/>
            </a:solidFill>
            <a:round/>
          </a:ln>
          <a:effectLst>
            <a:outerShdw dist="25400" dir="2700000" algn="tl" rotWithShape="0">
              <a:schemeClr val="accent1"/>
            </a:outerShdw>
          </a:effectLst>
        </c:spPr>
        <c:marker>
          <c:symbol val="none"/>
        </c:marker>
        <c:dLbl>
          <c:idx val="0"/>
          <c:layout>
            <c:manualLayout>
              <c:x val="-5.2569553805774279E-2"/>
              <c:y val="-0.10723860589812337"/>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5400" cap="rnd">
            <a:solidFill>
              <a:schemeClr val="lt1"/>
            </a:solidFill>
            <a:round/>
          </a:ln>
          <a:effectLst>
            <a:outerShdw dist="25400" dir="2700000" algn="tl" rotWithShape="0">
              <a:schemeClr val="accent1"/>
            </a:outerShdw>
          </a:effectLst>
        </c:spPr>
        <c:marker>
          <c:symbol val="none"/>
        </c:marker>
        <c:dLbl>
          <c:idx val="0"/>
          <c:layout>
            <c:manualLayout>
              <c:x val="-5.5347331583552109E-2"/>
              <c:y val="-4.4682752457551426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5400" cap="rnd">
            <a:solidFill>
              <a:schemeClr val="lt1"/>
            </a:solidFill>
            <a:round/>
          </a:ln>
          <a:effectLst>
            <a:outerShdw dist="25400" dir="2700000" algn="tl" rotWithShape="0">
              <a:schemeClr val="accent1"/>
            </a:outerShdw>
          </a:effectLst>
        </c:spPr>
        <c:marker>
          <c:symbol val="none"/>
        </c:marker>
        <c:dLbl>
          <c:idx val="0"/>
          <c:layout>
            <c:manualLayout>
              <c:x val="-4.4236220472440947E-2"/>
              <c:y val="-6.7024128686327122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5400" cap="rnd">
            <a:solidFill>
              <a:schemeClr val="lt1"/>
            </a:solidFill>
            <a:round/>
          </a:ln>
          <a:effectLst>
            <a:outerShdw dist="25400" dir="2700000" algn="tl" rotWithShape="0">
              <a:schemeClr val="accent1"/>
            </a:outerShdw>
          </a:effectLst>
        </c:spPr>
        <c:marker>
          <c:symbol val="none"/>
        </c:marker>
        <c:dLbl>
          <c:idx val="0"/>
          <c:layout>
            <c:manualLayout>
              <c:x val="-5.2569553805774279E-2"/>
              <c:y val="-5.8087578194816886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5400" cap="rnd">
            <a:solidFill>
              <a:schemeClr val="lt1"/>
            </a:solidFill>
            <a:round/>
          </a:ln>
          <a:effectLst>
            <a:outerShdw dist="25400" dir="2700000" algn="tl" rotWithShape="0">
              <a:schemeClr val="accent1"/>
            </a:outerShdw>
          </a:effectLst>
        </c:spPr>
        <c:marker>
          <c:symbol val="none"/>
        </c:marker>
        <c:dLbl>
          <c:idx val="0"/>
          <c:layout>
            <c:manualLayout>
              <c:x val="-5.2569553805774383E-2"/>
              <c:y val="-5.3619302949061622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5400" cap="rnd">
            <a:solidFill>
              <a:schemeClr val="lt1"/>
            </a:solidFill>
            <a:round/>
          </a:ln>
          <a:effectLst>
            <a:outerShdw dist="25400" dir="2700000" algn="tl" rotWithShape="0">
              <a:schemeClr val="accent1"/>
            </a:outerShdw>
          </a:effectLst>
        </c:spPr>
        <c:marker>
          <c:symbol val="none"/>
        </c:marker>
        <c:dLbl>
          <c:idx val="0"/>
          <c:layout>
            <c:manualLayout>
              <c:x val="-4.4236220472440947E-2"/>
              <c:y val="-0.12064343163538874"/>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5400" cap="rnd">
            <a:solidFill>
              <a:schemeClr val="lt1"/>
            </a:solidFill>
            <a:round/>
          </a:ln>
          <a:effectLst>
            <a:outerShdw dist="25400" dir="2700000" algn="tl" rotWithShape="0">
              <a:schemeClr val="accent1"/>
            </a:outerShdw>
          </a:effectLst>
        </c:spPr>
        <c:marker>
          <c:symbol val="none"/>
        </c:marker>
        <c:dLbl>
          <c:idx val="0"/>
          <c:layout>
            <c:manualLayout>
              <c:x val="-4.4236220472440947E-2"/>
              <c:y val="-0.14298480786416448"/>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5400" cap="rnd">
            <a:solidFill>
              <a:schemeClr val="lt1"/>
            </a:solidFill>
            <a:round/>
          </a:ln>
          <a:effectLst>
            <a:outerShdw dist="25400" dir="2700000" algn="tl" rotWithShape="0">
              <a:schemeClr val="accent1"/>
            </a:outerShdw>
          </a:effectLst>
        </c:spPr>
        <c:marker>
          <c:symbol val="none"/>
        </c:marker>
        <c:dLbl>
          <c:idx val="0"/>
          <c:layout>
            <c:manualLayout>
              <c:x val="-4.4236220472440947E-2"/>
              <c:y val="-0.12511170688114387"/>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5400" cap="rnd">
            <a:solidFill>
              <a:schemeClr val="lt1"/>
            </a:solidFill>
            <a:round/>
          </a:ln>
          <a:effectLst>
            <a:outerShdw dist="25400" dir="2700000" algn="tl" rotWithShape="0">
              <a:schemeClr val="accent1"/>
            </a:outerShdw>
          </a:effectLst>
        </c:spPr>
        <c:marker>
          <c:symbol val="none"/>
        </c:marker>
        <c:dLbl>
          <c:idx val="0"/>
          <c:layout>
            <c:manualLayout>
              <c:x val="-2.1273184601924962E-2"/>
              <c:y val="-7.1492403932082255E-2"/>
            </c:manualLayout>
          </c:layout>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RAW_DATA!$M$1</c:f>
              <c:strCache>
                <c:ptCount val="1"/>
                <c:pt idx="0">
                  <c:v>Total</c:v>
                </c:pt>
              </c:strCache>
            </c:strRef>
          </c:tx>
          <c:spPr>
            <a:ln w="25400" cap="rnd">
              <a:solidFill>
                <a:schemeClr val="lt1"/>
              </a:solidFill>
              <a:round/>
            </a:ln>
            <a:effectLst>
              <a:outerShdw dist="25400" dir="2700000" algn="tl" rotWithShape="0">
                <a:schemeClr val="accent1"/>
              </a:outerShdw>
            </a:effectLst>
          </c:spPr>
          <c:marker>
            <c:symbol val="none"/>
          </c:marker>
          <c:dPt>
            <c:idx val="2"/>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4-0A30-4FF1-9323-39B8FD03EAE3}"/>
              </c:ext>
            </c:extLst>
          </c:dPt>
          <c:dPt>
            <c:idx val="3"/>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3-0A30-4FF1-9323-39B8FD03EAE3}"/>
              </c:ext>
            </c:extLst>
          </c:dPt>
          <c:dPt>
            <c:idx val="4"/>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2-0A30-4FF1-9323-39B8FD03EAE3}"/>
              </c:ext>
            </c:extLst>
          </c:dPt>
          <c:dPt>
            <c:idx val="5"/>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5-0A30-4FF1-9323-39B8FD03EAE3}"/>
              </c:ext>
            </c:extLst>
          </c:dPt>
          <c:dPt>
            <c:idx val="6"/>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6-0A30-4FF1-9323-39B8FD03EAE3}"/>
              </c:ext>
            </c:extLst>
          </c:dPt>
          <c:dPt>
            <c:idx val="7"/>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7-0A30-4FF1-9323-39B8FD03EAE3}"/>
              </c:ext>
            </c:extLst>
          </c:dPt>
          <c:dPt>
            <c:idx val="8"/>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8-0A30-4FF1-9323-39B8FD03EAE3}"/>
              </c:ext>
            </c:extLst>
          </c:dPt>
          <c:dPt>
            <c:idx val="9"/>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9-0A30-4FF1-9323-39B8FD03EAE3}"/>
              </c:ext>
            </c:extLst>
          </c:dPt>
          <c:dPt>
            <c:idx val="10"/>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A-0A30-4FF1-9323-39B8FD03EAE3}"/>
              </c:ext>
            </c:extLst>
          </c:dPt>
          <c:dPt>
            <c:idx val="11"/>
            <c:marker>
              <c:symbol val="none"/>
            </c:marker>
            <c:bubble3D val="0"/>
            <c:spPr>
              <a:ln w="25400" cap="rnd">
                <a:solidFill>
                  <a:schemeClr val="lt1"/>
                </a:solidFill>
                <a:round/>
              </a:ln>
              <a:effectLst>
                <a:outerShdw dist="25400" dir="2700000" algn="tl" rotWithShape="0">
                  <a:schemeClr val="accent1"/>
                </a:outerShdw>
              </a:effectLst>
            </c:spPr>
            <c:extLst>
              <c:ext xmlns:c16="http://schemas.microsoft.com/office/drawing/2014/chart" uri="{C3380CC4-5D6E-409C-BE32-E72D297353CC}">
                <c16:uniqueId val="{0000000B-0A30-4FF1-9323-39B8FD03EAE3}"/>
              </c:ext>
            </c:extLst>
          </c:dPt>
          <c:dLbls>
            <c:dLbl>
              <c:idx val="2"/>
              <c:layout>
                <c:manualLayout>
                  <c:x val="-8.0347331583552076E-2"/>
                  <c:y val="-6.25558534405719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0-4FF1-9323-39B8FD03EAE3}"/>
                </c:ext>
              </c:extLst>
            </c:dLbl>
            <c:dLbl>
              <c:idx val="3"/>
              <c:layout>
                <c:manualLayout>
                  <c:x val="-5.2569553805774279E-2"/>
                  <c:y val="-0.1072386058981233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0-4FF1-9323-39B8FD03EAE3}"/>
                </c:ext>
              </c:extLst>
            </c:dLbl>
            <c:dLbl>
              <c:idx val="4"/>
              <c:layout>
                <c:manualLayout>
                  <c:x val="-5.5347331583552109E-2"/>
                  <c:y val="-4.46827524575514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30-4FF1-9323-39B8FD03EAE3}"/>
                </c:ext>
              </c:extLst>
            </c:dLbl>
            <c:dLbl>
              <c:idx val="5"/>
              <c:layout>
                <c:manualLayout>
                  <c:x val="-4.4236220472440947E-2"/>
                  <c:y val="-6.70241286863271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30-4FF1-9323-39B8FD03EAE3}"/>
                </c:ext>
              </c:extLst>
            </c:dLbl>
            <c:dLbl>
              <c:idx val="6"/>
              <c:layout>
                <c:manualLayout>
                  <c:x val="-5.2569553805774279E-2"/>
                  <c:y val="-5.808757819481688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30-4FF1-9323-39B8FD03EAE3}"/>
                </c:ext>
              </c:extLst>
            </c:dLbl>
            <c:dLbl>
              <c:idx val="7"/>
              <c:layout>
                <c:manualLayout>
                  <c:x val="-5.2569553805774383E-2"/>
                  <c:y val="-5.361930294906162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30-4FF1-9323-39B8FD03EAE3}"/>
                </c:ext>
              </c:extLst>
            </c:dLbl>
            <c:dLbl>
              <c:idx val="8"/>
              <c:layout>
                <c:manualLayout>
                  <c:x val="-4.4236220472440947E-2"/>
                  <c:y val="-0.1206434316353887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30-4FF1-9323-39B8FD03EAE3}"/>
                </c:ext>
              </c:extLst>
            </c:dLbl>
            <c:dLbl>
              <c:idx val="9"/>
              <c:layout>
                <c:manualLayout>
                  <c:x val="-4.4236220472440947E-2"/>
                  <c:y val="-0.1429848078641644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30-4FF1-9323-39B8FD03EAE3}"/>
                </c:ext>
              </c:extLst>
            </c:dLbl>
            <c:dLbl>
              <c:idx val="10"/>
              <c:layout>
                <c:manualLayout>
                  <c:x val="-4.4236220472440947E-2"/>
                  <c:y val="-0.1251117068811438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0A30-4FF1-9323-39B8FD03EAE3}"/>
                </c:ext>
              </c:extLst>
            </c:dLbl>
            <c:dLbl>
              <c:idx val="11"/>
              <c:layout>
                <c:manualLayout>
                  <c:x val="-2.1273184601924962E-2"/>
                  <c:y val="-7.14924039320822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0A30-4FF1-9323-39B8FD03EAE3}"/>
                </c:ext>
              </c:extLst>
            </c:dLbl>
            <c:spPr>
              <a:solidFill>
                <a:schemeClr val="accent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RAW_DATA!$L$2:$L$14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RAW_DATA!$M$2:$M$14</c:f>
              <c:numCache>
                <c:formatCode>0</c:formatCode>
                <c:ptCount val="12"/>
                <c:pt idx="0">
                  <c:v>177280.29000000015</c:v>
                </c:pt>
                <c:pt idx="1">
                  <c:v>118958.7200000001</c:v>
                </c:pt>
                <c:pt idx="2">
                  <c:v>162136.62999999995</c:v>
                </c:pt>
                <c:pt idx="3">
                  <c:v>145620.95999999985</c:v>
                </c:pt>
                <c:pt idx="4">
                  <c:v>173293.14999999994</c:v>
                </c:pt>
                <c:pt idx="5">
                  <c:v>143198.52999999997</c:v>
                </c:pt>
                <c:pt idx="6">
                  <c:v>149244.10999999993</c:v>
                </c:pt>
                <c:pt idx="7">
                  <c:v>152959.88999999998</c:v>
                </c:pt>
                <c:pt idx="8">
                  <c:v>150265.04</c:v>
                </c:pt>
                <c:pt idx="9">
                  <c:v>153027.96999999997</c:v>
                </c:pt>
                <c:pt idx="10">
                  <c:v>144837.79000000007</c:v>
                </c:pt>
                <c:pt idx="11">
                  <c:v>173842.12999999992</c:v>
                </c:pt>
              </c:numCache>
            </c:numRef>
          </c:val>
          <c:smooth val="0"/>
          <c:extLst>
            <c:ext xmlns:c16="http://schemas.microsoft.com/office/drawing/2014/chart" uri="{C3380CC4-5D6E-409C-BE32-E72D297353CC}">
              <c16:uniqueId val="{00000000-0A30-4FF1-9323-39B8FD03EAE3}"/>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smooth val="0"/>
        <c:axId val="986788704"/>
        <c:axId val="986789184"/>
      </c:lineChart>
      <c:catAx>
        <c:axId val="986788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30" baseline="0">
                <a:solidFill>
                  <a:schemeClr val="lt1"/>
                </a:solidFill>
                <a:latin typeface="+mn-lt"/>
                <a:ea typeface="+mn-ea"/>
                <a:cs typeface="+mn-cs"/>
              </a:defRPr>
            </a:pPr>
            <a:endParaRPr lang="en-US"/>
          </a:p>
        </c:txPr>
        <c:crossAx val="986789184"/>
        <c:crosses val="autoZero"/>
        <c:auto val="1"/>
        <c:lblAlgn val="ctr"/>
        <c:lblOffset val="100"/>
        <c:noMultiLvlLbl val="0"/>
      </c:catAx>
      <c:valAx>
        <c:axId val="986789184"/>
        <c:scaling>
          <c:orientation val="minMax"/>
        </c:scaling>
        <c:delete val="1"/>
        <c:axPos val="l"/>
        <c:numFmt formatCode="0" sourceLinked="1"/>
        <c:majorTickMark val="none"/>
        <c:minorTickMark val="none"/>
        <c:tickLblPos val="nextTo"/>
        <c:crossAx val="98678870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8">
  <cs:axisTitle>
    <cs:lnRef idx="0"/>
    <cs:fillRef idx="0"/>
    <cs:effectRef idx="0"/>
    <cs:fontRef idx="minor">
      <a:schemeClr val="lt1"/>
    </cs:fontRef>
    <cs:defRPr sz="900" b="1" kern="1200"/>
  </cs:axisTitle>
  <cs:categoryAxis>
    <cs:lnRef idx="0">
      <cs:styleClr val="0"/>
    </cs:lnRef>
    <cs:fillRef idx="0"/>
    <cs:effectRef idx="0"/>
    <cs:fontRef idx="minor">
      <a:schemeClr val="lt1"/>
    </cs:fontRef>
    <cs:defRPr sz="900" kern="1200" spc="3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lt1">
            <a:lumMod val="85000"/>
          </a:schemeClr>
        </a:solidFill>
        <a:round/>
      </a:ln>
    </cs:spPr>
    <cs:defRPr sz="1000" kern="1200"/>
  </cs:chartArea>
  <cs:dataLabel>
    <cs:lnRef idx="0"/>
    <cs:fillRef idx="0">
      <cs:styleClr val="0"/>
    </cs:fillRef>
    <cs:effectRef idx="0"/>
    <cs:fontRef idx="minor">
      <a:schemeClr val="lt1"/>
    </cs:fontRef>
    <cs:spPr>
      <a:solidFill>
        <a:schemeClr val="phClr"/>
      </a:solidFill>
    </cs:spPr>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25400"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cs:spPr>
  </cs:dataPointMarker>
  <cs:dataPointMarkerLayout symbol="circle" size="14"/>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13</xdr:row>
      <xdr:rowOff>167640</xdr:rowOff>
    </xdr:from>
    <xdr:to>
      <xdr:col>5</xdr:col>
      <xdr:colOff>568200</xdr:colOff>
      <xdr:row>24</xdr:row>
      <xdr:rowOff>27720</xdr:rowOff>
    </xdr:to>
    <mc:AlternateContent xmlns:mc="http://schemas.openxmlformats.org/markup-compatibility/2006" xmlns:a14="http://schemas.microsoft.com/office/drawing/2010/main">
      <mc:Choice Requires="a14">
        <xdr:graphicFrame macro="">
          <xdr:nvGraphicFramePr>
            <xdr:cNvPr id="4" name="Quarters (Order Date)">
              <a:extLst>
                <a:ext uri="{FF2B5EF4-FFF2-40B4-BE49-F238E27FC236}">
                  <a16:creationId xmlns:a16="http://schemas.microsoft.com/office/drawing/2014/main" id="{FE6C1F53-BBBB-0675-1AA9-DFF8CDED7AE7}"/>
                </a:ext>
              </a:extLst>
            </xdr:cNvPr>
            <xdr:cNvGraphicFramePr/>
          </xdr:nvGraphicFramePr>
          <xdr:xfrm>
            <a:off x="0" y="0"/>
            <a:ext cx="0" cy="0"/>
          </xdr:xfrm>
          <a:graphic>
            <a:graphicData uri="http://schemas.microsoft.com/office/drawing/2010/slicer">
              <sle:slicer xmlns:sle="http://schemas.microsoft.com/office/drawing/2010/slicer" name="Quarters (Order Date)"/>
            </a:graphicData>
          </a:graphic>
        </xdr:graphicFrame>
      </mc:Choice>
      <mc:Fallback xmlns="">
        <xdr:sp macro="" textlink="">
          <xdr:nvSpPr>
            <xdr:cNvPr id="0" name=""/>
            <xdr:cNvSpPr>
              <a:spLocks noTextEdit="1"/>
            </xdr:cNvSpPr>
          </xdr:nvSpPr>
          <xdr:spPr>
            <a:xfrm>
              <a:off x="2225040" y="3063240"/>
              <a:ext cx="2016000" cy="226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1</xdr:row>
      <xdr:rowOff>15240</xdr:rowOff>
    </xdr:from>
    <xdr:to>
      <xdr:col>12</xdr:col>
      <xdr:colOff>30480</xdr:colOff>
      <xdr:row>13</xdr:row>
      <xdr:rowOff>160020</xdr:rowOff>
    </xdr:to>
    <xdr:graphicFrame macro="">
      <xdr:nvGraphicFramePr>
        <xdr:cNvPr id="11" name="Chart 10">
          <a:extLst>
            <a:ext uri="{FF2B5EF4-FFF2-40B4-BE49-F238E27FC236}">
              <a16:creationId xmlns:a16="http://schemas.microsoft.com/office/drawing/2014/main" id="{AF027384-3508-5264-02B5-594F2F5546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556260</xdr:colOff>
      <xdr:row>13</xdr:row>
      <xdr:rowOff>167640</xdr:rowOff>
    </xdr:from>
    <xdr:to>
      <xdr:col>12</xdr:col>
      <xdr:colOff>30480</xdr:colOff>
      <xdr:row>24</xdr:row>
      <xdr:rowOff>30480</xdr:rowOff>
    </xdr:to>
    <xdr:graphicFrame macro="">
      <xdr:nvGraphicFramePr>
        <xdr:cNvPr id="13" name="Chart 12">
          <a:extLst>
            <a:ext uri="{FF2B5EF4-FFF2-40B4-BE49-F238E27FC236}">
              <a16:creationId xmlns:a16="http://schemas.microsoft.com/office/drawing/2014/main" id="{A6FDCAD4-EDB0-67B6-D5F3-5840C1D37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24</xdr:row>
      <xdr:rowOff>45720</xdr:rowOff>
    </xdr:from>
    <xdr:to>
      <xdr:col>11</xdr:col>
      <xdr:colOff>769620</xdr:colOff>
      <xdr:row>35</xdr:row>
      <xdr:rowOff>76200</xdr:rowOff>
    </xdr:to>
    <xdr:graphicFrame macro="">
      <xdr:nvGraphicFramePr>
        <xdr:cNvPr id="15" name="Chart 14">
          <a:extLst>
            <a:ext uri="{FF2B5EF4-FFF2-40B4-BE49-F238E27FC236}">
              <a16:creationId xmlns:a16="http://schemas.microsoft.com/office/drawing/2014/main" id="{A5D14ADB-C051-00D0-9DA6-3CF306FDAD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45720</xdr:colOff>
      <xdr:row>11</xdr:row>
      <xdr:rowOff>60960</xdr:rowOff>
    </xdr:from>
    <xdr:to>
      <xdr:col>16</xdr:col>
      <xdr:colOff>441960</xdr:colOff>
      <xdr:row>24</xdr:row>
      <xdr:rowOff>160020</xdr:rowOff>
    </xdr:to>
    <xdr:graphicFrame macro="">
      <xdr:nvGraphicFramePr>
        <xdr:cNvPr id="21" name="Chart 20">
          <a:extLst>
            <a:ext uri="{FF2B5EF4-FFF2-40B4-BE49-F238E27FC236}">
              <a16:creationId xmlns:a16="http://schemas.microsoft.com/office/drawing/2014/main" id="{3E866E80-99C5-F70A-2839-E2B23F21ED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251460</xdr:colOff>
      <xdr:row>1</xdr:row>
      <xdr:rowOff>182880</xdr:rowOff>
    </xdr:from>
    <xdr:to>
      <xdr:col>17</xdr:col>
      <xdr:colOff>114300</xdr:colOff>
      <xdr:row>4</xdr:row>
      <xdr:rowOff>60960</xdr:rowOff>
    </xdr:to>
    <xdr:sp macro="" textlink="">
      <xdr:nvSpPr>
        <xdr:cNvPr id="23" name="TextBox 22">
          <a:extLst>
            <a:ext uri="{FF2B5EF4-FFF2-40B4-BE49-F238E27FC236}">
              <a16:creationId xmlns:a16="http://schemas.microsoft.com/office/drawing/2014/main" id="{0B010FCA-90BB-3EF5-B32D-DB583D8F5E35}"/>
            </a:ext>
          </a:extLst>
        </xdr:cNvPr>
        <xdr:cNvSpPr txBox="1"/>
      </xdr:nvSpPr>
      <xdr:spPr>
        <a:xfrm>
          <a:off x="12382500" y="579120"/>
          <a:ext cx="2301240" cy="53340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Electronics is The Most Profitable Category</a:t>
          </a:r>
        </a:p>
      </xdr:txBody>
    </xdr:sp>
    <xdr:clientData/>
  </xdr:twoCellAnchor>
  <xdr:twoCellAnchor>
    <xdr:from>
      <xdr:col>14</xdr:col>
      <xdr:colOff>220980</xdr:colOff>
      <xdr:row>5</xdr:row>
      <xdr:rowOff>160020</xdr:rowOff>
    </xdr:from>
    <xdr:to>
      <xdr:col>17</xdr:col>
      <xdr:colOff>76200</xdr:colOff>
      <xdr:row>8</xdr:row>
      <xdr:rowOff>53340</xdr:rowOff>
    </xdr:to>
    <xdr:sp macro="" textlink="">
      <xdr:nvSpPr>
        <xdr:cNvPr id="24" name="TextBox 23">
          <a:extLst>
            <a:ext uri="{FF2B5EF4-FFF2-40B4-BE49-F238E27FC236}">
              <a16:creationId xmlns:a16="http://schemas.microsoft.com/office/drawing/2014/main" id="{28832B3E-D66E-7919-D849-5A9F339F8484}"/>
            </a:ext>
          </a:extLst>
        </xdr:cNvPr>
        <xdr:cNvSpPr txBox="1"/>
      </xdr:nvSpPr>
      <xdr:spPr>
        <a:xfrm>
          <a:off x="12352020" y="1409700"/>
          <a:ext cx="2293620" cy="548640"/>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West Region Generates The Highest Sales</a:t>
          </a:r>
        </a:p>
      </xdr:txBody>
    </xdr:sp>
    <xdr:clientData/>
  </xdr:twoCellAnchor>
  <xdr:twoCellAnchor>
    <xdr:from>
      <xdr:col>14</xdr:col>
      <xdr:colOff>243840</xdr:colOff>
      <xdr:row>26</xdr:row>
      <xdr:rowOff>160020</xdr:rowOff>
    </xdr:from>
    <xdr:to>
      <xdr:col>17</xdr:col>
      <xdr:colOff>167640</xdr:colOff>
      <xdr:row>29</xdr:row>
      <xdr:rowOff>53340</xdr:rowOff>
    </xdr:to>
    <xdr:sp macro="" textlink="">
      <xdr:nvSpPr>
        <xdr:cNvPr id="25" name="TextBox 24">
          <a:extLst>
            <a:ext uri="{FF2B5EF4-FFF2-40B4-BE49-F238E27FC236}">
              <a16:creationId xmlns:a16="http://schemas.microsoft.com/office/drawing/2014/main" id="{A7AF6953-953F-BE23-E617-0F4B6F32C9EA}"/>
            </a:ext>
          </a:extLst>
        </xdr:cNvPr>
        <xdr:cNvSpPr txBox="1"/>
      </xdr:nvSpPr>
      <xdr:spPr>
        <a:xfrm>
          <a:off x="12595860" y="5859780"/>
          <a:ext cx="2362200" cy="548640"/>
        </a:xfrm>
        <a:prstGeom prst="rect">
          <a:avLst/>
        </a:prstGeom>
        <a:solidFill>
          <a:srgbClr val="FF2D2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North is The Least Profitable Region</a:t>
          </a:r>
          <a:r>
            <a:rPr lang="en-IN" sz="1400"/>
            <a:t>.</a:t>
          </a:r>
        </a:p>
      </xdr:txBody>
    </xdr:sp>
    <xdr:clientData/>
  </xdr:twoCellAnchor>
  <xdr:twoCellAnchor>
    <xdr:from>
      <xdr:col>14</xdr:col>
      <xdr:colOff>228600</xdr:colOff>
      <xdr:row>30</xdr:row>
      <xdr:rowOff>106680</xdr:rowOff>
    </xdr:from>
    <xdr:to>
      <xdr:col>17</xdr:col>
      <xdr:colOff>129540</xdr:colOff>
      <xdr:row>33</xdr:row>
      <xdr:rowOff>22860</xdr:rowOff>
    </xdr:to>
    <xdr:sp macro="" textlink="">
      <xdr:nvSpPr>
        <xdr:cNvPr id="26" name="TextBox 25">
          <a:extLst>
            <a:ext uri="{FF2B5EF4-FFF2-40B4-BE49-F238E27FC236}">
              <a16:creationId xmlns:a16="http://schemas.microsoft.com/office/drawing/2014/main" id="{9EAAC194-6069-8EF7-5DB7-F2FD4A9EDDE7}"/>
            </a:ext>
          </a:extLst>
        </xdr:cNvPr>
        <xdr:cNvSpPr txBox="1"/>
      </xdr:nvSpPr>
      <xdr:spPr>
        <a:xfrm>
          <a:off x="12580620" y="6644640"/>
          <a:ext cx="2339340" cy="556260"/>
        </a:xfrm>
        <a:prstGeom prst="rect">
          <a:avLst/>
        </a:prstGeom>
        <a:solidFill>
          <a:srgbClr val="FF2D2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b="1">
              <a:solidFill>
                <a:schemeClr val="bg1"/>
              </a:solidFill>
            </a:rPr>
            <a:t>Office is The Least Profitable Category.</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kumar" refreshedDate="46094.650945370369" createdVersion="8" refreshedVersion="8" minRefreshableVersion="3" recordCount="3500" xr:uid="{BC09664E-FB10-448F-84AA-891F7805A8CC}">
  <cacheSource type="worksheet">
    <worksheetSource name="ecommerce_sales_data__2"/>
  </cacheSource>
  <cacheFields count="10">
    <cacheField name="Order Date" numFmtId="14">
      <sharedItems containsSemiMixedTypes="0" containsNonDate="0" containsDate="1" containsString="0" minDate="2022-01-01T00:00:00" maxDate="2025-01-01T00:00:00" count="1051">
        <d v="2024-12-31T00:00:00"/>
        <d v="2022-11-27T00:00:00"/>
        <d v="2022-05-11T00:00:00"/>
        <d v="2024-03-16T00:00:00"/>
        <d v="2022-09-10T00:00:00"/>
        <d v="2023-12-01T00:00:00"/>
        <d v="2023-10-09T00:00:00"/>
        <d v="2022-01-14T00:00:00"/>
        <d v="2022-04-02T00:00:00"/>
        <d v="2024-10-22T00:00:00"/>
        <d v="2023-12-04T00:00:00"/>
        <d v="2022-09-27T00:00:00"/>
        <d v="2023-12-21T00:00:00"/>
        <d v="2024-02-03T00:00:00"/>
        <d v="2023-10-10T00:00:00"/>
        <d v="2022-10-16T00:00:00"/>
        <d v="2022-05-15T00:00:00"/>
        <d v="2023-02-11T00:00:00"/>
        <d v="2023-12-27T00:00:00"/>
        <d v="2023-10-05T00:00:00"/>
        <d v="2024-03-05T00:00:00"/>
        <d v="2023-07-18T00:00:00"/>
        <d v="2023-06-25T00:00:00"/>
        <d v="2023-11-13T00:00:00"/>
        <d v="2022-07-09T00:00:00"/>
        <d v="2023-12-11T00:00:00"/>
        <d v="2023-03-18T00:00:00"/>
        <d v="2024-08-09T00:00:00"/>
        <d v="2024-05-04T00:00:00"/>
        <d v="2022-09-04T00:00:00"/>
        <d v="2022-10-21T00:00:00"/>
        <d v="2024-01-22T00:00:00"/>
        <d v="2023-04-09T00:00:00"/>
        <d v="2023-02-07T00:00:00"/>
        <d v="2023-05-04T00:00:00"/>
        <d v="2023-04-18T00:00:00"/>
        <d v="2022-12-12T00:00:00"/>
        <d v="2022-09-11T00:00:00"/>
        <d v="2024-03-26T00:00:00"/>
        <d v="2023-09-20T00:00:00"/>
        <d v="2023-05-25T00:00:00"/>
        <d v="2022-12-04T00:00:00"/>
        <d v="2022-06-10T00:00:00"/>
        <d v="2023-02-05T00:00:00"/>
        <d v="2024-01-20T00:00:00"/>
        <d v="2022-01-27T00:00:00"/>
        <d v="2023-03-29T00:00:00"/>
        <d v="2022-01-17T00:00:00"/>
        <d v="2024-11-26T00:00:00"/>
        <d v="2024-09-19T00:00:00"/>
        <d v="2023-07-20T00:00:00"/>
        <d v="2024-05-03T00:00:00"/>
        <d v="2022-09-03T00:00:00"/>
        <d v="2024-07-09T00:00:00"/>
        <d v="2022-11-17T00:00:00"/>
        <d v="2023-12-28T00:00:00"/>
        <d v="2022-05-30T00:00:00"/>
        <d v="2024-04-17T00:00:00"/>
        <d v="2024-09-30T00:00:00"/>
        <d v="2024-06-02T00:00:00"/>
        <d v="2022-09-26T00:00:00"/>
        <d v="2024-12-17T00:00:00"/>
        <d v="2024-10-09T00:00:00"/>
        <d v="2023-07-14T00:00:00"/>
        <d v="2023-12-05T00:00:00"/>
        <d v="2022-06-03T00:00:00"/>
        <d v="2024-12-28T00:00:00"/>
        <d v="2022-08-06T00:00:00"/>
        <d v="2023-06-06T00:00:00"/>
        <d v="2024-02-01T00:00:00"/>
        <d v="2023-05-31T00:00:00"/>
        <d v="2024-06-14T00:00:00"/>
        <d v="2024-08-14T00:00:00"/>
        <d v="2023-02-01T00:00:00"/>
        <d v="2024-04-28T00:00:00"/>
        <d v="2024-04-05T00:00:00"/>
        <d v="2024-01-31T00:00:00"/>
        <d v="2024-01-09T00:00:00"/>
        <d v="2022-04-06T00:00:00"/>
        <d v="2024-05-22T00:00:00"/>
        <d v="2023-12-30T00:00:00"/>
        <d v="2022-03-17T00:00:00"/>
        <d v="2022-05-24T00:00:00"/>
        <d v="2024-06-09T00:00:00"/>
        <d v="2024-12-01T00:00:00"/>
        <d v="2023-10-20T00:00:00"/>
        <d v="2022-12-05T00:00:00"/>
        <d v="2022-08-05T00:00:00"/>
        <d v="2023-03-21T00:00:00"/>
        <d v="2022-02-08T00:00:00"/>
        <d v="2023-04-01T00:00:00"/>
        <d v="2022-12-14T00:00:00"/>
        <d v="2022-05-14T00:00:00"/>
        <d v="2022-02-16T00:00:00"/>
        <d v="2024-08-28T00:00:00"/>
        <d v="2023-10-30T00:00:00"/>
        <d v="2023-06-24T00:00:00"/>
        <d v="2023-05-17T00:00:00"/>
        <d v="2023-04-06T00:00:00"/>
        <d v="2023-03-26T00:00:00"/>
        <d v="2024-10-12T00:00:00"/>
        <d v="2022-06-26T00:00:00"/>
        <d v="2022-04-15T00:00:00"/>
        <d v="2023-12-10T00:00:00"/>
        <d v="2024-09-23T00:00:00"/>
        <d v="2022-01-01T00:00:00"/>
        <d v="2022-02-03T00:00:00"/>
        <d v="2023-03-14T00:00:00"/>
        <d v="2022-08-24T00:00:00"/>
        <d v="2024-07-07T00:00:00"/>
        <d v="2022-04-13T00:00:00"/>
        <d v="2024-05-08T00:00:00"/>
        <d v="2024-09-10T00:00:00"/>
        <d v="2024-06-18T00:00:00"/>
        <d v="2022-05-06T00:00:00"/>
        <d v="2023-10-29T00:00:00"/>
        <d v="2022-08-21T00:00:00"/>
        <d v="2024-03-04T00:00:00"/>
        <d v="2022-04-17T00:00:00"/>
        <d v="2023-12-20T00:00:00"/>
        <d v="2022-03-19T00:00:00"/>
        <d v="2023-04-30T00:00:00"/>
        <d v="2024-03-22T00:00:00"/>
        <d v="2022-03-08T00:00:00"/>
        <d v="2023-09-15T00:00:00"/>
        <d v="2023-03-01T00:00:00"/>
        <d v="2023-10-24T00:00:00"/>
        <d v="2024-04-22T00:00:00"/>
        <d v="2023-06-27T00:00:00"/>
        <d v="2023-04-13T00:00:00"/>
        <d v="2023-05-19T00:00:00"/>
        <d v="2024-11-15T00:00:00"/>
        <d v="2023-12-25T00:00:00"/>
        <d v="2022-03-31T00:00:00"/>
        <d v="2024-04-24T00:00:00"/>
        <d v="2022-01-10T00:00:00"/>
        <d v="2024-06-29T00:00:00"/>
        <d v="2022-11-14T00:00:00"/>
        <d v="2023-08-11T00:00:00"/>
        <d v="2022-10-23T00:00:00"/>
        <d v="2023-02-26T00:00:00"/>
        <d v="2024-10-03T00:00:00"/>
        <d v="2022-07-17T00:00:00"/>
        <d v="2024-11-04T00:00:00"/>
        <d v="2023-02-24T00:00:00"/>
        <d v="2024-08-08T00:00:00"/>
        <d v="2024-05-14T00:00:00"/>
        <d v="2022-01-15T00:00:00"/>
        <d v="2022-05-10T00:00:00"/>
        <d v="2022-03-10T00:00:00"/>
        <d v="2022-01-23T00:00:00"/>
        <d v="2024-06-06T00:00:00"/>
        <d v="2024-10-10T00:00:00"/>
        <d v="2024-03-24T00:00:00"/>
        <d v="2023-07-21T00:00:00"/>
        <d v="2022-07-21T00:00:00"/>
        <d v="2022-09-01T00:00:00"/>
        <d v="2023-04-20T00:00:00"/>
        <d v="2024-09-29T00:00:00"/>
        <d v="2023-11-20T00:00:00"/>
        <d v="2023-07-15T00:00:00"/>
        <d v="2023-12-24T00:00:00"/>
        <d v="2023-08-13T00:00:00"/>
        <d v="2022-04-24T00:00:00"/>
        <d v="2024-07-13T00:00:00"/>
        <d v="2022-06-11T00:00:00"/>
        <d v="2024-10-28T00:00:00"/>
        <d v="2022-11-24T00:00:00"/>
        <d v="2024-06-28T00:00:00"/>
        <d v="2022-05-31T00:00:00"/>
        <d v="2024-03-25T00:00:00"/>
        <d v="2023-01-31T00:00:00"/>
        <d v="2024-06-23T00:00:00"/>
        <d v="2023-08-16T00:00:00"/>
        <d v="2023-06-10T00:00:00"/>
        <d v="2023-05-09T00:00:00"/>
        <d v="2022-05-08T00:00:00"/>
        <d v="2024-11-06T00:00:00"/>
        <d v="2022-12-08T00:00:00"/>
        <d v="2022-09-25T00:00:00"/>
        <d v="2024-07-10T00:00:00"/>
        <d v="2024-03-29T00:00:00"/>
        <d v="2022-01-11T00:00:00"/>
        <d v="2022-04-08T00:00:00"/>
        <d v="2024-01-21T00:00:00"/>
        <d v="2023-04-27T00:00:00"/>
        <d v="2022-10-02T00:00:00"/>
        <d v="2022-01-12T00:00:00"/>
        <d v="2023-01-09T00:00:00"/>
        <d v="2024-09-07T00:00:00"/>
        <d v="2022-05-17T00:00:00"/>
        <d v="2023-08-17T00:00:00"/>
        <d v="2023-09-07T00:00:00"/>
        <d v="2023-05-12T00:00:00"/>
        <d v="2023-05-08T00:00:00"/>
        <d v="2023-02-18T00:00:00"/>
        <d v="2022-01-29T00:00:00"/>
        <d v="2023-01-12T00:00:00"/>
        <d v="2022-01-03T00:00:00"/>
        <d v="2022-10-20T00:00:00"/>
        <d v="2024-08-21T00:00:00"/>
        <d v="2022-08-14T00:00:00"/>
        <d v="2024-06-03T00:00:00"/>
        <d v="2024-01-23T00:00:00"/>
        <d v="2022-03-03T00:00:00"/>
        <d v="2024-02-20T00:00:00"/>
        <d v="2022-06-19T00:00:00"/>
        <d v="2024-09-01T00:00:00"/>
        <d v="2024-08-30T00:00:00"/>
        <d v="2022-08-12T00:00:00"/>
        <d v="2022-08-04T00:00:00"/>
        <d v="2024-11-20T00:00:00"/>
        <d v="2023-08-12T00:00:00"/>
        <d v="2023-04-12T00:00:00"/>
        <d v="2023-07-26T00:00:00"/>
        <d v="2024-01-01T00:00:00"/>
        <d v="2023-12-06T00:00:00"/>
        <d v="2024-10-27T00:00:00"/>
        <d v="2024-08-04T00:00:00"/>
        <d v="2022-03-25T00:00:00"/>
        <d v="2024-10-05T00:00:00"/>
        <d v="2024-12-19T00:00:00"/>
        <d v="2022-07-18T00:00:00"/>
        <d v="2023-06-11T00:00:00"/>
        <d v="2024-10-13T00:00:00"/>
        <d v="2023-08-07T00:00:00"/>
        <d v="2024-02-18T00:00:00"/>
        <d v="2024-12-05T00:00:00"/>
        <d v="2023-12-15T00:00:00"/>
        <d v="2024-05-20T00:00:00"/>
        <d v="2024-06-05T00:00:00"/>
        <d v="2022-01-09T00:00:00"/>
        <d v="2023-12-17T00:00:00"/>
        <d v="2022-09-08T00:00:00"/>
        <d v="2022-01-22T00:00:00"/>
        <d v="2024-09-04T00:00:00"/>
        <d v="2022-11-03T00:00:00"/>
        <d v="2023-07-03T00:00:00"/>
        <d v="2024-01-25T00:00:00"/>
        <d v="2024-05-11T00:00:00"/>
        <d v="2024-01-02T00:00:00"/>
        <d v="2024-07-20T00:00:00"/>
        <d v="2023-06-14T00:00:00"/>
        <d v="2022-04-10T00:00:00"/>
        <d v="2024-10-01T00:00:00"/>
        <d v="2022-01-28T00:00:00"/>
        <d v="2023-04-05T00:00:00"/>
        <d v="2023-09-22T00:00:00"/>
        <d v="2024-08-29T00:00:00"/>
        <d v="2023-11-18T00:00:00"/>
        <d v="2023-09-12T00:00:00"/>
        <d v="2023-05-26T00:00:00"/>
        <d v="2024-11-01T00:00:00"/>
        <d v="2023-05-10T00:00:00"/>
        <d v="2022-11-04T00:00:00"/>
        <d v="2022-05-09T00:00:00"/>
        <d v="2022-11-07T00:00:00"/>
        <d v="2024-10-21T00:00:00"/>
        <d v="2024-10-06T00:00:00"/>
        <d v="2023-08-08T00:00:00"/>
        <d v="2022-01-19T00:00:00"/>
        <d v="2024-04-30T00:00:00"/>
        <d v="2023-12-26T00:00:00"/>
        <d v="2024-04-07T00:00:00"/>
        <d v="2022-10-18T00:00:00"/>
        <d v="2024-04-21T00:00:00"/>
        <d v="2022-10-31T00:00:00"/>
        <d v="2023-03-03T00:00:00"/>
        <d v="2023-02-03T00:00:00"/>
        <d v="2023-04-15T00:00:00"/>
        <d v="2022-01-02T00:00:00"/>
        <d v="2024-11-28T00:00:00"/>
        <d v="2022-02-05T00:00:00"/>
        <d v="2022-02-19T00:00:00"/>
        <d v="2024-05-06T00:00:00"/>
        <d v="2023-08-04T00:00:00"/>
        <d v="2023-09-23T00:00:00"/>
        <d v="2024-09-14T00:00:00"/>
        <d v="2023-03-17T00:00:00"/>
        <d v="2023-09-29T00:00:00"/>
        <d v="2023-09-13T00:00:00"/>
        <d v="2022-03-14T00:00:00"/>
        <d v="2022-05-29T00:00:00"/>
        <d v="2023-01-16T00:00:00"/>
        <d v="2023-09-06T00:00:00"/>
        <d v="2023-11-01T00:00:00"/>
        <d v="2022-08-25T00:00:00"/>
        <d v="2022-12-30T00:00:00"/>
        <d v="2024-01-08T00:00:00"/>
        <d v="2022-12-27T00:00:00"/>
        <d v="2024-04-14T00:00:00"/>
        <d v="2023-02-10T00:00:00"/>
        <d v="2024-07-19T00:00:00"/>
        <d v="2024-03-03T00:00:00"/>
        <d v="2024-04-12T00:00:00"/>
        <d v="2024-06-20T00:00:00"/>
        <d v="2023-06-21T00:00:00"/>
        <d v="2023-01-25T00:00:00"/>
        <d v="2024-02-17T00:00:00"/>
        <d v="2024-09-09T00:00:00"/>
        <d v="2023-09-01T00:00:00"/>
        <d v="2024-03-30T00:00:00"/>
        <d v="2024-12-22T00:00:00"/>
        <d v="2024-09-08T00:00:00"/>
        <d v="2023-01-21T00:00:00"/>
        <d v="2023-10-12T00:00:00"/>
        <d v="2022-08-01T00:00:00"/>
        <d v="2023-11-03T00:00:00"/>
        <d v="2023-06-30T00:00:00"/>
        <d v="2023-12-16T00:00:00"/>
        <d v="2022-03-20T00:00:00"/>
        <d v="2024-07-28T00:00:00"/>
        <d v="2022-03-28T00:00:00"/>
        <d v="2023-01-01T00:00:00"/>
        <d v="2024-09-18T00:00:00"/>
        <d v="2024-08-19T00:00:00"/>
        <d v="2022-06-18T00:00:00"/>
        <d v="2022-06-09T00:00:00"/>
        <d v="2023-05-03T00:00:00"/>
        <d v="2023-11-17T00:00:00"/>
        <d v="2023-10-23T00:00:00"/>
        <d v="2024-05-09T00:00:00"/>
        <d v="2023-03-12T00:00:00"/>
        <d v="2022-10-05T00:00:00"/>
        <d v="2024-05-23T00:00:00"/>
        <d v="2024-07-11T00:00:00"/>
        <d v="2022-08-22T00:00:00"/>
        <d v="2024-11-03T00:00:00"/>
        <d v="2024-10-11T00:00:00"/>
        <d v="2024-11-09T00:00:00"/>
        <d v="2024-04-01T00:00:00"/>
        <d v="2022-07-07T00:00:00"/>
        <d v="2023-05-15T00:00:00"/>
        <d v="2022-06-08T00:00:00"/>
        <d v="2023-06-26T00:00:00"/>
        <d v="2024-04-10T00:00:00"/>
        <d v="2023-07-01T00:00:00"/>
        <d v="2022-02-18T00:00:00"/>
        <d v="2023-09-30T00:00:00"/>
        <d v="2023-09-04T00:00:00"/>
        <d v="2024-07-14T00:00:00"/>
        <d v="2024-04-20T00:00:00"/>
        <d v="2024-05-24T00:00:00"/>
        <d v="2024-12-29T00:00:00"/>
        <d v="2023-05-07T00:00:00"/>
        <d v="2023-05-05T00:00:00"/>
        <d v="2023-07-27T00:00:00"/>
        <d v="2023-06-13T00:00:00"/>
        <d v="2024-05-02T00:00:00"/>
        <d v="2023-07-25T00:00:00"/>
        <d v="2023-01-26T00:00:00"/>
        <d v="2023-01-11T00:00:00"/>
        <d v="2024-09-27T00:00:00"/>
        <d v="2024-12-03T00:00:00"/>
        <d v="2023-08-24T00:00:00"/>
        <d v="2022-06-13T00:00:00"/>
        <d v="2022-08-26T00:00:00"/>
        <d v="2023-01-22T00:00:00"/>
        <d v="2022-08-08T00:00:00"/>
        <d v="2023-11-19T00:00:00"/>
        <d v="2023-06-28T00:00:00"/>
        <d v="2024-07-18T00:00:00"/>
        <d v="2022-09-22T00:00:00"/>
        <d v="2024-07-31T00:00:00"/>
        <d v="2023-04-21T00:00:00"/>
        <d v="2022-09-30T00:00:00"/>
        <d v="2024-12-25T00:00:00"/>
        <d v="2023-03-30T00:00:00"/>
        <d v="2023-10-02T00:00:00"/>
        <d v="2022-05-23T00:00:00"/>
        <d v="2023-10-08T00:00:00"/>
        <d v="2022-05-22T00:00:00"/>
        <d v="2023-08-19T00:00:00"/>
        <d v="2024-06-17T00:00:00"/>
        <d v="2023-02-02T00:00:00"/>
        <d v="2022-10-13T00:00:00"/>
        <d v="2024-03-31T00:00:00"/>
        <d v="2023-05-29T00:00:00"/>
        <d v="2024-12-21T00:00:00"/>
        <d v="2023-12-29T00:00:00"/>
        <d v="2022-11-28T00:00:00"/>
        <d v="2022-05-12T00:00:00"/>
        <d v="2022-08-02T00:00:00"/>
        <d v="2023-12-31T00:00:00"/>
        <d v="2022-04-03T00:00:00"/>
        <d v="2024-01-19T00:00:00"/>
        <d v="2023-01-17T00:00:00"/>
        <d v="2024-05-05T00:00:00"/>
        <d v="2023-06-04T00:00:00"/>
        <d v="2024-09-16T00:00:00"/>
        <d v="2023-02-16T00:00:00"/>
        <d v="2023-10-17T00:00:00"/>
        <d v="2024-02-10T00:00:00"/>
        <d v="2024-09-12T00:00:00"/>
        <d v="2022-10-04T00:00:00"/>
        <d v="2024-04-26T00:00:00"/>
        <d v="2023-11-10T00:00:00"/>
        <d v="2024-04-16T00:00:00"/>
        <d v="2023-07-11T00:00:00"/>
        <d v="2022-09-19T00:00:00"/>
        <d v="2024-02-25T00:00:00"/>
        <d v="2023-03-07T00:00:00"/>
        <d v="2022-03-09T00:00:00"/>
        <d v="2022-12-31T00:00:00"/>
        <d v="2024-04-15T00:00:00"/>
        <d v="2024-05-15T00:00:00"/>
        <d v="2022-04-14T00:00:00"/>
        <d v="2024-09-25T00:00:00"/>
        <d v="2022-03-05T00:00:00"/>
        <d v="2023-08-27T00:00:00"/>
        <d v="2024-05-30T00:00:00"/>
        <d v="2023-11-14T00:00:00"/>
        <d v="2023-11-27T00:00:00"/>
        <d v="2024-12-24T00:00:00"/>
        <d v="2022-05-21T00:00:00"/>
        <d v="2022-09-14T00:00:00"/>
        <d v="2024-03-12T00:00:00"/>
        <d v="2022-11-18T00:00:00"/>
        <d v="2022-10-22T00:00:00"/>
        <d v="2024-11-16T00:00:00"/>
        <d v="2023-03-13T00:00:00"/>
        <d v="2024-10-30T00:00:00"/>
        <d v="2024-11-19T00:00:00"/>
        <d v="2024-04-29T00:00:00"/>
        <d v="2023-11-22T00:00:00"/>
        <d v="2023-09-24T00:00:00"/>
        <d v="2024-07-17T00:00:00"/>
        <d v="2023-06-17T00:00:00"/>
        <d v="2024-06-10T00:00:00"/>
        <d v="2022-01-31T00:00:00"/>
        <d v="2022-10-01T00:00:00"/>
        <d v="2023-07-19T00:00:00"/>
        <d v="2024-05-17T00:00:00"/>
        <d v="2024-01-10T00:00:00"/>
        <d v="2023-04-10T00:00:00"/>
        <d v="2023-10-27T00:00:00"/>
        <d v="2024-12-04T00:00:00"/>
        <d v="2022-06-06T00:00:00"/>
        <d v="2023-01-28T00:00:00"/>
        <d v="2022-12-28T00:00:00"/>
        <d v="2022-09-24T00:00:00"/>
        <d v="2023-05-06T00:00:00"/>
        <d v="2023-07-13T00:00:00"/>
        <d v="2022-01-05T00:00:00"/>
        <d v="2024-08-03T00:00:00"/>
        <d v="2023-08-21T00:00:00"/>
        <d v="2024-05-12T00:00:00"/>
        <d v="2024-11-08T00:00:00"/>
        <d v="2024-04-27T00:00:00"/>
        <d v="2022-01-08T00:00:00"/>
        <d v="2024-01-24T00:00:00"/>
        <d v="2022-06-20T00:00:00"/>
        <d v="2024-08-01T00:00:00"/>
        <d v="2023-12-19T00:00:00"/>
        <d v="2022-11-20T00:00:00"/>
        <d v="2022-11-11T00:00:00"/>
        <d v="2024-01-03T00:00:00"/>
        <d v="2022-11-23T00:00:00"/>
        <d v="2024-03-01T00:00:00"/>
        <d v="2023-07-07T00:00:00"/>
        <d v="2022-02-09T00:00:00"/>
        <d v="2022-10-17T00:00:00"/>
        <d v="2022-07-31T00:00:00"/>
        <d v="2024-05-18T00:00:00"/>
        <d v="2022-09-29T00:00:00"/>
        <d v="2024-09-03T00:00:00"/>
        <d v="2023-07-17T00:00:00"/>
        <d v="2022-06-16T00:00:00"/>
        <d v="2024-05-13T00:00:00"/>
        <d v="2024-09-26T00:00:00"/>
        <d v="2023-03-28T00:00:00"/>
        <d v="2024-04-19T00:00:00"/>
        <d v="2022-04-23T00:00:00"/>
        <d v="2023-06-01T00:00:00"/>
        <d v="2022-08-03T00:00:00"/>
        <d v="2024-01-30T00:00:00"/>
        <d v="2023-07-23T00:00:00"/>
        <d v="2023-11-12T00:00:00"/>
        <d v="2024-10-15T00:00:00"/>
        <d v="2023-08-09T00:00:00"/>
        <d v="2022-08-18T00:00:00"/>
        <d v="2022-09-15T00:00:00"/>
        <d v="2022-09-23T00:00:00"/>
        <d v="2022-02-15T00:00:00"/>
        <d v="2022-02-23T00:00:00"/>
        <d v="2023-01-14T00:00:00"/>
        <d v="2024-12-06T00:00:00"/>
        <d v="2023-10-01T00:00:00"/>
        <d v="2023-12-22T00:00:00"/>
        <d v="2024-03-06T00:00:00"/>
        <d v="2024-02-11T00:00:00"/>
        <d v="2024-04-02T00:00:00"/>
        <d v="2024-11-27T00:00:00"/>
        <d v="2022-08-30T00:00:00"/>
        <d v="2022-07-15T00:00:00"/>
        <d v="2022-02-21T00:00:00"/>
        <d v="2023-09-14T00:00:00"/>
        <d v="2024-04-08T00:00:00"/>
        <d v="2023-04-16T00:00:00"/>
        <d v="2023-10-15T00:00:00"/>
        <d v="2023-08-20T00:00:00"/>
        <d v="2024-07-26T00:00:00"/>
        <d v="2024-10-31T00:00:00"/>
        <d v="2022-04-28T00:00:00"/>
        <d v="2024-08-15T00:00:00"/>
        <d v="2024-09-28T00:00:00"/>
        <d v="2022-11-01T00:00:00"/>
        <d v="2023-02-20T00:00:00"/>
        <d v="2023-05-20T00:00:00"/>
        <d v="2022-07-04T00:00:00"/>
        <d v="2022-03-23T00:00:00"/>
        <d v="2022-11-19T00:00:00"/>
        <d v="2022-02-28T00:00:00"/>
        <d v="2023-09-11T00:00:00"/>
        <d v="2022-11-13T00:00:00"/>
        <d v="2024-03-17T00:00:00"/>
        <d v="2022-02-13T00:00:00"/>
        <d v="2024-05-07T00:00:00"/>
        <d v="2024-08-12T00:00:00"/>
        <d v="2023-01-06T00:00:00"/>
        <d v="2022-03-02T00:00:00"/>
        <d v="2022-12-06T00:00:00"/>
        <d v="2023-06-18T00:00:00"/>
        <d v="2023-11-21T00:00:00"/>
        <d v="2023-03-31T00:00:00"/>
        <d v="2024-06-11T00:00:00"/>
        <d v="2023-04-25T00:00:00"/>
        <d v="2022-12-17T00:00:00"/>
        <d v="2024-07-05T00:00:00"/>
        <d v="2023-04-07T00:00:00"/>
        <d v="2022-07-26T00:00:00"/>
        <d v="2022-05-18T00:00:00"/>
        <d v="2022-03-15T00:00:00"/>
        <d v="2023-10-13T00:00:00"/>
        <d v="2024-06-19T00:00:00"/>
        <d v="2022-07-12T00:00:00"/>
        <d v="2023-03-06T00:00:00"/>
        <d v="2023-01-10T00:00:00"/>
        <d v="2024-05-25T00:00:00"/>
        <d v="2024-07-30T00:00:00"/>
        <d v="2022-03-29T00:00:00"/>
        <d v="2024-03-20T00:00:00"/>
        <d v="2024-02-02T00:00:00"/>
        <d v="2022-02-25T00:00:00"/>
        <d v="2024-02-29T00:00:00"/>
        <d v="2024-09-17T00:00:00"/>
        <d v="2024-11-21T00:00:00"/>
        <d v="2022-07-20T00:00:00"/>
        <d v="2022-08-15T00:00:00"/>
        <d v="2024-04-09T00:00:00"/>
        <d v="2023-05-01T00:00:00"/>
        <d v="2024-01-28T00:00:00"/>
        <d v="2024-04-06T00:00:00"/>
        <d v="2022-12-03T00:00:00"/>
        <d v="2023-11-30T00:00:00"/>
        <d v="2022-01-13T00:00:00"/>
        <d v="2023-08-29T00:00:00"/>
        <d v="2024-08-31T00:00:00"/>
        <d v="2022-02-27T00:00:00"/>
        <d v="2022-07-29T00:00:00"/>
        <d v="2023-04-17T00:00:00"/>
        <d v="2024-06-30T00:00:00"/>
        <d v="2024-07-04T00:00:00"/>
        <d v="2023-03-10T00:00:00"/>
        <d v="2023-01-03T00:00:00"/>
        <d v="2023-03-22T00:00:00"/>
        <d v="2022-09-07T00:00:00"/>
        <d v="2024-06-08T00:00:00"/>
        <d v="2022-07-11T00:00:00"/>
        <d v="2023-03-19T00:00:00"/>
        <d v="2022-12-26T00:00:00"/>
        <d v="2024-08-17T00:00:00"/>
        <d v="2023-11-05T00:00:00"/>
        <d v="2023-07-06T00:00:00"/>
        <d v="2023-11-25T00:00:00"/>
        <d v="2022-06-15T00:00:00"/>
        <d v="2022-03-13T00:00:00"/>
        <d v="2023-11-06T00:00:00"/>
        <d v="2024-03-02T00:00:00"/>
        <d v="2023-08-31T00:00:00"/>
        <d v="2023-03-23T00:00:00"/>
        <d v="2022-08-13T00:00:00"/>
        <d v="2022-05-05T00:00:00"/>
        <d v="2024-11-14T00:00:00"/>
        <d v="2022-04-09T00:00:00"/>
        <d v="2024-06-12T00:00:00"/>
        <d v="2023-10-18T00:00:00"/>
        <d v="2023-07-29T00:00:00"/>
        <d v="2024-03-07T00:00:00"/>
        <d v="2024-08-22T00:00:00"/>
        <d v="2023-04-23T00:00:00"/>
        <d v="2022-10-15T00:00:00"/>
        <d v="2022-11-02T00:00:00"/>
        <d v="2023-09-10T00:00:00"/>
        <d v="2024-03-28T00:00:00"/>
        <d v="2022-07-01T00:00:00"/>
        <d v="2023-07-08T00:00:00"/>
        <d v="2022-12-29T00:00:00"/>
        <d v="2023-08-01T00:00:00"/>
        <d v="2024-11-11T00:00:00"/>
        <d v="2024-07-29T00:00:00"/>
        <d v="2022-11-22T00:00:00"/>
        <d v="2024-09-13T00:00:00"/>
        <d v="2024-05-26T00:00:00"/>
        <d v="2023-03-11T00:00:00"/>
        <d v="2022-04-26T00:00:00"/>
        <d v="2023-06-07T00:00:00"/>
        <d v="2024-01-17T00:00:00"/>
        <d v="2023-05-22T00:00:00"/>
        <d v="2023-11-04T00:00:00"/>
        <d v="2023-04-02T00:00:00"/>
        <d v="2024-01-26T00:00:00"/>
        <d v="2022-08-10T00:00:00"/>
        <d v="2023-08-05T00:00:00"/>
        <d v="2023-08-30T00:00:00"/>
        <d v="2022-09-16T00:00:00"/>
        <d v="2023-01-13T00:00:00"/>
        <d v="2023-03-05T00:00:00"/>
        <d v="2024-12-26T00:00:00"/>
        <d v="2024-07-25T00:00:00"/>
        <d v="2022-06-28T00:00:00"/>
        <d v="2023-04-26T00:00:00"/>
        <d v="2023-01-02T00:00:00"/>
        <d v="2023-06-22T00:00:00"/>
        <d v="2024-07-27T00:00:00"/>
        <d v="2023-08-15T00:00:00"/>
        <d v="2023-02-23T00:00:00"/>
        <d v="2022-03-26T00:00:00"/>
        <d v="2024-03-23T00:00:00"/>
        <d v="2024-12-09T00:00:00"/>
        <d v="2023-09-21T00:00:00"/>
        <d v="2024-04-13T00:00:00"/>
        <d v="2023-05-23T00:00:00"/>
        <d v="2022-01-21T00:00:00"/>
        <d v="2022-10-14T00:00:00"/>
        <d v="2023-08-23T00:00:00"/>
        <d v="2023-06-09T00:00:00"/>
        <d v="2022-07-10T00:00:00"/>
        <d v="2024-01-05T00:00:00"/>
        <d v="2023-11-29T00:00:00"/>
        <d v="2024-09-05T00:00:00"/>
        <d v="2023-08-18T00:00:00"/>
        <d v="2023-06-02T00:00:00"/>
        <d v="2024-12-18T00:00:00"/>
        <d v="2023-12-09T00:00:00"/>
        <d v="2022-10-10T00:00:00"/>
        <d v="2022-06-14T00:00:00"/>
        <d v="2023-09-03T00:00:00"/>
        <d v="2024-06-07T00:00:00"/>
        <d v="2024-02-04T00:00:00"/>
        <d v="2023-03-24T00:00:00"/>
        <d v="2024-06-13T00:00:00"/>
        <d v="2023-09-17T00:00:00"/>
        <d v="2022-08-17T00:00:00"/>
        <d v="2023-05-14T00:00:00"/>
        <d v="2022-03-12T00:00:00"/>
        <d v="2023-06-16T00:00:00"/>
        <d v="2023-06-20T00:00:00"/>
        <d v="2022-05-02T00:00:00"/>
        <d v="2022-08-07T00:00:00"/>
        <d v="2022-03-06T00:00:00"/>
        <d v="2023-11-24T00:00:00"/>
        <d v="2023-10-14T00:00:00"/>
        <d v="2023-05-16T00:00:00"/>
        <d v="2023-06-19T00:00:00"/>
        <d v="2023-08-06T00:00:00"/>
        <d v="2022-02-01T00:00:00"/>
        <d v="2022-02-10T00:00:00"/>
        <d v="2023-10-19T00:00:00"/>
        <d v="2022-06-17T00:00:00"/>
        <d v="2022-05-28T00:00:00"/>
        <d v="2024-08-20T00:00:00"/>
        <d v="2022-10-09T00:00:00"/>
        <d v="2023-09-26T00:00:00"/>
        <d v="2024-02-19T00:00:00"/>
        <d v="2022-12-18T00:00:00"/>
        <d v="2022-01-25T00:00:00"/>
        <d v="2022-12-09T00:00:00"/>
        <d v="2024-05-31T00:00:00"/>
        <d v="2022-07-13T00:00:00"/>
        <d v="2022-02-26T00:00:00"/>
        <d v="2024-07-12T00:00:00"/>
        <d v="2023-06-08T00:00:00"/>
        <d v="2022-07-16T00:00:00"/>
        <d v="2023-07-24T00:00:00"/>
        <d v="2024-03-14T00:00:00"/>
        <d v="2024-11-17T00:00:00"/>
        <d v="2023-11-28T00:00:00"/>
        <d v="2022-08-19T00:00:00"/>
        <d v="2024-06-15T00:00:00"/>
        <d v="2023-01-08T00:00:00"/>
        <d v="2022-02-11T00:00:00"/>
        <d v="2022-07-23T00:00:00"/>
        <d v="2022-09-09T00:00:00"/>
        <d v="2023-02-13T00:00:00"/>
        <d v="2023-11-09T00:00:00"/>
        <d v="2022-05-20T00:00:00"/>
        <d v="2024-06-26T00:00:00"/>
        <d v="2023-05-18T00:00:00"/>
        <d v="2022-02-14T00:00:00"/>
        <d v="2023-12-18T00:00:00"/>
        <d v="2024-12-15T00:00:00"/>
        <d v="2024-04-25T00:00:00"/>
        <d v="2024-02-09T00:00:00"/>
        <d v="2023-04-19T00:00:00"/>
        <d v="2024-04-18T00:00:00"/>
        <d v="2023-12-12T00:00:00"/>
        <d v="2023-10-04T00:00:00"/>
        <d v="2023-10-22T00:00:00"/>
        <d v="2022-04-07T00:00:00"/>
        <d v="2024-10-02T00:00:00"/>
        <d v="2022-09-28T00:00:00"/>
        <d v="2024-06-04T00:00:00"/>
        <d v="2023-07-31T00:00:00"/>
        <d v="2022-01-16T00:00:00"/>
        <d v="2024-08-24T00:00:00"/>
        <d v="2022-10-03T00:00:00"/>
        <d v="2022-12-23T00:00:00"/>
        <d v="2022-06-30T00:00:00"/>
        <d v="2024-11-10T00:00:00"/>
        <d v="2024-02-24T00:00:00"/>
        <d v="2022-04-11T00:00:00"/>
        <d v="2023-05-21T00:00:00"/>
        <d v="2024-11-18T00:00:00"/>
        <d v="2022-11-16T00:00:00"/>
        <d v="2024-02-07T00:00:00"/>
        <d v="2024-03-21T00:00:00"/>
        <d v="2022-10-08T00:00:00"/>
        <d v="2022-05-13T00:00:00"/>
        <d v="2024-03-08T00:00:00"/>
        <d v="2022-03-11T00:00:00"/>
        <d v="2024-12-11T00:00:00"/>
        <d v="2024-03-13T00:00:00"/>
        <d v="2022-12-22T00:00:00"/>
        <d v="2023-11-11T00:00:00"/>
        <d v="2023-09-09T00:00:00"/>
        <d v="2022-02-07T00:00:00"/>
        <d v="2024-01-07T00:00:00"/>
        <d v="2023-07-05T00:00:00"/>
        <d v="2024-01-27T00:00:00"/>
        <d v="2024-03-19T00:00:00"/>
        <d v="2024-02-08T00:00:00"/>
        <d v="2023-05-11T00:00:00"/>
        <d v="2022-03-27T00:00:00"/>
        <d v="2023-01-23T00:00:00"/>
        <d v="2023-03-15T00:00:00"/>
        <d v="2022-03-16T00:00:00"/>
        <d v="2023-01-07T00:00:00"/>
        <d v="2023-05-27T00:00:00"/>
        <d v="2023-07-10T00:00:00"/>
        <d v="2024-01-16T00:00:00"/>
        <d v="2024-07-24T00:00:00"/>
        <d v="2022-02-22T00:00:00"/>
        <d v="2022-06-22T00:00:00"/>
        <d v="2022-04-29T00:00:00"/>
        <d v="2022-10-11T00:00:00"/>
        <d v="2024-10-26T00:00:00"/>
        <d v="2022-10-25T00:00:00"/>
        <d v="2024-04-04T00:00:00"/>
        <d v="2024-06-25T00:00:00"/>
        <d v="2023-01-27T00:00:00"/>
        <d v="2022-01-20T00:00:00"/>
        <d v="2023-02-06T00:00:00"/>
        <d v="2022-08-09T00:00:00"/>
        <d v="2024-12-13T00:00:00"/>
        <d v="2024-05-21T00:00:00"/>
        <d v="2024-07-02T00:00:00"/>
        <d v="2024-09-15T00:00:00"/>
        <d v="2022-12-19T00:00:00"/>
        <d v="2024-09-21T00:00:00"/>
        <d v="2024-08-23T00:00:00"/>
        <d v="2022-11-10T00:00:00"/>
        <d v="2023-05-02T00:00:00"/>
        <d v="2024-12-30T00:00:00"/>
        <d v="2024-10-29T00:00:00"/>
        <d v="2024-09-20T00:00:00"/>
        <d v="2022-04-20T00:00:00"/>
        <d v="2022-06-27T00:00:00"/>
        <d v="2024-01-29T00:00:00"/>
        <d v="2022-05-25T00:00:00"/>
        <d v="2023-10-28T00:00:00"/>
        <d v="2022-10-24T00:00:00"/>
        <d v="2022-07-05T00:00:00"/>
        <d v="2022-08-11T00:00:00"/>
        <d v="2024-10-23T00:00:00"/>
        <d v="2022-11-06T00:00:00"/>
        <d v="2023-08-02T00:00:00"/>
        <d v="2022-12-15T00:00:00"/>
        <d v="2022-11-25T00:00:00"/>
        <d v="2022-10-06T00:00:00"/>
        <d v="2024-01-06T00:00:00"/>
        <d v="2024-01-13T00:00:00"/>
        <d v="2024-02-13T00:00:00"/>
        <d v="2022-12-25T00:00:00"/>
        <d v="2022-07-30T00:00:00"/>
        <d v="2024-11-02T00:00:00"/>
        <d v="2023-09-18T00:00:00"/>
        <d v="2024-08-16T00:00:00"/>
        <d v="2022-07-24T00:00:00"/>
        <d v="2022-03-01T00:00:00"/>
        <d v="2024-04-23T00:00:00"/>
        <d v="2023-02-21T00:00:00"/>
        <d v="2022-04-22T00:00:00"/>
        <d v="2022-04-25T00:00:00"/>
        <d v="2022-01-07T00:00:00"/>
        <d v="2024-02-05T00:00:00"/>
        <d v="2022-05-03T00:00:00"/>
        <d v="2024-09-22T00:00:00"/>
        <d v="2022-10-12T00:00:00"/>
        <d v="2023-10-25T00:00:00"/>
        <d v="2023-06-12T00:00:00"/>
        <d v="2024-03-09T00:00:00"/>
        <d v="2022-04-16T00:00:00"/>
        <d v="2022-09-21T00:00:00"/>
        <d v="2022-01-04T00:00:00"/>
        <d v="2022-12-11T00:00:00"/>
        <d v="2022-09-17T00:00:00"/>
        <d v="2023-02-19T00:00:00"/>
        <d v="2022-11-26T00:00:00"/>
        <d v="2024-02-21T00:00:00"/>
        <d v="2024-12-07T00:00:00"/>
        <d v="2024-06-16T00:00:00"/>
        <d v="2022-10-30T00:00:00"/>
        <d v="2022-01-24T00:00:00"/>
        <d v="2022-06-04T00:00:00"/>
        <d v="2024-07-23T00:00:00"/>
        <d v="2023-11-08T00:00:00"/>
        <d v="2024-07-01T00:00:00"/>
        <d v="2024-05-28T00:00:00"/>
        <d v="2022-05-07T00:00:00"/>
        <d v="2022-07-27T00:00:00"/>
        <d v="2023-02-15T00:00:00"/>
        <d v="2023-04-11T00:00:00"/>
        <d v="2022-01-26T00:00:00"/>
        <d v="2022-10-19T00:00:00"/>
        <d v="2023-02-14T00:00:00"/>
        <d v="2024-10-20T00:00:00"/>
        <d v="2022-07-06T00:00:00"/>
        <d v="2024-02-23T00:00:00"/>
        <d v="2022-06-24T00:00:00"/>
        <d v="2024-04-03T00:00:00"/>
        <d v="2023-12-13T00:00:00"/>
        <d v="2022-01-18T00:00:00"/>
        <d v="2023-07-22T00:00:00"/>
        <d v="2023-06-05T00:00:00"/>
        <d v="2023-10-26T00:00:00"/>
        <d v="2023-07-28T00:00:00"/>
        <d v="2022-12-07T00:00:00"/>
        <d v="2023-02-25T00:00:00"/>
        <d v="2024-05-19T00:00:00"/>
        <d v="2023-09-27T00:00:00"/>
        <d v="2022-09-02T00:00:00"/>
        <d v="2024-08-07T00:00:00"/>
        <d v="2022-11-21T00:00:00"/>
        <d v="2022-09-12T00:00:00"/>
        <d v="2023-10-03T00:00:00"/>
        <d v="2023-12-08T00:00:00"/>
        <d v="2022-02-24T00:00:00"/>
        <d v="2023-08-22T00:00:00"/>
        <d v="2024-10-14T00:00:00"/>
        <d v="2022-11-30T00:00:00"/>
        <d v="2022-11-05T00:00:00"/>
        <d v="2024-11-23T00:00:00"/>
        <d v="2023-12-07T00:00:00"/>
        <d v="2024-01-15T00:00:00"/>
        <d v="2023-07-12T00:00:00"/>
        <d v="2022-08-27T00:00:00"/>
        <d v="2023-03-16T00:00:00"/>
        <d v="2023-10-16T00:00:00"/>
        <d v="2023-04-28T00:00:00"/>
        <d v="2024-05-10T00:00:00"/>
        <d v="2023-08-03T00:00:00"/>
        <d v="2022-11-15T00:00:00"/>
        <d v="2024-08-26T00:00:00"/>
        <d v="2024-12-27T00:00:00"/>
        <d v="2023-01-05T00:00:00"/>
        <d v="2024-10-25T00:00:00"/>
        <d v="2024-12-16T00:00:00"/>
        <d v="2024-03-15T00:00:00"/>
        <d v="2022-07-25T00:00:00"/>
        <d v="2024-11-13T00:00:00"/>
        <d v="2022-04-30T00:00:00"/>
        <d v="2023-06-23T00:00:00"/>
        <d v="2024-10-04T00:00:00"/>
        <d v="2024-08-13T00:00:00"/>
        <d v="2023-03-02T00:00:00"/>
        <d v="2023-11-15T00:00:00"/>
        <d v="2024-06-24T00:00:00"/>
        <d v="2024-12-20T00:00:00"/>
        <d v="2023-09-25T00:00:00"/>
        <d v="2024-11-25T00:00:00"/>
        <d v="2022-08-29T00:00:00"/>
        <d v="2024-10-17T00:00:00"/>
        <d v="2023-10-11T00:00:00"/>
        <d v="2023-01-30T00:00:00"/>
        <d v="2024-02-06T00:00:00"/>
        <d v="2024-04-11T00:00:00"/>
        <d v="2023-04-03T00:00:00"/>
        <d v="2024-10-16T00:00:00"/>
        <d v="2022-12-02T00:00:00"/>
        <d v="2022-11-12T00:00:00"/>
        <d v="2022-12-10T00:00:00"/>
        <d v="2024-09-24T00:00:00"/>
        <d v="2024-07-15T00:00:00"/>
        <d v="2023-03-20T00:00:00"/>
        <d v="2022-08-28T00:00:00"/>
        <d v="2022-12-01T00:00:00"/>
        <d v="2023-07-02T00:00:00"/>
        <d v="2024-10-24T00:00:00"/>
        <d v="2024-07-16T00:00:00"/>
        <d v="2023-09-19T00:00:00"/>
        <d v="2022-04-05T00:00:00"/>
        <d v="2023-09-08T00:00:00"/>
        <d v="2022-05-19T00:00:00"/>
        <d v="2022-02-02T00:00:00"/>
        <d v="2022-04-21T00:00:00"/>
        <d v="2024-11-12T00:00:00"/>
        <d v="2022-12-20T00:00:00"/>
        <d v="2022-06-05T00:00:00"/>
        <d v="2024-03-11T00:00:00"/>
        <d v="2023-05-13T00:00:00"/>
        <d v="2024-02-14T00:00:00"/>
        <d v="2022-09-13T00:00:00"/>
        <d v="2024-08-02T00:00:00"/>
        <d v="2023-07-30T00:00:00"/>
        <d v="2022-06-21T00:00:00"/>
        <d v="2022-07-08T00:00:00"/>
        <d v="2024-01-18T00:00:00"/>
        <d v="2022-06-02T00:00:00"/>
        <d v="2023-02-08T00:00:00"/>
        <d v="2022-10-27T00:00:00"/>
        <d v="2022-10-26T00:00:00"/>
        <d v="2024-02-22T00:00:00"/>
        <d v="2024-08-06T00:00:00"/>
        <d v="2022-10-28T00:00:00"/>
        <d v="2022-06-07T00:00:00"/>
        <d v="2024-06-22T00:00:00"/>
        <d v="2023-06-03T00:00:00"/>
        <d v="2023-12-02T00:00:00"/>
        <d v="2023-08-14T00:00:00"/>
        <d v="2023-07-16T00:00:00"/>
        <d v="2024-10-18T00:00:00"/>
        <d v="2024-09-06T00:00:00"/>
        <d v="2024-10-07T00:00:00"/>
        <d v="2022-04-27T00:00:00"/>
        <d v="2023-01-15T00:00:00"/>
        <d v="2023-02-27T00:00:00"/>
        <d v="2023-05-24T00:00:00"/>
        <d v="2024-05-16T00:00:00"/>
        <d v="2023-11-02T00:00:00"/>
        <d v="2024-07-22T00:00:00"/>
        <d v="2024-03-10T00:00:00"/>
        <d v="2022-10-29T00:00:00"/>
        <d v="2024-01-11T00:00:00"/>
        <d v="2022-02-04T00:00:00"/>
        <d v="2023-01-24T00:00:00"/>
        <d v="2023-03-04T00:00:00"/>
        <d v="2024-05-01T00:00:00"/>
        <d v="2022-02-17T00:00:00"/>
        <d v="2024-02-16T00:00:00"/>
        <d v="2024-11-29T00:00:00"/>
        <d v="2023-01-18T00:00:00"/>
        <d v="2023-11-23T00:00:00"/>
        <d v="2023-12-03T00:00:00"/>
        <d v="2023-04-29T00:00:00"/>
        <d v="2024-08-05T00:00:00"/>
        <d v="2023-08-10T00:00:00"/>
        <d v="2022-05-16T00:00:00"/>
        <d v="2023-02-04T00:00:00"/>
        <d v="2022-03-04T00:00:00"/>
        <d v="2024-02-28T00:00:00"/>
        <d v="2023-03-08T00:00:00"/>
        <d v="2023-11-07T00:00:00"/>
        <d v="2023-11-26T00:00:00"/>
        <d v="2023-11-16T00:00:00"/>
        <d v="2024-10-19T00:00:00"/>
        <d v="2024-12-02T00:00:00"/>
        <d v="2023-02-09T00:00:00"/>
        <d v="2022-06-12T00:00:00"/>
        <d v="2022-09-06T00:00:00"/>
        <d v="2023-01-04T00:00:00"/>
        <d v="2022-12-21T00:00:00"/>
        <d v="2024-12-08T00:00:00"/>
        <d v="2024-07-06T00:00:00"/>
        <d v="2023-04-08T00:00:00"/>
        <d v="2023-05-30T00:00:00"/>
        <d v="2023-04-22T00:00:00"/>
        <d v="2022-11-09T00:00:00"/>
        <d v="2024-11-22T00:00:00"/>
        <d v="2024-12-10T00:00:00"/>
        <d v="2024-01-04T00:00:00"/>
        <d v="2023-09-16T00:00:00"/>
        <d v="2022-07-14T00:00:00"/>
        <d v="2023-02-28T00:00:00"/>
        <d v="2022-06-23T00:00:00"/>
        <d v="2022-07-03T00:00:00"/>
        <d v="2022-03-21T00:00:00"/>
        <d v="2022-12-24T00:00:00"/>
        <d v="2022-02-12T00:00:00"/>
        <d v="2024-02-26T00:00:00"/>
        <d v="2024-02-12T00:00:00"/>
        <d v="2024-06-01T00:00:00"/>
        <d v="2023-03-25T00:00:00"/>
        <d v="2024-12-14T00:00:00"/>
        <d v="2022-06-25T00:00:00"/>
        <d v="2024-05-29T00:00:00"/>
        <d v="2022-09-05T00:00:00"/>
        <d v="2023-03-09T00:00:00"/>
        <d v="2022-03-07T00:00:00"/>
        <d v="2023-04-24T00:00:00"/>
        <d v="2023-06-15T00:00:00"/>
        <d v="2022-07-19T00:00:00"/>
        <d v="2022-03-24T00:00:00"/>
        <d v="2023-01-20T00:00:00"/>
        <d v="2022-03-18T00:00:00"/>
        <d v="2024-07-08T00:00:00"/>
        <d v="2024-11-24T00:00:00"/>
        <d v="2022-11-29T00:00:00"/>
        <d v="2022-05-26T00:00:00"/>
        <d v="2024-12-12T00:00:00"/>
        <d v="2023-12-14T00:00:00"/>
        <d v="2022-06-29T00:00:00"/>
        <d v="2023-08-28T00:00:00"/>
        <d v="2022-07-28T00:00:00"/>
        <d v="2023-02-22T00:00:00"/>
        <d v="2024-08-18T00:00:00"/>
        <d v="2022-09-18T00:00:00"/>
        <d v="2024-01-12T00:00:00"/>
        <d v="2023-09-05T00:00:00"/>
        <d v="2024-01-14T00:00:00"/>
        <d v="2023-02-12T00:00:00"/>
        <d v="2022-08-16T00:00:00"/>
        <d v="2022-08-23T00:00:00"/>
        <d v="2022-11-08T00:00:00"/>
        <d v="2022-04-04T00:00:00"/>
        <d v="2022-04-18T00:00:00"/>
        <d v="2024-07-21T00:00:00"/>
        <d v="2024-11-30T00:00:00"/>
        <d v="2022-10-07T00:00:00"/>
        <d v="2023-08-26T00:00:00"/>
        <d v="2022-08-31T00:00:00"/>
        <d v="2022-06-01T00:00:00"/>
        <d v="2022-07-02T00:00:00"/>
        <d v="2022-01-30T00:00:00"/>
        <d v="2022-01-06T00:00:00"/>
        <d v="2024-02-27T00:00:00"/>
        <d v="2024-11-05T00:00:00"/>
        <d v="2022-12-16T00:00:00"/>
        <d v="2022-09-20T00:00:00"/>
        <d v="2023-10-06T00:00:00"/>
        <d v="2022-04-12T00:00:00"/>
      </sharedItems>
      <fieldGroup par="9"/>
    </cacheField>
    <cacheField name="Product Name" numFmtId="0">
      <sharedItems count="10">
        <s v="Printer"/>
        <s v="Mouse"/>
        <s v="Tablet"/>
        <s v="Camera"/>
        <s v="Headphones"/>
        <s v="Smartwatch"/>
        <s v="Monitor"/>
        <s v="Smartphone"/>
        <s v="Keyboard"/>
        <s v="Laptop"/>
      </sharedItems>
    </cacheField>
    <cacheField name="Category" numFmtId="0">
      <sharedItems count="3">
        <s v="Office"/>
        <s v="Accessories"/>
        <s v="Electronics"/>
      </sharedItems>
    </cacheField>
    <cacheField name="Region" numFmtId="0">
      <sharedItems count="4">
        <s v="North"/>
        <s v="East"/>
        <s v="South"/>
        <s v="West"/>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0" maxValue="10782"/>
    </cacheField>
    <cacheField name="Profit" numFmtId="41">
      <sharedItems containsSemiMixedTypes="0" containsString="0" containsNumber="1" minValue="6.97" maxValue="2946.93"/>
    </cacheField>
    <cacheField name="Months (Order Date)" numFmtId="0" databaseField="0">
      <fieldGroup base="0">
        <rangePr groupBy="months" startDate="2022-01-01T00:00:00" endDate="2025-01-01T00:00:00"/>
        <groupItems count="14">
          <s v="&lt;01-01-2022"/>
          <s v="Jan"/>
          <s v="Feb"/>
          <s v="Mar"/>
          <s v="Apr"/>
          <s v="May"/>
          <s v="Jun"/>
          <s v="Jul"/>
          <s v="Aug"/>
          <s v="Sep"/>
          <s v="Oct"/>
          <s v="Nov"/>
          <s v="Dec"/>
          <s v="&gt;01-01-2025"/>
        </groupItems>
      </fieldGroup>
    </cacheField>
    <cacheField name="Quarters (Order Date)" numFmtId="0" databaseField="0">
      <fieldGroup base="0">
        <rangePr groupBy="quarters" startDate="2022-01-01T00:00:00" endDate="2025-01-01T00:00:00"/>
        <groupItems count="6">
          <s v="&lt;01-01-2022"/>
          <s v="Qtr1"/>
          <s v="Qtr2"/>
          <s v="Qtr3"/>
          <s v="Qtr4"/>
          <s v="&gt;01-01-2025"/>
        </groupItems>
      </fieldGroup>
    </cacheField>
    <cacheField name="Years (Order Date)" numFmtId="0" databaseField="0">
      <fieldGroup base="0">
        <rangePr groupBy="years" startDate="2022-01-01T00:00:00" endDate="2025-01-01T00:00:00"/>
        <groupItems count="6">
          <s v="&lt;01-01-2022"/>
          <s v="2022"/>
          <s v="2023"/>
          <s v="2024"/>
          <s v="2025"/>
          <s v="&gt;01-01-2025"/>
        </groupItems>
      </fieldGroup>
    </cacheField>
  </cacheFields>
  <extLst>
    <ext xmlns:x14="http://schemas.microsoft.com/office/spreadsheetml/2009/9/main" uri="{725AE2AE-9491-48be-B2B4-4EB974FC3084}">
      <x14:pivotCacheDefinition pivotCacheId="21441388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am kumar" refreshedDate="46094.695176041663" createdVersion="8" refreshedVersion="8" minRefreshableVersion="3" recordCount="3500" xr:uid="{F3E46D03-C3FC-4963-BD12-4507869F0E3A}">
  <cacheSource type="worksheet">
    <worksheetSource name="ecommerce_sales_data__2[[Order Date]:[Sales]]"/>
  </cacheSource>
  <cacheFields count="6">
    <cacheField name="Order Date" numFmtId="14">
      <sharedItems containsSemiMixedTypes="0" containsNonDate="0" containsDate="1" containsString="0" minDate="2022-01-01T00:00:00" maxDate="2025-01-01T00:00:00"/>
    </cacheField>
    <cacheField name="Product Name" numFmtId="0">
      <sharedItems count="10">
        <s v="Printer"/>
        <s v="Mouse"/>
        <s v="Tablet"/>
        <s v="Camera"/>
        <s v="Headphones"/>
        <s v="Smartwatch"/>
        <s v="Monitor"/>
        <s v="Smartphone"/>
        <s v="Keyboard"/>
        <s v="Laptop"/>
      </sharedItems>
    </cacheField>
    <cacheField name="Category" numFmtId="0">
      <sharedItems/>
    </cacheField>
    <cacheField name="Region" numFmtId="0">
      <sharedItems/>
    </cacheField>
    <cacheField name="Quantity" numFmtId="0">
      <sharedItems containsSemiMixedTypes="0" containsString="0" containsNumber="1" containsInteger="1" minValue="1" maxValue="9"/>
    </cacheField>
    <cacheField name="Sales" numFmtId="0">
      <sharedItems containsSemiMixedTypes="0" containsString="0" containsNumber="1" containsInteger="1" minValue="0" maxValue="1078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x v="0"/>
    <x v="0"/>
    <x v="0"/>
    <x v="0"/>
    <n v="4"/>
    <n v="3640"/>
    <n v="348.93"/>
  </r>
  <r>
    <x v="1"/>
    <x v="1"/>
    <x v="1"/>
    <x v="1"/>
    <n v="7"/>
    <n v="1197"/>
    <n v="106.53"/>
  </r>
  <r>
    <x v="2"/>
    <x v="2"/>
    <x v="2"/>
    <x v="2"/>
    <n v="5"/>
    <n v="5865"/>
    <n v="502.73"/>
  </r>
  <r>
    <x v="3"/>
    <x v="1"/>
    <x v="1"/>
    <x v="2"/>
    <n v="2"/>
    <n v="786"/>
    <n v="202.87"/>
  </r>
  <r>
    <x v="4"/>
    <x v="1"/>
    <x v="1"/>
    <x v="3"/>
    <n v="1"/>
    <n v="509"/>
    <n v="103.28"/>
  </r>
  <r>
    <x v="5"/>
    <x v="3"/>
    <x v="2"/>
    <x v="3"/>
    <n v="1"/>
    <n v="524"/>
    <n v="106.35"/>
  </r>
  <r>
    <x v="6"/>
    <x v="4"/>
    <x v="1"/>
    <x v="0"/>
    <n v="7"/>
    <n v="6167"/>
    <n v="1027.98"/>
  </r>
  <r>
    <x v="7"/>
    <x v="3"/>
    <x v="2"/>
    <x v="2"/>
    <n v="7"/>
    <n v="3059"/>
    <n v="873.5"/>
  </r>
  <r>
    <x v="8"/>
    <x v="5"/>
    <x v="2"/>
    <x v="1"/>
    <n v="9"/>
    <n v="5526"/>
    <n v="595.28"/>
  </r>
  <r>
    <x v="9"/>
    <x v="0"/>
    <x v="0"/>
    <x v="2"/>
    <n v="8"/>
    <n v="672"/>
    <n v="186.37"/>
  </r>
  <r>
    <x v="10"/>
    <x v="6"/>
    <x v="1"/>
    <x v="2"/>
    <n v="6"/>
    <n v="0"/>
    <n v="1357.68"/>
  </r>
  <r>
    <x v="11"/>
    <x v="5"/>
    <x v="2"/>
    <x v="1"/>
    <n v="2"/>
    <n v="502"/>
    <n v="137.4"/>
  </r>
  <r>
    <x v="12"/>
    <x v="2"/>
    <x v="2"/>
    <x v="0"/>
    <n v="7"/>
    <n v="7462"/>
    <n v="2166.17"/>
  </r>
  <r>
    <x v="13"/>
    <x v="7"/>
    <x v="2"/>
    <x v="3"/>
    <n v="5"/>
    <n v="4205"/>
    <n v="585.29"/>
  </r>
  <r>
    <x v="14"/>
    <x v="3"/>
    <x v="2"/>
    <x v="3"/>
    <n v="1"/>
    <n v="570"/>
    <n v="138.54"/>
  </r>
  <r>
    <x v="15"/>
    <x v="4"/>
    <x v="1"/>
    <x v="1"/>
    <n v="1"/>
    <n v="441"/>
    <n v="102.42"/>
  </r>
  <r>
    <x v="16"/>
    <x v="1"/>
    <x v="1"/>
    <x v="0"/>
    <n v="7"/>
    <n v="7469"/>
    <n v="589.80999999999995"/>
  </r>
  <r>
    <x v="17"/>
    <x v="2"/>
    <x v="2"/>
    <x v="2"/>
    <n v="2"/>
    <n v="2212"/>
    <n v="145.75"/>
  </r>
  <r>
    <x v="18"/>
    <x v="2"/>
    <x v="2"/>
    <x v="1"/>
    <n v="5"/>
    <n v="740"/>
    <n v="146.38999999999999"/>
  </r>
  <r>
    <x v="19"/>
    <x v="4"/>
    <x v="1"/>
    <x v="0"/>
    <n v="1"/>
    <n v="662"/>
    <n v="193.92"/>
  </r>
  <r>
    <x v="20"/>
    <x v="1"/>
    <x v="1"/>
    <x v="0"/>
    <n v="7"/>
    <n v="5712"/>
    <n v="651.27"/>
  </r>
  <r>
    <x v="21"/>
    <x v="5"/>
    <x v="2"/>
    <x v="0"/>
    <n v="3"/>
    <n v="2739"/>
    <n v="572.73"/>
  </r>
  <r>
    <x v="22"/>
    <x v="8"/>
    <x v="1"/>
    <x v="3"/>
    <n v="5"/>
    <n v="1400"/>
    <n v="213.63"/>
  </r>
  <r>
    <x v="23"/>
    <x v="0"/>
    <x v="0"/>
    <x v="0"/>
    <n v="3"/>
    <n v="3477"/>
    <n v="939.2"/>
  </r>
  <r>
    <x v="24"/>
    <x v="3"/>
    <x v="2"/>
    <x v="0"/>
    <n v="5"/>
    <n v="3475"/>
    <n v="570.36"/>
  </r>
  <r>
    <x v="25"/>
    <x v="9"/>
    <x v="2"/>
    <x v="3"/>
    <n v="9"/>
    <n v="6138"/>
    <n v="1562.14"/>
  </r>
  <r>
    <x v="26"/>
    <x v="3"/>
    <x v="2"/>
    <x v="3"/>
    <n v="5"/>
    <n v="3665"/>
    <n v="406.93"/>
  </r>
  <r>
    <x v="27"/>
    <x v="0"/>
    <x v="0"/>
    <x v="0"/>
    <n v="2"/>
    <n v="2372"/>
    <n v="206.42"/>
  </r>
  <r>
    <x v="28"/>
    <x v="9"/>
    <x v="2"/>
    <x v="0"/>
    <n v="2"/>
    <n v="1382"/>
    <n v="211.11"/>
  </r>
  <r>
    <x v="29"/>
    <x v="9"/>
    <x v="2"/>
    <x v="3"/>
    <n v="1"/>
    <n v="1126"/>
    <n v="194.08"/>
  </r>
  <r>
    <x v="30"/>
    <x v="0"/>
    <x v="0"/>
    <x v="3"/>
    <n v="8"/>
    <n v="1376"/>
    <n v="152.1"/>
  </r>
  <r>
    <x v="31"/>
    <x v="1"/>
    <x v="1"/>
    <x v="3"/>
    <n v="4"/>
    <n v="988"/>
    <n v="147.91"/>
  </r>
  <r>
    <x v="32"/>
    <x v="9"/>
    <x v="2"/>
    <x v="0"/>
    <n v="9"/>
    <n v="10773"/>
    <n v="1907.36"/>
  </r>
  <r>
    <x v="33"/>
    <x v="4"/>
    <x v="1"/>
    <x v="2"/>
    <n v="4"/>
    <n v="3252"/>
    <n v="713.46"/>
  </r>
  <r>
    <x v="34"/>
    <x v="4"/>
    <x v="1"/>
    <x v="0"/>
    <n v="3"/>
    <n v="2739"/>
    <n v="202.81"/>
  </r>
  <r>
    <x v="35"/>
    <x v="2"/>
    <x v="2"/>
    <x v="2"/>
    <n v="7"/>
    <n v="2709"/>
    <n v="702.79"/>
  </r>
  <r>
    <x v="36"/>
    <x v="0"/>
    <x v="0"/>
    <x v="3"/>
    <n v="3"/>
    <n v="936"/>
    <n v="201.24"/>
  </r>
  <r>
    <x v="37"/>
    <x v="3"/>
    <x v="2"/>
    <x v="3"/>
    <n v="4"/>
    <n v="3720"/>
    <n v="410.92"/>
  </r>
  <r>
    <x v="38"/>
    <x v="1"/>
    <x v="1"/>
    <x v="3"/>
    <n v="5"/>
    <n v="5320"/>
    <n v="716.91"/>
  </r>
  <r>
    <x v="39"/>
    <x v="4"/>
    <x v="1"/>
    <x v="1"/>
    <n v="4"/>
    <n v="804"/>
    <n v="121.51"/>
  </r>
  <r>
    <x v="40"/>
    <x v="9"/>
    <x v="2"/>
    <x v="0"/>
    <n v="8"/>
    <n v="1224"/>
    <n v="246.77"/>
  </r>
  <r>
    <x v="41"/>
    <x v="4"/>
    <x v="1"/>
    <x v="2"/>
    <n v="9"/>
    <n v="8667"/>
    <n v="781.78"/>
  </r>
  <r>
    <x v="42"/>
    <x v="6"/>
    <x v="1"/>
    <x v="3"/>
    <n v="3"/>
    <n v="3018"/>
    <n v="320.11"/>
  </r>
  <r>
    <x v="43"/>
    <x v="9"/>
    <x v="2"/>
    <x v="3"/>
    <n v="5"/>
    <n v="4325"/>
    <n v="1023.39"/>
  </r>
  <r>
    <x v="44"/>
    <x v="9"/>
    <x v="2"/>
    <x v="2"/>
    <n v="3"/>
    <n v="1557"/>
    <n v="181.08"/>
  </r>
  <r>
    <x v="45"/>
    <x v="6"/>
    <x v="1"/>
    <x v="2"/>
    <n v="6"/>
    <n v="3672"/>
    <n v="1002.5"/>
  </r>
  <r>
    <x v="46"/>
    <x v="1"/>
    <x v="1"/>
    <x v="3"/>
    <n v="1"/>
    <n v="333"/>
    <n v="72.34"/>
  </r>
  <r>
    <x v="47"/>
    <x v="4"/>
    <x v="1"/>
    <x v="3"/>
    <n v="4"/>
    <n v="2384"/>
    <n v="577.26"/>
  </r>
  <r>
    <x v="48"/>
    <x v="1"/>
    <x v="1"/>
    <x v="3"/>
    <n v="6"/>
    <n v="888"/>
    <n v="210.39"/>
  </r>
  <r>
    <x v="49"/>
    <x v="9"/>
    <x v="2"/>
    <x v="3"/>
    <n v="5"/>
    <n v="3280"/>
    <n v="954.17"/>
  </r>
  <r>
    <x v="50"/>
    <x v="1"/>
    <x v="1"/>
    <x v="2"/>
    <n v="7"/>
    <n v="1239"/>
    <n v="177.39"/>
  </r>
  <r>
    <x v="51"/>
    <x v="4"/>
    <x v="1"/>
    <x v="1"/>
    <n v="8"/>
    <n v="5880"/>
    <n v="436.85"/>
  </r>
  <r>
    <x v="52"/>
    <x v="7"/>
    <x v="2"/>
    <x v="3"/>
    <n v="2"/>
    <n v="1668"/>
    <n v="437.3"/>
  </r>
  <r>
    <x v="53"/>
    <x v="0"/>
    <x v="0"/>
    <x v="3"/>
    <n v="7"/>
    <n v="4109"/>
    <n v="1037.6400000000001"/>
  </r>
  <r>
    <x v="54"/>
    <x v="5"/>
    <x v="2"/>
    <x v="3"/>
    <n v="7"/>
    <n v="595"/>
    <n v="148.5"/>
  </r>
  <r>
    <x v="55"/>
    <x v="4"/>
    <x v="1"/>
    <x v="1"/>
    <n v="7"/>
    <n v="8155"/>
    <n v="1587.91"/>
  </r>
  <r>
    <x v="56"/>
    <x v="6"/>
    <x v="1"/>
    <x v="2"/>
    <n v="3"/>
    <n v="1872"/>
    <n v="553.1"/>
  </r>
  <r>
    <x v="57"/>
    <x v="5"/>
    <x v="2"/>
    <x v="1"/>
    <n v="6"/>
    <n v="2124"/>
    <n v="126.03"/>
  </r>
  <r>
    <x v="58"/>
    <x v="6"/>
    <x v="1"/>
    <x v="3"/>
    <n v="5"/>
    <n v="5210"/>
    <n v="1338.8"/>
  </r>
  <r>
    <x v="59"/>
    <x v="1"/>
    <x v="1"/>
    <x v="2"/>
    <n v="7"/>
    <n v="5761"/>
    <n v="362.48"/>
  </r>
  <r>
    <x v="60"/>
    <x v="4"/>
    <x v="1"/>
    <x v="2"/>
    <n v="7"/>
    <n v="6895"/>
    <n v="1596.35"/>
  </r>
  <r>
    <x v="61"/>
    <x v="5"/>
    <x v="2"/>
    <x v="1"/>
    <n v="3"/>
    <n v="2118"/>
    <n v="317.08"/>
  </r>
  <r>
    <x v="62"/>
    <x v="5"/>
    <x v="2"/>
    <x v="0"/>
    <n v="5"/>
    <n v="830"/>
    <n v="58.28"/>
  </r>
  <r>
    <x v="63"/>
    <x v="5"/>
    <x v="2"/>
    <x v="0"/>
    <n v="1"/>
    <n v="851"/>
    <n v="93.56"/>
  </r>
  <r>
    <x v="64"/>
    <x v="2"/>
    <x v="2"/>
    <x v="1"/>
    <n v="5"/>
    <n v="4730"/>
    <n v="1365.63"/>
  </r>
  <r>
    <x v="65"/>
    <x v="1"/>
    <x v="1"/>
    <x v="3"/>
    <n v="6"/>
    <n v="5460"/>
    <n v="845.75"/>
  </r>
  <r>
    <x v="66"/>
    <x v="4"/>
    <x v="1"/>
    <x v="1"/>
    <n v="5"/>
    <n v="5795"/>
    <n v="310.60000000000002"/>
  </r>
  <r>
    <x v="67"/>
    <x v="9"/>
    <x v="2"/>
    <x v="2"/>
    <n v="4"/>
    <n v="2008"/>
    <n v="338.44"/>
  </r>
  <r>
    <x v="68"/>
    <x v="1"/>
    <x v="1"/>
    <x v="2"/>
    <n v="7"/>
    <n v="2842"/>
    <n v="425.24"/>
  </r>
  <r>
    <x v="69"/>
    <x v="1"/>
    <x v="1"/>
    <x v="1"/>
    <n v="4"/>
    <n v="3404"/>
    <n v="392.22"/>
  </r>
  <r>
    <x v="70"/>
    <x v="5"/>
    <x v="2"/>
    <x v="3"/>
    <n v="1"/>
    <n v="1065"/>
    <n v="228.63"/>
  </r>
  <r>
    <x v="71"/>
    <x v="2"/>
    <x v="2"/>
    <x v="3"/>
    <n v="7"/>
    <n v="2149"/>
    <n v="121.69"/>
  </r>
  <r>
    <x v="72"/>
    <x v="8"/>
    <x v="1"/>
    <x v="1"/>
    <n v="8"/>
    <n v="5912"/>
    <n v="1143.04"/>
  </r>
  <r>
    <x v="73"/>
    <x v="1"/>
    <x v="1"/>
    <x v="3"/>
    <n v="3"/>
    <n v="3348"/>
    <n v="331.28"/>
  </r>
  <r>
    <x v="74"/>
    <x v="7"/>
    <x v="2"/>
    <x v="2"/>
    <n v="3"/>
    <n v="2409"/>
    <n v="531.79"/>
  </r>
  <r>
    <x v="75"/>
    <x v="2"/>
    <x v="2"/>
    <x v="0"/>
    <n v="2"/>
    <n v="328"/>
    <n v="39.51"/>
  </r>
  <r>
    <x v="76"/>
    <x v="7"/>
    <x v="2"/>
    <x v="3"/>
    <n v="8"/>
    <n v="6224"/>
    <n v="1561.42"/>
  </r>
  <r>
    <x v="77"/>
    <x v="5"/>
    <x v="2"/>
    <x v="0"/>
    <n v="5"/>
    <n v="2530"/>
    <n v="486.09"/>
  </r>
  <r>
    <x v="78"/>
    <x v="4"/>
    <x v="1"/>
    <x v="3"/>
    <n v="4"/>
    <n v="4108"/>
    <n v="462.17"/>
  </r>
  <r>
    <x v="79"/>
    <x v="0"/>
    <x v="0"/>
    <x v="2"/>
    <n v="5"/>
    <n v="1640"/>
    <n v="391.36"/>
  </r>
  <r>
    <x v="80"/>
    <x v="9"/>
    <x v="2"/>
    <x v="2"/>
    <n v="1"/>
    <n v="111"/>
    <n v="19.329999999999998"/>
  </r>
  <r>
    <x v="81"/>
    <x v="4"/>
    <x v="1"/>
    <x v="0"/>
    <n v="1"/>
    <n v="445"/>
    <n v="128.88999999999999"/>
  </r>
  <r>
    <x v="82"/>
    <x v="0"/>
    <x v="0"/>
    <x v="0"/>
    <n v="4"/>
    <n v="3600"/>
    <n v="623.72"/>
  </r>
  <r>
    <x v="83"/>
    <x v="1"/>
    <x v="1"/>
    <x v="0"/>
    <n v="3"/>
    <n v="1335"/>
    <n v="176.44"/>
  </r>
  <r>
    <x v="84"/>
    <x v="8"/>
    <x v="1"/>
    <x v="2"/>
    <n v="5"/>
    <n v="3090"/>
    <n v="242.15"/>
  </r>
  <r>
    <x v="85"/>
    <x v="0"/>
    <x v="0"/>
    <x v="1"/>
    <n v="5"/>
    <n v="3910"/>
    <n v="538.52"/>
  </r>
  <r>
    <x v="20"/>
    <x v="3"/>
    <x v="2"/>
    <x v="2"/>
    <n v="1"/>
    <n v="219"/>
    <n v="32.67"/>
  </r>
  <r>
    <x v="86"/>
    <x v="7"/>
    <x v="2"/>
    <x v="3"/>
    <n v="5"/>
    <n v="390"/>
    <n v="27.77"/>
  </r>
  <r>
    <x v="87"/>
    <x v="9"/>
    <x v="2"/>
    <x v="0"/>
    <n v="6"/>
    <n v="3294"/>
    <n v="359.61"/>
  </r>
  <r>
    <x v="88"/>
    <x v="8"/>
    <x v="1"/>
    <x v="3"/>
    <n v="4"/>
    <n v="4572"/>
    <n v="1038.05"/>
  </r>
  <r>
    <x v="89"/>
    <x v="6"/>
    <x v="1"/>
    <x v="2"/>
    <n v="7"/>
    <n v="980"/>
    <n v="109.94"/>
  </r>
  <r>
    <x v="90"/>
    <x v="4"/>
    <x v="1"/>
    <x v="0"/>
    <n v="2"/>
    <n v="2262"/>
    <n v="532.12"/>
  </r>
  <r>
    <x v="91"/>
    <x v="3"/>
    <x v="2"/>
    <x v="2"/>
    <n v="7"/>
    <n v="7518"/>
    <n v="1655.91"/>
  </r>
  <r>
    <x v="92"/>
    <x v="3"/>
    <x v="2"/>
    <x v="2"/>
    <n v="1"/>
    <n v="873"/>
    <n v="158.97"/>
  </r>
  <r>
    <x v="93"/>
    <x v="1"/>
    <x v="1"/>
    <x v="0"/>
    <n v="6"/>
    <n v="1512"/>
    <n v="423.03"/>
  </r>
  <r>
    <x v="94"/>
    <x v="9"/>
    <x v="2"/>
    <x v="3"/>
    <n v="1"/>
    <n v="705"/>
    <n v="165.16"/>
  </r>
  <r>
    <x v="95"/>
    <x v="5"/>
    <x v="2"/>
    <x v="0"/>
    <n v="8"/>
    <n v="3256"/>
    <n v="533.70000000000005"/>
  </r>
  <r>
    <x v="96"/>
    <x v="2"/>
    <x v="2"/>
    <x v="3"/>
    <n v="4"/>
    <n v="556"/>
    <n v="81.77"/>
  </r>
  <r>
    <x v="97"/>
    <x v="1"/>
    <x v="1"/>
    <x v="1"/>
    <n v="9"/>
    <n v="7101"/>
    <n v="2105.8200000000002"/>
  </r>
  <r>
    <x v="98"/>
    <x v="9"/>
    <x v="2"/>
    <x v="3"/>
    <n v="9"/>
    <n v="8802"/>
    <n v="1344.96"/>
  </r>
  <r>
    <x v="99"/>
    <x v="4"/>
    <x v="1"/>
    <x v="2"/>
    <n v="6"/>
    <n v="5592"/>
    <n v="1294.1600000000001"/>
  </r>
  <r>
    <x v="100"/>
    <x v="2"/>
    <x v="2"/>
    <x v="0"/>
    <n v="2"/>
    <n v="1852"/>
    <n v="168.92"/>
  </r>
  <r>
    <x v="101"/>
    <x v="6"/>
    <x v="1"/>
    <x v="1"/>
    <n v="1"/>
    <n v="195"/>
    <n v="57.88"/>
  </r>
  <r>
    <x v="102"/>
    <x v="1"/>
    <x v="1"/>
    <x v="1"/>
    <n v="9"/>
    <n v="7884"/>
    <n v="2054.02"/>
  </r>
  <r>
    <x v="103"/>
    <x v="9"/>
    <x v="2"/>
    <x v="1"/>
    <n v="5"/>
    <n v="4360"/>
    <n v="1160.55"/>
  </r>
  <r>
    <x v="104"/>
    <x v="1"/>
    <x v="1"/>
    <x v="0"/>
    <n v="6"/>
    <n v="4920"/>
    <n v="929.18"/>
  </r>
  <r>
    <x v="105"/>
    <x v="1"/>
    <x v="1"/>
    <x v="1"/>
    <n v="3"/>
    <n v="3474"/>
    <n v="565"/>
  </r>
  <r>
    <x v="106"/>
    <x v="8"/>
    <x v="1"/>
    <x v="3"/>
    <n v="1"/>
    <n v="930"/>
    <n v="222.5"/>
  </r>
  <r>
    <x v="107"/>
    <x v="2"/>
    <x v="2"/>
    <x v="2"/>
    <n v="7"/>
    <n v="1421"/>
    <n v="248.02"/>
  </r>
  <r>
    <x v="108"/>
    <x v="4"/>
    <x v="1"/>
    <x v="0"/>
    <n v="2"/>
    <n v="634"/>
    <n v="161.1"/>
  </r>
  <r>
    <x v="109"/>
    <x v="3"/>
    <x v="2"/>
    <x v="1"/>
    <n v="1"/>
    <n v="673"/>
    <n v="114.42"/>
  </r>
  <r>
    <x v="110"/>
    <x v="1"/>
    <x v="1"/>
    <x v="2"/>
    <n v="5"/>
    <n v="3135"/>
    <n v="787.7"/>
  </r>
  <r>
    <x v="111"/>
    <x v="7"/>
    <x v="2"/>
    <x v="1"/>
    <n v="6"/>
    <n v="882"/>
    <n v="184.48"/>
  </r>
  <r>
    <x v="112"/>
    <x v="7"/>
    <x v="2"/>
    <x v="1"/>
    <n v="4"/>
    <n v="1192"/>
    <n v="212.77"/>
  </r>
  <r>
    <x v="113"/>
    <x v="0"/>
    <x v="0"/>
    <x v="2"/>
    <n v="3"/>
    <n v="390"/>
    <n v="112.08"/>
  </r>
  <r>
    <x v="112"/>
    <x v="2"/>
    <x v="2"/>
    <x v="0"/>
    <n v="1"/>
    <n v="834"/>
    <n v="95.54"/>
  </r>
  <r>
    <x v="114"/>
    <x v="7"/>
    <x v="2"/>
    <x v="1"/>
    <n v="6"/>
    <n v="612"/>
    <n v="83.75"/>
  </r>
  <r>
    <x v="113"/>
    <x v="4"/>
    <x v="1"/>
    <x v="3"/>
    <n v="9"/>
    <n v="8073"/>
    <n v="710.23"/>
  </r>
  <r>
    <x v="115"/>
    <x v="8"/>
    <x v="1"/>
    <x v="0"/>
    <n v="8"/>
    <n v="2640"/>
    <n v="723.88"/>
  </r>
  <r>
    <x v="23"/>
    <x v="7"/>
    <x v="2"/>
    <x v="0"/>
    <n v="3"/>
    <n v="3234"/>
    <n v="440.7"/>
  </r>
  <r>
    <x v="116"/>
    <x v="6"/>
    <x v="1"/>
    <x v="3"/>
    <n v="5"/>
    <n v="4435"/>
    <n v="355.51"/>
  </r>
  <r>
    <x v="117"/>
    <x v="5"/>
    <x v="2"/>
    <x v="0"/>
    <n v="2"/>
    <n v="2302"/>
    <n v="305.07"/>
  </r>
  <r>
    <x v="118"/>
    <x v="3"/>
    <x v="2"/>
    <x v="1"/>
    <n v="6"/>
    <n v="1728"/>
    <n v="307.44"/>
  </r>
  <r>
    <x v="119"/>
    <x v="9"/>
    <x v="2"/>
    <x v="1"/>
    <n v="4"/>
    <n v="228"/>
    <n v="54.05"/>
  </r>
  <r>
    <x v="120"/>
    <x v="2"/>
    <x v="2"/>
    <x v="3"/>
    <n v="6"/>
    <n v="3450"/>
    <n v="705.74"/>
  </r>
  <r>
    <x v="109"/>
    <x v="7"/>
    <x v="2"/>
    <x v="2"/>
    <n v="8"/>
    <n v="7456"/>
    <n v="1702.48"/>
  </r>
  <r>
    <x v="121"/>
    <x v="7"/>
    <x v="2"/>
    <x v="3"/>
    <n v="6"/>
    <n v="4728"/>
    <n v="705.85"/>
  </r>
  <r>
    <x v="122"/>
    <x v="5"/>
    <x v="2"/>
    <x v="0"/>
    <n v="7"/>
    <n v="945"/>
    <n v="124.62"/>
  </r>
  <r>
    <x v="123"/>
    <x v="9"/>
    <x v="2"/>
    <x v="0"/>
    <n v="4"/>
    <n v="296"/>
    <n v="65.05"/>
  </r>
  <r>
    <x v="124"/>
    <x v="7"/>
    <x v="2"/>
    <x v="3"/>
    <n v="4"/>
    <n v="640"/>
    <n v="149.88999999999999"/>
  </r>
  <r>
    <x v="125"/>
    <x v="2"/>
    <x v="2"/>
    <x v="0"/>
    <n v="1"/>
    <n v="797"/>
    <n v="65.27"/>
  </r>
  <r>
    <x v="126"/>
    <x v="6"/>
    <x v="1"/>
    <x v="0"/>
    <n v="4"/>
    <n v="1456"/>
    <n v="431.89"/>
  </r>
  <r>
    <x v="127"/>
    <x v="6"/>
    <x v="1"/>
    <x v="2"/>
    <n v="6"/>
    <n v="4038"/>
    <n v="364.11"/>
  </r>
  <r>
    <x v="128"/>
    <x v="2"/>
    <x v="2"/>
    <x v="3"/>
    <n v="7"/>
    <n v="5656"/>
    <n v="355.81"/>
  </r>
  <r>
    <x v="129"/>
    <x v="1"/>
    <x v="1"/>
    <x v="3"/>
    <n v="4"/>
    <n v="3876"/>
    <n v="302.37"/>
  </r>
  <r>
    <x v="130"/>
    <x v="8"/>
    <x v="1"/>
    <x v="2"/>
    <n v="6"/>
    <n v="1002"/>
    <n v="114.7"/>
  </r>
  <r>
    <x v="131"/>
    <x v="4"/>
    <x v="1"/>
    <x v="1"/>
    <n v="9"/>
    <n v="2187"/>
    <n v="413.76"/>
  </r>
  <r>
    <x v="132"/>
    <x v="1"/>
    <x v="1"/>
    <x v="0"/>
    <n v="6"/>
    <n v="7146"/>
    <n v="1627.42"/>
  </r>
  <r>
    <x v="133"/>
    <x v="8"/>
    <x v="1"/>
    <x v="2"/>
    <n v="1"/>
    <n v="189"/>
    <n v="14.88"/>
  </r>
  <r>
    <x v="134"/>
    <x v="6"/>
    <x v="1"/>
    <x v="1"/>
    <n v="5"/>
    <n v="940"/>
    <n v="266.02"/>
  </r>
  <r>
    <x v="135"/>
    <x v="4"/>
    <x v="1"/>
    <x v="0"/>
    <n v="1"/>
    <n v="951"/>
    <n v="127.58"/>
  </r>
  <r>
    <x v="54"/>
    <x v="0"/>
    <x v="0"/>
    <x v="1"/>
    <n v="2"/>
    <n v="124"/>
    <n v="27.42"/>
  </r>
  <r>
    <x v="136"/>
    <x v="1"/>
    <x v="1"/>
    <x v="3"/>
    <n v="9"/>
    <n v="7506"/>
    <n v="594.28"/>
  </r>
  <r>
    <x v="137"/>
    <x v="6"/>
    <x v="1"/>
    <x v="3"/>
    <n v="7"/>
    <n v="8176"/>
    <n v="2308.7600000000002"/>
  </r>
  <r>
    <x v="138"/>
    <x v="7"/>
    <x v="2"/>
    <x v="1"/>
    <n v="5"/>
    <n v="2125"/>
    <n v="632.67999999999995"/>
  </r>
  <r>
    <x v="79"/>
    <x v="4"/>
    <x v="1"/>
    <x v="0"/>
    <n v="1"/>
    <n v="967"/>
    <n v="59.98"/>
  </r>
  <r>
    <x v="120"/>
    <x v="4"/>
    <x v="1"/>
    <x v="2"/>
    <n v="5"/>
    <n v="270"/>
    <n v="29.41"/>
  </r>
  <r>
    <x v="139"/>
    <x v="8"/>
    <x v="1"/>
    <x v="3"/>
    <n v="9"/>
    <n v="10035"/>
    <n v="1486.3"/>
  </r>
  <r>
    <x v="140"/>
    <x v="0"/>
    <x v="0"/>
    <x v="0"/>
    <n v="8"/>
    <n v="6792"/>
    <n v="1125.23"/>
  </r>
  <r>
    <x v="141"/>
    <x v="0"/>
    <x v="0"/>
    <x v="1"/>
    <n v="1"/>
    <n v="714"/>
    <n v="99.13"/>
  </r>
  <r>
    <x v="142"/>
    <x v="7"/>
    <x v="2"/>
    <x v="2"/>
    <n v="5"/>
    <n v="765"/>
    <n v="157.63999999999999"/>
  </r>
  <r>
    <x v="143"/>
    <x v="4"/>
    <x v="1"/>
    <x v="1"/>
    <n v="7"/>
    <n v="4221"/>
    <n v="358.02"/>
  </r>
  <r>
    <x v="144"/>
    <x v="9"/>
    <x v="2"/>
    <x v="0"/>
    <n v="4"/>
    <n v="2108"/>
    <n v="576.48"/>
  </r>
  <r>
    <x v="145"/>
    <x v="6"/>
    <x v="1"/>
    <x v="0"/>
    <n v="9"/>
    <n v="10530"/>
    <n v="2387.63"/>
  </r>
  <r>
    <x v="146"/>
    <x v="8"/>
    <x v="1"/>
    <x v="2"/>
    <n v="6"/>
    <n v="3396"/>
    <n v="914.17"/>
  </r>
  <r>
    <x v="147"/>
    <x v="6"/>
    <x v="1"/>
    <x v="0"/>
    <n v="4"/>
    <n v="1060"/>
    <n v="213.05"/>
  </r>
  <r>
    <x v="148"/>
    <x v="2"/>
    <x v="2"/>
    <x v="1"/>
    <n v="5"/>
    <n v="480"/>
    <n v="73.069999999999993"/>
  </r>
  <r>
    <x v="149"/>
    <x v="4"/>
    <x v="1"/>
    <x v="3"/>
    <n v="3"/>
    <n v="2529"/>
    <n v="285.64999999999998"/>
  </r>
  <r>
    <x v="150"/>
    <x v="5"/>
    <x v="2"/>
    <x v="1"/>
    <n v="8"/>
    <n v="4792"/>
    <n v="511.97"/>
  </r>
  <r>
    <x v="49"/>
    <x v="5"/>
    <x v="2"/>
    <x v="1"/>
    <n v="8"/>
    <n v="8056"/>
    <n v="605.79999999999995"/>
  </r>
  <r>
    <x v="151"/>
    <x v="2"/>
    <x v="2"/>
    <x v="0"/>
    <n v="4"/>
    <n v="4228"/>
    <n v="947.76"/>
  </r>
  <r>
    <x v="152"/>
    <x v="2"/>
    <x v="2"/>
    <x v="1"/>
    <n v="1"/>
    <n v="653"/>
    <n v="93.78"/>
  </r>
  <r>
    <x v="153"/>
    <x v="2"/>
    <x v="2"/>
    <x v="0"/>
    <n v="9"/>
    <n v="7452"/>
    <n v="1212.51"/>
  </r>
  <r>
    <x v="154"/>
    <x v="1"/>
    <x v="1"/>
    <x v="1"/>
    <n v="4"/>
    <n v="4128"/>
    <n v="1156.71"/>
  </r>
  <r>
    <x v="155"/>
    <x v="2"/>
    <x v="2"/>
    <x v="3"/>
    <n v="5"/>
    <n v="5090"/>
    <n v="1201.56"/>
  </r>
  <r>
    <x v="156"/>
    <x v="3"/>
    <x v="2"/>
    <x v="0"/>
    <n v="5"/>
    <n v="4930"/>
    <n v="387.33"/>
  </r>
  <r>
    <x v="157"/>
    <x v="5"/>
    <x v="2"/>
    <x v="2"/>
    <n v="6"/>
    <n v="2610"/>
    <n v="434.37"/>
  </r>
  <r>
    <x v="25"/>
    <x v="9"/>
    <x v="2"/>
    <x v="0"/>
    <n v="3"/>
    <n v="2139"/>
    <n v="415.84"/>
  </r>
  <r>
    <x v="158"/>
    <x v="2"/>
    <x v="2"/>
    <x v="2"/>
    <n v="1"/>
    <n v="226"/>
    <n v="55.4"/>
  </r>
  <r>
    <x v="159"/>
    <x v="5"/>
    <x v="2"/>
    <x v="3"/>
    <n v="2"/>
    <n v="2244"/>
    <n v="212.08"/>
  </r>
  <r>
    <x v="160"/>
    <x v="6"/>
    <x v="1"/>
    <x v="1"/>
    <n v="6"/>
    <n v="3150"/>
    <n v="578.87"/>
  </r>
  <r>
    <x v="161"/>
    <x v="9"/>
    <x v="2"/>
    <x v="2"/>
    <n v="7"/>
    <n v="3388"/>
    <n v="347.19"/>
  </r>
  <r>
    <x v="162"/>
    <x v="9"/>
    <x v="2"/>
    <x v="1"/>
    <n v="8"/>
    <n v="8736"/>
    <n v="580.30999999999995"/>
  </r>
  <r>
    <x v="163"/>
    <x v="7"/>
    <x v="2"/>
    <x v="2"/>
    <n v="2"/>
    <n v="1102"/>
    <n v="176.53"/>
  </r>
  <r>
    <x v="164"/>
    <x v="6"/>
    <x v="1"/>
    <x v="1"/>
    <n v="3"/>
    <n v="2640"/>
    <n v="199.97"/>
  </r>
  <r>
    <x v="165"/>
    <x v="0"/>
    <x v="0"/>
    <x v="3"/>
    <n v="3"/>
    <n v="2547"/>
    <n v="300.74"/>
  </r>
  <r>
    <x v="166"/>
    <x v="9"/>
    <x v="2"/>
    <x v="0"/>
    <n v="7"/>
    <n v="728"/>
    <n v="64.819999999999993"/>
  </r>
  <r>
    <x v="167"/>
    <x v="3"/>
    <x v="2"/>
    <x v="2"/>
    <n v="7"/>
    <n v="3444"/>
    <n v="607.44000000000005"/>
  </r>
  <r>
    <x v="141"/>
    <x v="3"/>
    <x v="2"/>
    <x v="3"/>
    <n v="5"/>
    <n v="3140"/>
    <n v="853.66"/>
  </r>
  <r>
    <x v="153"/>
    <x v="7"/>
    <x v="2"/>
    <x v="1"/>
    <n v="3"/>
    <n v="435"/>
    <n v="129.27000000000001"/>
  </r>
  <r>
    <x v="168"/>
    <x v="8"/>
    <x v="1"/>
    <x v="1"/>
    <n v="4"/>
    <n v="856"/>
    <n v="72.989999999999995"/>
  </r>
  <r>
    <x v="169"/>
    <x v="0"/>
    <x v="0"/>
    <x v="0"/>
    <n v="2"/>
    <n v="112"/>
    <n v="23.33"/>
  </r>
  <r>
    <x v="170"/>
    <x v="4"/>
    <x v="1"/>
    <x v="0"/>
    <n v="3"/>
    <n v="2247"/>
    <n v="507.79"/>
  </r>
  <r>
    <x v="171"/>
    <x v="8"/>
    <x v="1"/>
    <x v="3"/>
    <n v="2"/>
    <n v="1512"/>
    <n v="298.73"/>
  </r>
  <r>
    <x v="172"/>
    <x v="1"/>
    <x v="1"/>
    <x v="2"/>
    <n v="5"/>
    <n v="4915"/>
    <n v="1196.5999999999999"/>
  </r>
  <r>
    <x v="173"/>
    <x v="1"/>
    <x v="1"/>
    <x v="2"/>
    <n v="3"/>
    <n v="2709"/>
    <n v="663.54"/>
  </r>
  <r>
    <x v="174"/>
    <x v="2"/>
    <x v="2"/>
    <x v="0"/>
    <n v="7"/>
    <n v="1239"/>
    <n v="118.36"/>
  </r>
  <r>
    <x v="175"/>
    <x v="2"/>
    <x v="2"/>
    <x v="3"/>
    <n v="2"/>
    <n v="572"/>
    <n v="86.16"/>
  </r>
  <r>
    <x v="176"/>
    <x v="5"/>
    <x v="2"/>
    <x v="0"/>
    <n v="2"/>
    <n v="1708"/>
    <n v="93.25"/>
  </r>
  <r>
    <x v="177"/>
    <x v="5"/>
    <x v="2"/>
    <x v="0"/>
    <n v="4"/>
    <n v="360"/>
    <n v="42.66"/>
  </r>
  <r>
    <x v="178"/>
    <x v="3"/>
    <x v="2"/>
    <x v="0"/>
    <n v="6"/>
    <n v="3822"/>
    <n v="388.34"/>
  </r>
  <r>
    <x v="179"/>
    <x v="3"/>
    <x v="2"/>
    <x v="0"/>
    <n v="6"/>
    <n v="4680"/>
    <n v="932.97"/>
  </r>
  <r>
    <x v="180"/>
    <x v="3"/>
    <x v="2"/>
    <x v="0"/>
    <n v="5"/>
    <n v="2520"/>
    <n v="487.18"/>
  </r>
  <r>
    <x v="181"/>
    <x v="5"/>
    <x v="2"/>
    <x v="0"/>
    <n v="2"/>
    <n v="2138"/>
    <n v="619.29"/>
  </r>
  <r>
    <x v="182"/>
    <x v="8"/>
    <x v="1"/>
    <x v="3"/>
    <n v="3"/>
    <n v="2529"/>
    <n v="169.6"/>
  </r>
  <r>
    <x v="183"/>
    <x v="8"/>
    <x v="1"/>
    <x v="1"/>
    <n v="1"/>
    <n v="236"/>
    <n v="29.33"/>
  </r>
  <r>
    <x v="184"/>
    <x v="2"/>
    <x v="2"/>
    <x v="3"/>
    <n v="6"/>
    <n v="2730"/>
    <n v="636.48"/>
  </r>
  <r>
    <x v="185"/>
    <x v="4"/>
    <x v="1"/>
    <x v="0"/>
    <n v="3"/>
    <n v="3021"/>
    <n v="872.49"/>
  </r>
  <r>
    <x v="177"/>
    <x v="5"/>
    <x v="2"/>
    <x v="0"/>
    <n v="2"/>
    <n v="244"/>
    <n v="16.78"/>
  </r>
  <r>
    <x v="2"/>
    <x v="3"/>
    <x v="2"/>
    <x v="2"/>
    <n v="8"/>
    <n v="728"/>
    <n v="120.06"/>
  </r>
  <r>
    <x v="186"/>
    <x v="1"/>
    <x v="1"/>
    <x v="0"/>
    <n v="3"/>
    <n v="453"/>
    <n v="89.49"/>
  </r>
  <r>
    <x v="187"/>
    <x v="9"/>
    <x v="2"/>
    <x v="2"/>
    <n v="1"/>
    <n v="379"/>
    <n v="84.38"/>
  </r>
  <r>
    <x v="188"/>
    <x v="2"/>
    <x v="2"/>
    <x v="3"/>
    <n v="3"/>
    <n v="2130"/>
    <n v="510.69"/>
  </r>
  <r>
    <x v="34"/>
    <x v="6"/>
    <x v="1"/>
    <x v="0"/>
    <n v="8"/>
    <n v="4120"/>
    <n v="710.11"/>
  </r>
  <r>
    <x v="189"/>
    <x v="5"/>
    <x v="2"/>
    <x v="2"/>
    <n v="7"/>
    <n v="3150"/>
    <n v="299.7"/>
  </r>
  <r>
    <x v="190"/>
    <x v="5"/>
    <x v="2"/>
    <x v="1"/>
    <n v="7"/>
    <n v="2688"/>
    <n v="603.07000000000005"/>
  </r>
  <r>
    <x v="191"/>
    <x v="2"/>
    <x v="2"/>
    <x v="1"/>
    <n v="2"/>
    <n v="1752"/>
    <n v="501.19"/>
  </r>
  <r>
    <x v="192"/>
    <x v="8"/>
    <x v="1"/>
    <x v="0"/>
    <n v="7"/>
    <n v="7308"/>
    <n v="948.4"/>
  </r>
  <r>
    <x v="2"/>
    <x v="2"/>
    <x v="2"/>
    <x v="0"/>
    <n v="3"/>
    <n v="2007"/>
    <n v="160.84"/>
  </r>
  <r>
    <x v="193"/>
    <x v="2"/>
    <x v="2"/>
    <x v="3"/>
    <n v="7"/>
    <n v="7224"/>
    <n v="479.23"/>
  </r>
  <r>
    <x v="194"/>
    <x v="6"/>
    <x v="1"/>
    <x v="2"/>
    <n v="9"/>
    <n v="6939"/>
    <n v="1249.31"/>
  </r>
  <r>
    <x v="195"/>
    <x v="7"/>
    <x v="2"/>
    <x v="1"/>
    <n v="7"/>
    <n v="5516"/>
    <n v="1475.67"/>
  </r>
  <r>
    <x v="196"/>
    <x v="0"/>
    <x v="0"/>
    <x v="2"/>
    <n v="2"/>
    <n v="2224"/>
    <n v="116.47"/>
  </r>
  <r>
    <x v="197"/>
    <x v="9"/>
    <x v="2"/>
    <x v="2"/>
    <n v="5"/>
    <n v="3985"/>
    <n v="824.4"/>
  </r>
  <r>
    <x v="198"/>
    <x v="3"/>
    <x v="2"/>
    <x v="0"/>
    <n v="7"/>
    <n v="2723"/>
    <n v="638.26"/>
  </r>
  <r>
    <x v="199"/>
    <x v="2"/>
    <x v="2"/>
    <x v="0"/>
    <n v="2"/>
    <n v="746"/>
    <n v="170.75"/>
  </r>
  <r>
    <x v="200"/>
    <x v="9"/>
    <x v="2"/>
    <x v="3"/>
    <n v="5"/>
    <n v="3170"/>
    <n v="245.25"/>
  </r>
  <r>
    <x v="25"/>
    <x v="5"/>
    <x v="2"/>
    <x v="1"/>
    <n v="5"/>
    <n v="550"/>
    <n v="63.11"/>
  </r>
  <r>
    <x v="201"/>
    <x v="2"/>
    <x v="2"/>
    <x v="0"/>
    <n v="8"/>
    <n v="480"/>
    <n v="132.44999999999999"/>
  </r>
  <r>
    <x v="202"/>
    <x v="0"/>
    <x v="0"/>
    <x v="1"/>
    <n v="4"/>
    <n v="3284"/>
    <n v="354.4"/>
  </r>
  <r>
    <x v="203"/>
    <x v="5"/>
    <x v="2"/>
    <x v="2"/>
    <n v="2"/>
    <n v="1748"/>
    <n v="183.75"/>
  </r>
  <r>
    <x v="159"/>
    <x v="4"/>
    <x v="1"/>
    <x v="0"/>
    <n v="8"/>
    <n v="824"/>
    <n v="240.84"/>
  </r>
  <r>
    <x v="204"/>
    <x v="4"/>
    <x v="1"/>
    <x v="0"/>
    <n v="4"/>
    <n v="1872"/>
    <n v="448.46"/>
  </r>
  <r>
    <x v="205"/>
    <x v="2"/>
    <x v="2"/>
    <x v="3"/>
    <n v="3"/>
    <n v="627"/>
    <n v="103.98"/>
  </r>
  <r>
    <x v="27"/>
    <x v="3"/>
    <x v="2"/>
    <x v="1"/>
    <n v="9"/>
    <n v="5661"/>
    <n v="1104.02"/>
  </r>
  <r>
    <x v="206"/>
    <x v="3"/>
    <x v="2"/>
    <x v="0"/>
    <n v="3"/>
    <n v="2910"/>
    <n v="765.47"/>
  </r>
  <r>
    <x v="207"/>
    <x v="2"/>
    <x v="2"/>
    <x v="2"/>
    <n v="9"/>
    <n v="9036"/>
    <n v="1087.46"/>
  </r>
  <r>
    <x v="208"/>
    <x v="2"/>
    <x v="2"/>
    <x v="3"/>
    <n v="5"/>
    <n v="4815"/>
    <n v="338.31"/>
  </r>
  <r>
    <x v="209"/>
    <x v="1"/>
    <x v="1"/>
    <x v="2"/>
    <n v="1"/>
    <n v="1187"/>
    <n v="206.28"/>
  </r>
  <r>
    <x v="210"/>
    <x v="4"/>
    <x v="1"/>
    <x v="1"/>
    <n v="3"/>
    <n v="3339"/>
    <n v="732.92"/>
  </r>
  <r>
    <x v="205"/>
    <x v="2"/>
    <x v="2"/>
    <x v="1"/>
    <n v="1"/>
    <n v="620"/>
    <n v="165.43"/>
  </r>
  <r>
    <x v="140"/>
    <x v="3"/>
    <x v="2"/>
    <x v="3"/>
    <n v="5"/>
    <n v="2025"/>
    <n v="414.42"/>
  </r>
  <r>
    <x v="211"/>
    <x v="0"/>
    <x v="0"/>
    <x v="1"/>
    <n v="5"/>
    <n v="3030"/>
    <n v="811.92"/>
  </r>
  <r>
    <x v="212"/>
    <x v="5"/>
    <x v="2"/>
    <x v="0"/>
    <n v="5"/>
    <n v="655"/>
    <n v="166.69"/>
  </r>
  <r>
    <x v="47"/>
    <x v="0"/>
    <x v="0"/>
    <x v="3"/>
    <n v="2"/>
    <n v="2238"/>
    <n v="294.54000000000002"/>
  </r>
  <r>
    <x v="213"/>
    <x v="7"/>
    <x v="2"/>
    <x v="2"/>
    <n v="8"/>
    <n v="3312"/>
    <n v="811.31"/>
  </r>
  <r>
    <x v="214"/>
    <x v="0"/>
    <x v="0"/>
    <x v="1"/>
    <n v="9"/>
    <n v="9387"/>
    <n v="1271.6400000000001"/>
  </r>
  <r>
    <x v="215"/>
    <x v="1"/>
    <x v="1"/>
    <x v="3"/>
    <n v="6"/>
    <n v="5790"/>
    <n v="1285.21"/>
  </r>
  <r>
    <x v="216"/>
    <x v="9"/>
    <x v="2"/>
    <x v="2"/>
    <n v="6"/>
    <n v="2700"/>
    <n v="527.97"/>
  </r>
  <r>
    <x v="64"/>
    <x v="5"/>
    <x v="2"/>
    <x v="1"/>
    <n v="8"/>
    <n v="2072"/>
    <n v="555.05999999999995"/>
  </r>
  <r>
    <x v="217"/>
    <x v="8"/>
    <x v="1"/>
    <x v="0"/>
    <n v="3"/>
    <n v="2991"/>
    <n v="716.54"/>
  </r>
  <r>
    <x v="218"/>
    <x v="9"/>
    <x v="2"/>
    <x v="1"/>
    <n v="6"/>
    <n v="5568"/>
    <n v="958.59"/>
  </r>
  <r>
    <x v="73"/>
    <x v="5"/>
    <x v="2"/>
    <x v="0"/>
    <n v="7"/>
    <n v="5509"/>
    <n v="1648.74"/>
  </r>
  <r>
    <x v="59"/>
    <x v="0"/>
    <x v="0"/>
    <x v="3"/>
    <n v="7"/>
    <n v="5922"/>
    <n v="1323.1"/>
  </r>
  <r>
    <x v="74"/>
    <x v="7"/>
    <x v="2"/>
    <x v="2"/>
    <n v="4"/>
    <n v="4380"/>
    <n v="362.81"/>
  </r>
  <r>
    <x v="219"/>
    <x v="2"/>
    <x v="2"/>
    <x v="2"/>
    <n v="5"/>
    <n v="1760"/>
    <n v="272.68"/>
  </r>
  <r>
    <x v="220"/>
    <x v="4"/>
    <x v="1"/>
    <x v="0"/>
    <n v="9"/>
    <n v="5571"/>
    <n v="1523.81"/>
  </r>
  <r>
    <x v="221"/>
    <x v="2"/>
    <x v="2"/>
    <x v="2"/>
    <n v="2"/>
    <n v="1082"/>
    <n v="182.1"/>
  </r>
  <r>
    <x v="222"/>
    <x v="3"/>
    <x v="2"/>
    <x v="1"/>
    <n v="1"/>
    <n v="569"/>
    <n v="138.11000000000001"/>
  </r>
  <r>
    <x v="223"/>
    <x v="1"/>
    <x v="1"/>
    <x v="0"/>
    <n v="8"/>
    <n v="3416"/>
    <n v="697.42"/>
  </r>
  <r>
    <x v="224"/>
    <x v="0"/>
    <x v="0"/>
    <x v="3"/>
    <n v="1"/>
    <n v="570"/>
    <n v="57.07"/>
  </r>
  <r>
    <x v="225"/>
    <x v="6"/>
    <x v="1"/>
    <x v="1"/>
    <n v="6"/>
    <n v="3300"/>
    <n v="386.92"/>
  </r>
  <r>
    <x v="41"/>
    <x v="9"/>
    <x v="2"/>
    <x v="2"/>
    <n v="8"/>
    <n v="2584"/>
    <n v="568.77"/>
  </r>
  <r>
    <x v="226"/>
    <x v="6"/>
    <x v="1"/>
    <x v="2"/>
    <n v="9"/>
    <n v="7650"/>
    <n v="2204.44"/>
  </r>
  <r>
    <x v="227"/>
    <x v="4"/>
    <x v="1"/>
    <x v="3"/>
    <n v="8"/>
    <n v="3600"/>
    <n v="272.51"/>
  </r>
  <r>
    <x v="228"/>
    <x v="6"/>
    <x v="1"/>
    <x v="3"/>
    <n v="6"/>
    <n v="846"/>
    <n v="190.87"/>
  </r>
  <r>
    <x v="212"/>
    <x v="7"/>
    <x v="2"/>
    <x v="3"/>
    <n v="1"/>
    <n v="51"/>
    <n v="9.36"/>
  </r>
  <r>
    <x v="229"/>
    <x v="5"/>
    <x v="2"/>
    <x v="2"/>
    <n v="6"/>
    <n v="7056"/>
    <n v="586.91"/>
  </r>
  <r>
    <x v="230"/>
    <x v="5"/>
    <x v="2"/>
    <x v="3"/>
    <n v="2"/>
    <n v="384"/>
    <n v="38.409999999999997"/>
  </r>
  <r>
    <x v="231"/>
    <x v="9"/>
    <x v="2"/>
    <x v="2"/>
    <n v="8"/>
    <n v="2928"/>
    <n v="663.54"/>
  </r>
  <r>
    <x v="232"/>
    <x v="3"/>
    <x v="2"/>
    <x v="3"/>
    <n v="7"/>
    <n v="1904"/>
    <n v="352.86"/>
  </r>
  <r>
    <x v="233"/>
    <x v="2"/>
    <x v="2"/>
    <x v="1"/>
    <n v="2"/>
    <n v="2314"/>
    <n v="312.07"/>
  </r>
  <r>
    <x v="234"/>
    <x v="0"/>
    <x v="0"/>
    <x v="2"/>
    <n v="4"/>
    <n v="1028"/>
    <n v="192.13"/>
  </r>
  <r>
    <x v="235"/>
    <x v="4"/>
    <x v="1"/>
    <x v="2"/>
    <n v="9"/>
    <n v="8307"/>
    <n v="1326.23"/>
  </r>
  <r>
    <x v="44"/>
    <x v="0"/>
    <x v="0"/>
    <x v="3"/>
    <n v="9"/>
    <n v="1539"/>
    <n v="203.54"/>
  </r>
  <r>
    <x v="236"/>
    <x v="2"/>
    <x v="2"/>
    <x v="3"/>
    <n v="7"/>
    <n v="2506"/>
    <n v="537.98"/>
  </r>
  <r>
    <x v="237"/>
    <x v="7"/>
    <x v="2"/>
    <x v="3"/>
    <n v="6"/>
    <n v="5778"/>
    <n v="1232.54"/>
  </r>
  <r>
    <x v="238"/>
    <x v="2"/>
    <x v="2"/>
    <x v="1"/>
    <n v="9"/>
    <n v="10188"/>
    <n v="2165.7800000000002"/>
  </r>
  <r>
    <x v="239"/>
    <x v="6"/>
    <x v="1"/>
    <x v="0"/>
    <n v="1"/>
    <n v="952"/>
    <n v="157.69999999999999"/>
  </r>
  <r>
    <x v="240"/>
    <x v="5"/>
    <x v="2"/>
    <x v="3"/>
    <n v="8"/>
    <n v="3624"/>
    <n v="750.86"/>
  </r>
  <r>
    <x v="144"/>
    <x v="8"/>
    <x v="1"/>
    <x v="2"/>
    <n v="8"/>
    <n v="7968"/>
    <n v="1551.12"/>
  </r>
  <r>
    <x v="241"/>
    <x v="1"/>
    <x v="1"/>
    <x v="2"/>
    <n v="2"/>
    <n v="1254"/>
    <n v="250.09"/>
  </r>
  <r>
    <x v="242"/>
    <x v="0"/>
    <x v="0"/>
    <x v="3"/>
    <n v="3"/>
    <n v="705"/>
    <n v="196.05"/>
  </r>
  <r>
    <x v="243"/>
    <x v="1"/>
    <x v="1"/>
    <x v="3"/>
    <n v="1"/>
    <n v="916"/>
    <n v="223.5"/>
  </r>
  <r>
    <x v="244"/>
    <x v="0"/>
    <x v="0"/>
    <x v="0"/>
    <n v="2"/>
    <n v="848"/>
    <n v="129.96"/>
  </r>
  <r>
    <x v="148"/>
    <x v="6"/>
    <x v="1"/>
    <x v="1"/>
    <n v="8"/>
    <n v="2240"/>
    <n v="313.17"/>
  </r>
  <r>
    <x v="245"/>
    <x v="6"/>
    <x v="1"/>
    <x v="2"/>
    <n v="1"/>
    <n v="940"/>
    <n v="120.35"/>
  </r>
  <r>
    <x v="246"/>
    <x v="4"/>
    <x v="1"/>
    <x v="3"/>
    <n v="5"/>
    <n v="1550"/>
    <n v="203.51"/>
  </r>
  <r>
    <x v="247"/>
    <x v="8"/>
    <x v="1"/>
    <x v="2"/>
    <n v="7"/>
    <n v="2352"/>
    <n v="256.39999999999998"/>
  </r>
  <r>
    <x v="248"/>
    <x v="5"/>
    <x v="2"/>
    <x v="0"/>
    <n v="9"/>
    <n v="1638"/>
    <n v="183.75"/>
  </r>
  <r>
    <x v="249"/>
    <x v="3"/>
    <x v="2"/>
    <x v="0"/>
    <n v="6"/>
    <n v="7164"/>
    <n v="1442.72"/>
  </r>
  <r>
    <x v="250"/>
    <x v="1"/>
    <x v="1"/>
    <x v="1"/>
    <n v="1"/>
    <n v="205"/>
    <n v="54.54"/>
  </r>
  <r>
    <x v="251"/>
    <x v="8"/>
    <x v="1"/>
    <x v="0"/>
    <n v="2"/>
    <n v="766"/>
    <n v="49.23"/>
  </r>
  <r>
    <x v="121"/>
    <x v="8"/>
    <x v="1"/>
    <x v="0"/>
    <n v="1"/>
    <n v="168"/>
    <n v="17.84"/>
  </r>
  <r>
    <x v="252"/>
    <x v="1"/>
    <x v="1"/>
    <x v="2"/>
    <n v="1"/>
    <n v="1058"/>
    <n v="207.55"/>
  </r>
  <r>
    <x v="114"/>
    <x v="8"/>
    <x v="1"/>
    <x v="2"/>
    <n v="5"/>
    <n v="1455"/>
    <n v="423.81"/>
  </r>
  <r>
    <x v="253"/>
    <x v="3"/>
    <x v="2"/>
    <x v="1"/>
    <n v="2"/>
    <n v="2224"/>
    <n v="364.04"/>
  </r>
  <r>
    <x v="254"/>
    <x v="7"/>
    <x v="2"/>
    <x v="3"/>
    <n v="7"/>
    <n v="1400"/>
    <n v="80.489999999999995"/>
  </r>
  <r>
    <x v="255"/>
    <x v="7"/>
    <x v="2"/>
    <x v="1"/>
    <n v="7"/>
    <n v="7567"/>
    <n v="2213.1799999999998"/>
  </r>
  <r>
    <x v="256"/>
    <x v="2"/>
    <x v="2"/>
    <x v="1"/>
    <n v="6"/>
    <n v="3396"/>
    <n v="987.68"/>
  </r>
  <r>
    <x v="138"/>
    <x v="5"/>
    <x v="2"/>
    <x v="1"/>
    <n v="2"/>
    <n v="704"/>
    <n v="135.63"/>
  </r>
  <r>
    <x v="257"/>
    <x v="2"/>
    <x v="2"/>
    <x v="1"/>
    <n v="9"/>
    <n v="7767"/>
    <n v="2172.19"/>
  </r>
  <r>
    <x v="258"/>
    <x v="1"/>
    <x v="1"/>
    <x v="3"/>
    <n v="5"/>
    <n v="2050"/>
    <n v="157.13"/>
  </r>
  <r>
    <x v="259"/>
    <x v="6"/>
    <x v="1"/>
    <x v="0"/>
    <n v="9"/>
    <n v="10458"/>
    <n v="2799.48"/>
  </r>
  <r>
    <x v="260"/>
    <x v="3"/>
    <x v="2"/>
    <x v="2"/>
    <n v="4"/>
    <n v="4700"/>
    <n v="619.26"/>
  </r>
  <r>
    <x v="261"/>
    <x v="7"/>
    <x v="2"/>
    <x v="0"/>
    <n v="2"/>
    <n v="892"/>
    <n v="222.51"/>
  </r>
  <r>
    <x v="262"/>
    <x v="9"/>
    <x v="2"/>
    <x v="1"/>
    <n v="8"/>
    <n v="6968"/>
    <n v="1479.09"/>
  </r>
  <r>
    <x v="263"/>
    <x v="9"/>
    <x v="2"/>
    <x v="0"/>
    <n v="7"/>
    <n v="1344"/>
    <n v="300.88"/>
  </r>
  <r>
    <x v="264"/>
    <x v="3"/>
    <x v="2"/>
    <x v="3"/>
    <n v="1"/>
    <n v="354"/>
    <n v="65.989999999999995"/>
  </r>
  <r>
    <x v="265"/>
    <x v="6"/>
    <x v="1"/>
    <x v="2"/>
    <n v="3"/>
    <n v="3051"/>
    <n v="662.23"/>
  </r>
  <r>
    <x v="38"/>
    <x v="3"/>
    <x v="2"/>
    <x v="2"/>
    <n v="3"/>
    <n v="402"/>
    <n v="106.87"/>
  </r>
  <r>
    <x v="266"/>
    <x v="6"/>
    <x v="1"/>
    <x v="0"/>
    <n v="5"/>
    <n v="3570"/>
    <n v="517.82000000000005"/>
  </r>
  <r>
    <x v="267"/>
    <x v="8"/>
    <x v="1"/>
    <x v="0"/>
    <n v="7"/>
    <n v="3829"/>
    <n v="876.35"/>
  </r>
  <r>
    <x v="268"/>
    <x v="1"/>
    <x v="1"/>
    <x v="0"/>
    <n v="7"/>
    <n v="4676"/>
    <n v="242.64"/>
  </r>
  <r>
    <x v="269"/>
    <x v="8"/>
    <x v="1"/>
    <x v="1"/>
    <n v="3"/>
    <n v="1119"/>
    <n v="317.36"/>
  </r>
  <r>
    <x v="175"/>
    <x v="7"/>
    <x v="2"/>
    <x v="1"/>
    <n v="4"/>
    <n v="4228"/>
    <n v="764.3"/>
  </r>
  <r>
    <x v="270"/>
    <x v="4"/>
    <x v="1"/>
    <x v="0"/>
    <n v="8"/>
    <n v="1240"/>
    <n v="251.2"/>
  </r>
  <r>
    <x v="271"/>
    <x v="8"/>
    <x v="1"/>
    <x v="0"/>
    <n v="9"/>
    <n v="3591"/>
    <n v="342.18"/>
  </r>
  <r>
    <x v="272"/>
    <x v="0"/>
    <x v="0"/>
    <x v="3"/>
    <n v="8"/>
    <n v="3952"/>
    <n v="451.08"/>
  </r>
  <r>
    <x v="230"/>
    <x v="8"/>
    <x v="1"/>
    <x v="2"/>
    <n v="6"/>
    <n v="3648"/>
    <n v="1050.08"/>
  </r>
  <r>
    <x v="131"/>
    <x v="6"/>
    <x v="1"/>
    <x v="0"/>
    <n v="5"/>
    <n v="3875"/>
    <n v="768.74"/>
  </r>
  <r>
    <x v="23"/>
    <x v="5"/>
    <x v="2"/>
    <x v="3"/>
    <n v="8"/>
    <n v="3416"/>
    <n v="478.9"/>
  </r>
  <r>
    <x v="273"/>
    <x v="2"/>
    <x v="2"/>
    <x v="3"/>
    <n v="1"/>
    <n v="908"/>
    <n v="222.58"/>
  </r>
  <r>
    <x v="274"/>
    <x v="4"/>
    <x v="1"/>
    <x v="2"/>
    <n v="4"/>
    <n v="4532"/>
    <n v="987.32"/>
  </r>
  <r>
    <x v="275"/>
    <x v="4"/>
    <x v="1"/>
    <x v="1"/>
    <n v="4"/>
    <n v="4168"/>
    <n v="650.15"/>
  </r>
  <r>
    <x v="276"/>
    <x v="9"/>
    <x v="2"/>
    <x v="0"/>
    <n v="3"/>
    <n v="3543"/>
    <n v="941.37"/>
  </r>
  <r>
    <x v="277"/>
    <x v="9"/>
    <x v="2"/>
    <x v="1"/>
    <n v="6"/>
    <n v="5124"/>
    <n v="1078.57"/>
  </r>
  <r>
    <x v="278"/>
    <x v="5"/>
    <x v="2"/>
    <x v="2"/>
    <n v="9"/>
    <n v="5751"/>
    <n v="1196.23"/>
  </r>
  <r>
    <x v="279"/>
    <x v="3"/>
    <x v="2"/>
    <x v="1"/>
    <n v="2"/>
    <n v="624"/>
    <n v="139.63999999999999"/>
  </r>
  <r>
    <x v="5"/>
    <x v="3"/>
    <x v="2"/>
    <x v="2"/>
    <n v="1"/>
    <n v="508"/>
    <n v="151.29"/>
  </r>
  <r>
    <x v="280"/>
    <x v="4"/>
    <x v="1"/>
    <x v="2"/>
    <n v="4"/>
    <n v="4700"/>
    <n v="914.6"/>
  </r>
  <r>
    <x v="281"/>
    <x v="8"/>
    <x v="1"/>
    <x v="3"/>
    <n v="8"/>
    <n v="3216"/>
    <n v="639.78"/>
  </r>
  <r>
    <x v="160"/>
    <x v="9"/>
    <x v="2"/>
    <x v="3"/>
    <n v="6"/>
    <n v="2844"/>
    <n v="581"/>
  </r>
  <r>
    <x v="282"/>
    <x v="7"/>
    <x v="2"/>
    <x v="3"/>
    <n v="5"/>
    <n v="2385"/>
    <n v="258.60000000000002"/>
  </r>
  <r>
    <x v="283"/>
    <x v="6"/>
    <x v="1"/>
    <x v="2"/>
    <n v="8"/>
    <n v="928"/>
    <n v="170.05"/>
  </r>
  <r>
    <x v="284"/>
    <x v="4"/>
    <x v="1"/>
    <x v="0"/>
    <n v="6"/>
    <n v="4656"/>
    <n v="673.35"/>
  </r>
  <r>
    <x v="46"/>
    <x v="4"/>
    <x v="1"/>
    <x v="0"/>
    <n v="2"/>
    <n v="330"/>
    <n v="21.46"/>
  </r>
  <r>
    <x v="285"/>
    <x v="3"/>
    <x v="2"/>
    <x v="0"/>
    <n v="7"/>
    <n v="1799"/>
    <n v="274.11"/>
  </r>
  <r>
    <x v="286"/>
    <x v="0"/>
    <x v="0"/>
    <x v="1"/>
    <n v="1"/>
    <n v="1029"/>
    <n v="173.61"/>
  </r>
  <r>
    <x v="287"/>
    <x v="4"/>
    <x v="1"/>
    <x v="0"/>
    <n v="8"/>
    <n v="5432"/>
    <n v="1619.39"/>
  </r>
  <r>
    <x v="235"/>
    <x v="3"/>
    <x v="2"/>
    <x v="3"/>
    <n v="5"/>
    <n v="5785"/>
    <n v="1191.1099999999999"/>
  </r>
  <r>
    <x v="288"/>
    <x v="0"/>
    <x v="0"/>
    <x v="0"/>
    <n v="1"/>
    <n v="1062"/>
    <n v="272.42"/>
  </r>
  <r>
    <x v="289"/>
    <x v="8"/>
    <x v="1"/>
    <x v="0"/>
    <n v="1"/>
    <n v="163"/>
    <n v="22.07"/>
  </r>
  <r>
    <x v="290"/>
    <x v="7"/>
    <x v="2"/>
    <x v="3"/>
    <n v="9"/>
    <n v="9162"/>
    <n v="1625.62"/>
  </r>
  <r>
    <x v="291"/>
    <x v="0"/>
    <x v="0"/>
    <x v="1"/>
    <n v="4"/>
    <n v="1440"/>
    <n v="130.24"/>
  </r>
  <r>
    <x v="160"/>
    <x v="6"/>
    <x v="1"/>
    <x v="2"/>
    <n v="5"/>
    <n v="1465"/>
    <n v="149.62"/>
  </r>
  <r>
    <x v="217"/>
    <x v="6"/>
    <x v="1"/>
    <x v="3"/>
    <n v="2"/>
    <n v="366"/>
    <n v="31.23"/>
  </r>
  <r>
    <x v="292"/>
    <x v="3"/>
    <x v="2"/>
    <x v="2"/>
    <n v="5"/>
    <n v="3135"/>
    <n v="277.27999999999997"/>
  </r>
  <r>
    <x v="293"/>
    <x v="8"/>
    <x v="1"/>
    <x v="0"/>
    <n v="2"/>
    <n v="630"/>
    <n v="161.04"/>
  </r>
  <r>
    <x v="294"/>
    <x v="6"/>
    <x v="1"/>
    <x v="2"/>
    <n v="1"/>
    <n v="213"/>
    <n v="42.94"/>
  </r>
  <r>
    <x v="295"/>
    <x v="6"/>
    <x v="1"/>
    <x v="0"/>
    <n v="4"/>
    <n v="3792"/>
    <n v="1092.8499999999999"/>
  </r>
  <r>
    <x v="296"/>
    <x v="1"/>
    <x v="1"/>
    <x v="1"/>
    <n v="2"/>
    <n v="1932"/>
    <n v="109.07"/>
  </r>
  <r>
    <x v="297"/>
    <x v="8"/>
    <x v="1"/>
    <x v="3"/>
    <n v="4"/>
    <n v="4152"/>
    <n v="317.27999999999997"/>
  </r>
  <r>
    <x v="298"/>
    <x v="7"/>
    <x v="2"/>
    <x v="0"/>
    <n v="7"/>
    <n v="3612"/>
    <n v="529.57000000000005"/>
  </r>
  <r>
    <x v="299"/>
    <x v="7"/>
    <x v="2"/>
    <x v="1"/>
    <n v="2"/>
    <n v="2258"/>
    <n v="280.76"/>
  </r>
  <r>
    <x v="24"/>
    <x v="3"/>
    <x v="2"/>
    <x v="2"/>
    <n v="3"/>
    <n v="594"/>
    <n v="47.73"/>
  </r>
  <r>
    <x v="300"/>
    <x v="4"/>
    <x v="1"/>
    <x v="3"/>
    <n v="7"/>
    <n v="8071"/>
    <n v="1799.06"/>
  </r>
  <r>
    <x v="301"/>
    <x v="8"/>
    <x v="1"/>
    <x v="0"/>
    <n v="7"/>
    <n v="5838"/>
    <n v="631.45000000000005"/>
  </r>
  <r>
    <x v="302"/>
    <x v="8"/>
    <x v="1"/>
    <x v="0"/>
    <n v="4"/>
    <n v="692"/>
    <n v="181.31"/>
  </r>
  <r>
    <x v="303"/>
    <x v="8"/>
    <x v="1"/>
    <x v="2"/>
    <n v="3"/>
    <n v="1704"/>
    <n v="309.06"/>
  </r>
  <r>
    <x v="304"/>
    <x v="0"/>
    <x v="0"/>
    <x v="2"/>
    <n v="5"/>
    <n v="3235"/>
    <n v="941.24"/>
  </r>
  <r>
    <x v="305"/>
    <x v="1"/>
    <x v="1"/>
    <x v="1"/>
    <n v="6"/>
    <n v="4746"/>
    <n v="545.57000000000005"/>
  </r>
  <r>
    <x v="306"/>
    <x v="5"/>
    <x v="2"/>
    <x v="2"/>
    <n v="8"/>
    <n v="7600"/>
    <n v="788.88"/>
  </r>
  <r>
    <x v="307"/>
    <x v="7"/>
    <x v="2"/>
    <x v="3"/>
    <n v="5"/>
    <n v="1935"/>
    <n v="128.01"/>
  </r>
  <r>
    <x v="10"/>
    <x v="9"/>
    <x v="2"/>
    <x v="0"/>
    <n v="3"/>
    <n v="1638"/>
    <n v="306.29000000000002"/>
  </r>
  <r>
    <x v="308"/>
    <x v="8"/>
    <x v="1"/>
    <x v="3"/>
    <n v="7"/>
    <n v="4746"/>
    <n v="816.6"/>
  </r>
  <r>
    <x v="73"/>
    <x v="7"/>
    <x v="2"/>
    <x v="0"/>
    <n v="8"/>
    <n v="4824"/>
    <n v="1187.93"/>
  </r>
  <r>
    <x v="255"/>
    <x v="3"/>
    <x v="2"/>
    <x v="2"/>
    <n v="1"/>
    <n v="1193"/>
    <n v="153.72"/>
  </r>
  <r>
    <x v="309"/>
    <x v="9"/>
    <x v="2"/>
    <x v="1"/>
    <n v="2"/>
    <n v="562"/>
    <n v="92.94"/>
  </r>
  <r>
    <x v="310"/>
    <x v="7"/>
    <x v="2"/>
    <x v="0"/>
    <n v="8"/>
    <n v="6200"/>
    <n v="1296.8399999999999"/>
  </r>
  <r>
    <x v="311"/>
    <x v="0"/>
    <x v="0"/>
    <x v="0"/>
    <n v="8"/>
    <n v="4128"/>
    <n v="315.48"/>
  </r>
  <r>
    <x v="312"/>
    <x v="0"/>
    <x v="0"/>
    <x v="1"/>
    <n v="5"/>
    <n v="5405"/>
    <n v="326.56"/>
  </r>
  <r>
    <x v="177"/>
    <x v="9"/>
    <x v="2"/>
    <x v="0"/>
    <n v="3"/>
    <n v="1371"/>
    <n v="104.66"/>
  </r>
  <r>
    <x v="313"/>
    <x v="8"/>
    <x v="1"/>
    <x v="3"/>
    <n v="5"/>
    <n v="1405"/>
    <n v="194.33"/>
  </r>
  <r>
    <x v="26"/>
    <x v="8"/>
    <x v="1"/>
    <x v="0"/>
    <n v="3"/>
    <n v="1644"/>
    <n v="158.32"/>
  </r>
  <r>
    <x v="314"/>
    <x v="1"/>
    <x v="1"/>
    <x v="3"/>
    <n v="6"/>
    <n v="3414"/>
    <n v="396.92"/>
  </r>
  <r>
    <x v="315"/>
    <x v="9"/>
    <x v="2"/>
    <x v="1"/>
    <n v="8"/>
    <n v="3272"/>
    <n v="674.57"/>
  </r>
  <r>
    <x v="316"/>
    <x v="7"/>
    <x v="2"/>
    <x v="0"/>
    <n v="3"/>
    <n v="2655"/>
    <n v="646.91"/>
  </r>
  <r>
    <x v="282"/>
    <x v="5"/>
    <x v="2"/>
    <x v="3"/>
    <n v="7"/>
    <n v="1673"/>
    <n v="458.32"/>
  </r>
  <r>
    <x v="317"/>
    <x v="2"/>
    <x v="2"/>
    <x v="1"/>
    <n v="2"/>
    <n v="846"/>
    <n v="145.09"/>
  </r>
  <r>
    <x v="318"/>
    <x v="7"/>
    <x v="2"/>
    <x v="1"/>
    <n v="1"/>
    <n v="985"/>
    <n v="196.64"/>
  </r>
  <r>
    <x v="319"/>
    <x v="5"/>
    <x v="2"/>
    <x v="0"/>
    <n v="9"/>
    <n v="7551"/>
    <n v="894.4"/>
  </r>
  <r>
    <x v="89"/>
    <x v="2"/>
    <x v="2"/>
    <x v="0"/>
    <n v="5"/>
    <n v="855"/>
    <n v="217.16"/>
  </r>
  <r>
    <x v="320"/>
    <x v="3"/>
    <x v="2"/>
    <x v="2"/>
    <n v="2"/>
    <n v="396"/>
    <n v="94.55"/>
  </r>
  <r>
    <x v="108"/>
    <x v="2"/>
    <x v="2"/>
    <x v="3"/>
    <n v="8"/>
    <n v="2296"/>
    <n v="560.48"/>
  </r>
  <r>
    <x v="321"/>
    <x v="6"/>
    <x v="1"/>
    <x v="0"/>
    <n v="6"/>
    <n v="1704"/>
    <n v="199.94"/>
  </r>
  <r>
    <x v="322"/>
    <x v="7"/>
    <x v="2"/>
    <x v="1"/>
    <n v="2"/>
    <n v="1180"/>
    <n v="261.16000000000003"/>
  </r>
  <r>
    <x v="323"/>
    <x v="7"/>
    <x v="2"/>
    <x v="1"/>
    <n v="3"/>
    <n v="411"/>
    <n v="55.73"/>
  </r>
  <r>
    <x v="260"/>
    <x v="1"/>
    <x v="1"/>
    <x v="1"/>
    <n v="1"/>
    <n v="745"/>
    <n v="151.22"/>
  </r>
  <r>
    <x v="255"/>
    <x v="0"/>
    <x v="0"/>
    <x v="3"/>
    <n v="9"/>
    <n v="10656"/>
    <n v="961.3"/>
  </r>
  <r>
    <x v="324"/>
    <x v="1"/>
    <x v="1"/>
    <x v="2"/>
    <n v="3"/>
    <n v="1494"/>
    <n v="178.5"/>
  </r>
  <r>
    <x v="325"/>
    <x v="3"/>
    <x v="2"/>
    <x v="2"/>
    <n v="5"/>
    <n v="1755"/>
    <n v="358.01"/>
  </r>
  <r>
    <x v="326"/>
    <x v="3"/>
    <x v="2"/>
    <x v="2"/>
    <n v="9"/>
    <n v="4941"/>
    <n v="894.52"/>
  </r>
  <r>
    <x v="327"/>
    <x v="5"/>
    <x v="2"/>
    <x v="0"/>
    <n v="6"/>
    <n v="6510"/>
    <n v="1539.18"/>
  </r>
  <r>
    <x v="328"/>
    <x v="7"/>
    <x v="2"/>
    <x v="2"/>
    <n v="5"/>
    <n v="5465"/>
    <n v="719.92"/>
  </r>
  <r>
    <x v="329"/>
    <x v="2"/>
    <x v="2"/>
    <x v="2"/>
    <n v="3"/>
    <n v="3522"/>
    <n v="285.91000000000003"/>
  </r>
  <r>
    <x v="330"/>
    <x v="2"/>
    <x v="2"/>
    <x v="3"/>
    <n v="6"/>
    <n v="1656"/>
    <n v="139.86000000000001"/>
  </r>
  <r>
    <x v="331"/>
    <x v="0"/>
    <x v="0"/>
    <x v="0"/>
    <n v="5"/>
    <n v="1255"/>
    <n v="257.14999999999998"/>
  </r>
  <r>
    <x v="174"/>
    <x v="8"/>
    <x v="1"/>
    <x v="1"/>
    <n v="1"/>
    <n v="1192"/>
    <n v="320.13"/>
  </r>
  <r>
    <x v="332"/>
    <x v="2"/>
    <x v="2"/>
    <x v="3"/>
    <n v="5"/>
    <n v="1925"/>
    <n v="204.74"/>
  </r>
  <r>
    <x v="333"/>
    <x v="2"/>
    <x v="2"/>
    <x v="3"/>
    <n v="8"/>
    <n v="1688"/>
    <n v="337.33"/>
  </r>
  <r>
    <x v="334"/>
    <x v="4"/>
    <x v="1"/>
    <x v="2"/>
    <n v="1"/>
    <n v="260"/>
    <n v="16.809999999999999"/>
  </r>
  <r>
    <x v="260"/>
    <x v="6"/>
    <x v="1"/>
    <x v="3"/>
    <n v="5"/>
    <n v="4880"/>
    <n v="1250.6600000000001"/>
  </r>
  <r>
    <x v="335"/>
    <x v="8"/>
    <x v="1"/>
    <x v="3"/>
    <n v="7"/>
    <n v="1134"/>
    <n v="179.74"/>
  </r>
  <r>
    <x v="42"/>
    <x v="9"/>
    <x v="2"/>
    <x v="0"/>
    <n v="9"/>
    <n v="9621"/>
    <n v="1201.29"/>
  </r>
  <r>
    <x v="268"/>
    <x v="6"/>
    <x v="1"/>
    <x v="2"/>
    <n v="4"/>
    <n v="2836"/>
    <n v="698.83"/>
  </r>
  <r>
    <x v="332"/>
    <x v="0"/>
    <x v="0"/>
    <x v="0"/>
    <n v="9"/>
    <n v="5859"/>
    <n v="1153.8900000000001"/>
  </r>
  <r>
    <x v="37"/>
    <x v="5"/>
    <x v="2"/>
    <x v="2"/>
    <n v="2"/>
    <n v="2044"/>
    <n v="460.03"/>
  </r>
  <r>
    <x v="336"/>
    <x v="6"/>
    <x v="1"/>
    <x v="2"/>
    <n v="1"/>
    <n v="612"/>
    <n v="174.52"/>
  </r>
  <r>
    <x v="337"/>
    <x v="5"/>
    <x v="2"/>
    <x v="0"/>
    <n v="3"/>
    <n v="1890"/>
    <n v="492.31"/>
  </r>
  <r>
    <x v="338"/>
    <x v="5"/>
    <x v="2"/>
    <x v="1"/>
    <n v="5"/>
    <n v="2025"/>
    <n v="168.82"/>
  </r>
  <r>
    <x v="339"/>
    <x v="0"/>
    <x v="0"/>
    <x v="2"/>
    <n v="2"/>
    <n v="1960"/>
    <n v="312.06"/>
  </r>
  <r>
    <x v="331"/>
    <x v="3"/>
    <x v="2"/>
    <x v="0"/>
    <n v="6"/>
    <n v="4410"/>
    <n v="893.27"/>
  </r>
  <r>
    <x v="340"/>
    <x v="8"/>
    <x v="1"/>
    <x v="3"/>
    <n v="8"/>
    <n v="8272"/>
    <n v="2391.88"/>
  </r>
  <r>
    <x v="11"/>
    <x v="5"/>
    <x v="2"/>
    <x v="3"/>
    <n v="6"/>
    <n v="5712"/>
    <n v="638.29"/>
  </r>
  <r>
    <x v="341"/>
    <x v="5"/>
    <x v="2"/>
    <x v="0"/>
    <n v="6"/>
    <n v="1524"/>
    <n v="178.36"/>
  </r>
  <r>
    <x v="342"/>
    <x v="8"/>
    <x v="1"/>
    <x v="0"/>
    <n v="8"/>
    <n v="5160"/>
    <n v="1057.4100000000001"/>
  </r>
  <r>
    <x v="343"/>
    <x v="1"/>
    <x v="1"/>
    <x v="1"/>
    <n v="4"/>
    <n v="2956"/>
    <n v="451.6"/>
  </r>
  <r>
    <x v="344"/>
    <x v="7"/>
    <x v="2"/>
    <x v="3"/>
    <n v="8"/>
    <n v="7944"/>
    <n v="2257.73"/>
  </r>
  <r>
    <x v="112"/>
    <x v="3"/>
    <x v="2"/>
    <x v="0"/>
    <n v="5"/>
    <n v="1815"/>
    <n v="535.22"/>
  </r>
  <r>
    <x v="88"/>
    <x v="4"/>
    <x v="1"/>
    <x v="0"/>
    <n v="3"/>
    <n v="2706"/>
    <n v="546.97"/>
  </r>
  <r>
    <x v="345"/>
    <x v="9"/>
    <x v="2"/>
    <x v="0"/>
    <n v="2"/>
    <n v="1356"/>
    <n v="144.18"/>
  </r>
  <r>
    <x v="346"/>
    <x v="0"/>
    <x v="0"/>
    <x v="2"/>
    <n v="6"/>
    <n v="6384"/>
    <n v="1189.19"/>
  </r>
  <r>
    <x v="347"/>
    <x v="5"/>
    <x v="2"/>
    <x v="2"/>
    <n v="9"/>
    <n v="4248"/>
    <n v="964.12"/>
  </r>
  <r>
    <x v="348"/>
    <x v="6"/>
    <x v="1"/>
    <x v="0"/>
    <n v="6"/>
    <n v="3954"/>
    <n v="676.82"/>
  </r>
  <r>
    <x v="265"/>
    <x v="7"/>
    <x v="2"/>
    <x v="2"/>
    <n v="6"/>
    <n v="7110"/>
    <n v="739.6"/>
  </r>
  <r>
    <x v="349"/>
    <x v="4"/>
    <x v="1"/>
    <x v="2"/>
    <n v="7"/>
    <n v="8113"/>
    <n v="995.03"/>
  </r>
  <r>
    <x v="350"/>
    <x v="4"/>
    <x v="1"/>
    <x v="0"/>
    <n v="3"/>
    <n v="1830"/>
    <n v="183.62"/>
  </r>
  <r>
    <x v="351"/>
    <x v="8"/>
    <x v="1"/>
    <x v="3"/>
    <n v="4"/>
    <n v="3732"/>
    <n v="671.19"/>
  </r>
  <r>
    <x v="352"/>
    <x v="1"/>
    <x v="1"/>
    <x v="3"/>
    <n v="6"/>
    <n v="4062"/>
    <n v="1087.17"/>
  </r>
  <r>
    <x v="353"/>
    <x v="5"/>
    <x v="2"/>
    <x v="0"/>
    <n v="1"/>
    <n v="496"/>
    <n v="93.31"/>
  </r>
  <r>
    <x v="354"/>
    <x v="5"/>
    <x v="2"/>
    <x v="1"/>
    <n v="4"/>
    <n v="1104"/>
    <n v="84.31"/>
  </r>
  <r>
    <x v="130"/>
    <x v="7"/>
    <x v="2"/>
    <x v="3"/>
    <n v="3"/>
    <n v="2274"/>
    <n v="662"/>
  </r>
  <r>
    <x v="355"/>
    <x v="5"/>
    <x v="2"/>
    <x v="0"/>
    <n v="8"/>
    <n v="4456"/>
    <n v="1106.04"/>
  </r>
  <r>
    <x v="356"/>
    <x v="1"/>
    <x v="1"/>
    <x v="3"/>
    <n v="8"/>
    <n v="4928"/>
    <n v="1038.18"/>
  </r>
  <r>
    <x v="357"/>
    <x v="7"/>
    <x v="2"/>
    <x v="0"/>
    <n v="4"/>
    <n v="1740"/>
    <n v="224.79"/>
  </r>
  <r>
    <x v="358"/>
    <x v="4"/>
    <x v="1"/>
    <x v="0"/>
    <n v="2"/>
    <n v="178"/>
    <n v="31.46"/>
  </r>
  <r>
    <x v="359"/>
    <x v="0"/>
    <x v="0"/>
    <x v="1"/>
    <n v="8"/>
    <n v="5296"/>
    <n v="1234.81"/>
  </r>
  <r>
    <x v="360"/>
    <x v="1"/>
    <x v="1"/>
    <x v="0"/>
    <n v="4"/>
    <n v="4156"/>
    <n v="847.09"/>
  </r>
  <r>
    <x v="62"/>
    <x v="0"/>
    <x v="0"/>
    <x v="0"/>
    <n v="1"/>
    <n v="624"/>
    <n v="106.92"/>
  </r>
  <r>
    <x v="29"/>
    <x v="7"/>
    <x v="2"/>
    <x v="3"/>
    <n v="4"/>
    <n v="3892"/>
    <n v="1052.72"/>
  </r>
  <r>
    <x v="361"/>
    <x v="1"/>
    <x v="1"/>
    <x v="2"/>
    <n v="9"/>
    <n v="1620"/>
    <n v="294.60000000000002"/>
  </r>
  <r>
    <x v="362"/>
    <x v="1"/>
    <x v="1"/>
    <x v="3"/>
    <n v="3"/>
    <n v="2250"/>
    <n v="301.97000000000003"/>
  </r>
  <r>
    <x v="363"/>
    <x v="6"/>
    <x v="1"/>
    <x v="3"/>
    <n v="2"/>
    <n v="1390"/>
    <n v="316.31"/>
  </r>
  <r>
    <x v="364"/>
    <x v="3"/>
    <x v="2"/>
    <x v="2"/>
    <n v="5"/>
    <n v="5155"/>
    <n v="1325.16"/>
  </r>
  <r>
    <x v="24"/>
    <x v="5"/>
    <x v="2"/>
    <x v="0"/>
    <n v="5"/>
    <n v="1025"/>
    <n v="262.91000000000003"/>
  </r>
  <r>
    <x v="363"/>
    <x v="1"/>
    <x v="1"/>
    <x v="2"/>
    <n v="3"/>
    <n v="1785"/>
    <n v="244.52"/>
  </r>
  <r>
    <x v="365"/>
    <x v="5"/>
    <x v="2"/>
    <x v="0"/>
    <n v="9"/>
    <n v="2952"/>
    <n v="605.85"/>
  </r>
  <r>
    <x v="366"/>
    <x v="4"/>
    <x v="1"/>
    <x v="1"/>
    <n v="1"/>
    <n v="773"/>
    <n v="181.52"/>
  </r>
  <r>
    <x v="367"/>
    <x v="2"/>
    <x v="2"/>
    <x v="0"/>
    <n v="8"/>
    <n v="1640"/>
    <n v="361.48"/>
  </r>
  <r>
    <x v="368"/>
    <x v="8"/>
    <x v="1"/>
    <x v="1"/>
    <n v="1"/>
    <n v="1017"/>
    <n v="69.33"/>
  </r>
  <r>
    <x v="369"/>
    <x v="4"/>
    <x v="1"/>
    <x v="1"/>
    <n v="4"/>
    <n v="1964"/>
    <n v="349.91"/>
  </r>
  <r>
    <x v="246"/>
    <x v="1"/>
    <x v="1"/>
    <x v="0"/>
    <n v="3"/>
    <n v="2994"/>
    <n v="638.59"/>
  </r>
  <r>
    <x v="370"/>
    <x v="0"/>
    <x v="0"/>
    <x v="1"/>
    <n v="9"/>
    <n v="8046"/>
    <n v="2210.33"/>
  </r>
  <r>
    <x v="371"/>
    <x v="0"/>
    <x v="0"/>
    <x v="3"/>
    <n v="2"/>
    <n v="1874"/>
    <n v="271.5"/>
  </r>
  <r>
    <x v="372"/>
    <x v="1"/>
    <x v="1"/>
    <x v="0"/>
    <n v="8"/>
    <n v="6008"/>
    <n v="871.76"/>
  </r>
  <r>
    <x v="284"/>
    <x v="3"/>
    <x v="2"/>
    <x v="1"/>
    <n v="8"/>
    <n v="7240"/>
    <n v="411.19"/>
  </r>
  <r>
    <x v="373"/>
    <x v="6"/>
    <x v="1"/>
    <x v="2"/>
    <n v="9"/>
    <n v="1188"/>
    <n v="348.31"/>
  </r>
  <r>
    <x v="302"/>
    <x v="4"/>
    <x v="1"/>
    <x v="0"/>
    <n v="9"/>
    <n v="2997"/>
    <n v="163.34"/>
  </r>
  <r>
    <x v="374"/>
    <x v="0"/>
    <x v="0"/>
    <x v="3"/>
    <n v="9"/>
    <n v="7524"/>
    <n v="2017.85"/>
  </r>
  <r>
    <x v="375"/>
    <x v="6"/>
    <x v="1"/>
    <x v="0"/>
    <n v="5"/>
    <n v="3625"/>
    <n v="268.73"/>
  </r>
  <r>
    <x v="376"/>
    <x v="9"/>
    <x v="2"/>
    <x v="1"/>
    <n v="8"/>
    <n v="6952"/>
    <n v="871.2"/>
  </r>
  <r>
    <x v="377"/>
    <x v="3"/>
    <x v="2"/>
    <x v="0"/>
    <n v="9"/>
    <n v="1053"/>
    <n v="283.58"/>
  </r>
  <r>
    <x v="378"/>
    <x v="6"/>
    <x v="1"/>
    <x v="0"/>
    <n v="9"/>
    <n v="6696"/>
    <n v="1224.22"/>
  </r>
  <r>
    <x v="62"/>
    <x v="4"/>
    <x v="1"/>
    <x v="0"/>
    <n v="2"/>
    <n v="1420"/>
    <n v="93.59"/>
  </r>
  <r>
    <x v="379"/>
    <x v="3"/>
    <x v="2"/>
    <x v="3"/>
    <n v="9"/>
    <n v="9972"/>
    <n v="2566.0100000000002"/>
  </r>
  <r>
    <x v="380"/>
    <x v="9"/>
    <x v="2"/>
    <x v="2"/>
    <n v="8"/>
    <n v="3136"/>
    <n v="494.26"/>
  </r>
  <r>
    <x v="291"/>
    <x v="3"/>
    <x v="2"/>
    <x v="3"/>
    <n v="3"/>
    <n v="225"/>
    <n v="20.52"/>
  </r>
  <r>
    <x v="381"/>
    <x v="1"/>
    <x v="1"/>
    <x v="1"/>
    <n v="3"/>
    <n v="1662"/>
    <n v="375.04"/>
  </r>
  <r>
    <x v="51"/>
    <x v="0"/>
    <x v="0"/>
    <x v="3"/>
    <n v="4"/>
    <n v="500"/>
    <n v="85.96"/>
  </r>
  <r>
    <x v="382"/>
    <x v="7"/>
    <x v="2"/>
    <x v="0"/>
    <n v="8"/>
    <n v="3168"/>
    <n v="747.33"/>
  </r>
  <r>
    <x v="383"/>
    <x v="7"/>
    <x v="2"/>
    <x v="1"/>
    <n v="1"/>
    <n v="622"/>
    <n v="104.57"/>
  </r>
  <r>
    <x v="384"/>
    <x v="2"/>
    <x v="2"/>
    <x v="0"/>
    <n v="3"/>
    <n v="1233"/>
    <n v="361.12"/>
  </r>
  <r>
    <x v="385"/>
    <x v="9"/>
    <x v="2"/>
    <x v="3"/>
    <n v="3"/>
    <n v="573"/>
    <n v="116.14"/>
  </r>
  <r>
    <x v="337"/>
    <x v="2"/>
    <x v="2"/>
    <x v="2"/>
    <n v="1"/>
    <n v="702"/>
    <n v="129.34"/>
  </r>
  <r>
    <x v="146"/>
    <x v="9"/>
    <x v="2"/>
    <x v="2"/>
    <n v="8"/>
    <n v="4832"/>
    <n v="1261.06"/>
  </r>
  <r>
    <x v="386"/>
    <x v="0"/>
    <x v="0"/>
    <x v="0"/>
    <n v="5"/>
    <n v="3765"/>
    <n v="670.8"/>
  </r>
  <r>
    <x v="387"/>
    <x v="3"/>
    <x v="2"/>
    <x v="0"/>
    <n v="8"/>
    <n v="6928"/>
    <n v="1415.16"/>
  </r>
  <r>
    <x v="73"/>
    <x v="4"/>
    <x v="1"/>
    <x v="3"/>
    <n v="7"/>
    <n v="1624"/>
    <n v="436.13"/>
  </r>
  <r>
    <x v="90"/>
    <x v="4"/>
    <x v="1"/>
    <x v="0"/>
    <n v="1"/>
    <n v="68"/>
    <n v="10.39"/>
  </r>
  <r>
    <x v="388"/>
    <x v="1"/>
    <x v="1"/>
    <x v="0"/>
    <n v="1"/>
    <n v="651"/>
    <n v="187.99"/>
  </r>
  <r>
    <x v="389"/>
    <x v="0"/>
    <x v="0"/>
    <x v="0"/>
    <n v="7"/>
    <n v="6293"/>
    <n v="718.49"/>
  </r>
  <r>
    <x v="390"/>
    <x v="8"/>
    <x v="1"/>
    <x v="3"/>
    <n v="2"/>
    <n v="1068"/>
    <n v="85.71"/>
  </r>
  <r>
    <x v="391"/>
    <x v="8"/>
    <x v="1"/>
    <x v="0"/>
    <n v="1"/>
    <n v="381"/>
    <n v="26.69"/>
  </r>
  <r>
    <x v="155"/>
    <x v="0"/>
    <x v="0"/>
    <x v="2"/>
    <n v="2"/>
    <n v="2016"/>
    <n v="426.43"/>
  </r>
  <r>
    <x v="392"/>
    <x v="4"/>
    <x v="1"/>
    <x v="3"/>
    <n v="2"/>
    <n v="1224"/>
    <n v="340.67"/>
  </r>
  <r>
    <x v="139"/>
    <x v="6"/>
    <x v="1"/>
    <x v="2"/>
    <n v="5"/>
    <n v="2180"/>
    <n v="400.01"/>
  </r>
  <r>
    <x v="393"/>
    <x v="9"/>
    <x v="2"/>
    <x v="0"/>
    <n v="9"/>
    <n v="2853"/>
    <n v="353.09"/>
  </r>
  <r>
    <x v="394"/>
    <x v="1"/>
    <x v="1"/>
    <x v="2"/>
    <n v="1"/>
    <n v="272"/>
    <n v="45.33"/>
  </r>
  <r>
    <x v="281"/>
    <x v="7"/>
    <x v="2"/>
    <x v="0"/>
    <n v="4"/>
    <n v="2640"/>
    <n v="183.23"/>
  </r>
  <r>
    <x v="395"/>
    <x v="6"/>
    <x v="1"/>
    <x v="0"/>
    <n v="2"/>
    <n v="488"/>
    <n v="129.02000000000001"/>
  </r>
  <r>
    <x v="396"/>
    <x v="0"/>
    <x v="0"/>
    <x v="2"/>
    <n v="8"/>
    <n v="9184"/>
    <n v="1795.93"/>
  </r>
  <r>
    <x v="294"/>
    <x v="2"/>
    <x v="2"/>
    <x v="0"/>
    <n v="5"/>
    <n v="280"/>
    <n v="23.98"/>
  </r>
  <r>
    <x v="141"/>
    <x v="8"/>
    <x v="1"/>
    <x v="1"/>
    <n v="3"/>
    <n v="2889"/>
    <n v="604.45000000000005"/>
  </r>
  <r>
    <x v="361"/>
    <x v="9"/>
    <x v="2"/>
    <x v="3"/>
    <n v="1"/>
    <n v="625"/>
    <n v="125.9"/>
  </r>
  <r>
    <x v="397"/>
    <x v="8"/>
    <x v="1"/>
    <x v="2"/>
    <n v="8"/>
    <n v="7056"/>
    <n v="538.48"/>
  </r>
  <r>
    <x v="398"/>
    <x v="2"/>
    <x v="2"/>
    <x v="3"/>
    <n v="8"/>
    <n v="3936"/>
    <n v="720.2"/>
  </r>
  <r>
    <x v="399"/>
    <x v="5"/>
    <x v="2"/>
    <x v="1"/>
    <n v="6"/>
    <n v="2472"/>
    <n v="363.38"/>
  </r>
  <r>
    <x v="206"/>
    <x v="1"/>
    <x v="1"/>
    <x v="3"/>
    <n v="5"/>
    <n v="855"/>
    <n v="67.569999999999993"/>
  </r>
  <r>
    <x v="400"/>
    <x v="1"/>
    <x v="1"/>
    <x v="3"/>
    <n v="3"/>
    <n v="3480"/>
    <n v="560.39"/>
  </r>
  <r>
    <x v="401"/>
    <x v="3"/>
    <x v="2"/>
    <x v="2"/>
    <n v="1"/>
    <n v="846"/>
    <n v="103.3"/>
  </r>
  <r>
    <x v="402"/>
    <x v="8"/>
    <x v="1"/>
    <x v="0"/>
    <n v="1"/>
    <n v="158"/>
    <n v="46.24"/>
  </r>
  <r>
    <x v="403"/>
    <x v="1"/>
    <x v="1"/>
    <x v="2"/>
    <n v="9"/>
    <n v="3186"/>
    <n v="583.24"/>
  </r>
  <r>
    <x v="69"/>
    <x v="1"/>
    <x v="1"/>
    <x v="0"/>
    <n v="7"/>
    <n v="6972"/>
    <n v="969.43"/>
  </r>
  <r>
    <x v="404"/>
    <x v="1"/>
    <x v="1"/>
    <x v="1"/>
    <n v="5"/>
    <n v="1745"/>
    <n v="449.64"/>
  </r>
  <r>
    <x v="405"/>
    <x v="9"/>
    <x v="2"/>
    <x v="1"/>
    <n v="8"/>
    <n v="4256"/>
    <n v="372.95"/>
  </r>
  <r>
    <x v="406"/>
    <x v="8"/>
    <x v="1"/>
    <x v="2"/>
    <n v="3"/>
    <n v="1674"/>
    <n v="499.63"/>
  </r>
  <r>
    <x v="407"/>
    <x v="3"/>
    <x v="2"/>
    <x v="0"/>
    <n v="8"/>
    <n v="6488"/>
    <n v="1072.8599999999999"/>
  </r>
  <r>
    <x v="408"/>
    <x v="2"/>
    <x v="2"/>
    <x v="1"/>
    <n v="5"/>
    <n v="3530"/>
    <n v="803.86"/>
  </r>
  <r>
    <x v="52"/>
    <x v="1"/>
    <x v="1"/>
    <x v="0"/>
    <n v="2"/>
    <n v="632"/>
    <n v="87.45"/>
  </r>
  <r>
    <x v="329"/>
    <x v="6"/>
    <x v="1"/>
    <x v="0"/>
    <n v="7"/>
    <n v="3675"/>
    <n v="236.8"/>
  </r>
  <r>
    <x v="250"/>
    <x v="5"/>
    <x v="2"/>
    <x v="3"/>
    <n v="6"/>
    <n v="5592"/>
    <n v="926.42"/>
  </r>
  <r>
    <x v="17"/>
    <x v="8"/>
    <x v="1"/>
    <x v="1"/>
    <n v="6"/>
    <n v="6432"/>
    <n v="807.94"/>
  </r>
  <r>
    <x v="409"/>
    <x v="3"/>
    <x v="2"/>
    <x v="1"/>
    <n v="3"/>
    <n v="3069"/>
    <n v="503.3"/>
  </r>
  <r>
    <x v="251"/>
    <x v="8"/>
    <x v="1"/>
    <x v="0"/>
    <n v="7"/>
    <n v="2898"/>
    <n v="490.11"/>
  </r>
  <r>
    <x v="410"/>
    <x v="2"/>
    <x v="2"/>
    <x v="0"/>
    <n v="4"/>
    <n v="3960"/>
    <n v="632.76"/>
  </r>
  <r>
    <x v="363"/>
    <x v="2"/>
    <x v="2"/>
    <x v="2"/>
    <n v="3"/>
    <n v="1476"/>
    <n v="85.16"/>
  </r>
  <r>
    <x v="411"/>
    <x v="0"/>
    <x v="0"/>
    <x v="1"/>
    <n v="2"/>
    <n v="1058"/>
    <n v="298.69"/>
  </r>
  <r>
    <x v="412"/>
    <x v="6"/>
    <x v="1"/>
    <x v="2"/>
    <n v="5"/>
    <n v="1215"/>
    <n v="162.02000000000001"/>
  </r>
  <r>
    <x v="117"/>
    <x v="3"/>
    <x v="2"/>
    <x v="0"/>
    <n v="3"/>
    <n v="204"/>
    <n v="20.43"/>
  </r>
  <r>
    <x v="413"/>
    <x v="2"/>
    <x v="2"/>
    <x v="3"/>
    <n v="7"/>
    <n v="4137"/>
    <n v="221.66"/>
  </r>
  <r>
    <x v="414"/>
    <x v="3"/>
    <x v="2"/>
    <x v="3"/>
    <n v="5"/>
    <n v="250"/>
    <n v="16.809999999999999"/>
  </r>
  <r>
    <x v="415"/>
    <x v="2"/>
    <x v="2"/>
    <x v="3"/>
    <n v="5"/>
    <n v="1185"/>
    <n v="254.34"/>
  </r>
  <r>
    <x v="416"/>
    <x v="4"/>
    <x v="1"/>
    <x v="2"/>
    <n v="2"/>
    <n v="1504"/>
    <n v="108.52"/>
  </r>
  <r>
    <x v="168"/>
    <x v="8"/>
    <x v="1"/>
    <x v="3"/>
    <n v="6"/>
    <n v="6888"/>
    <n v="945.07"/>
  </r>
  <r>
    <x v="366"/>
    <x v="7"/>
    <x v="2"/>
    <x v="3"/>
    <n v="3"/>
    <n v="3588"/>
    <n v="958.84"/>
  </r>
  <r>
    <x v="417"/>
    <x v="9"/>
    <x v="2"/>
    <x v="2"/>
    <n v="7"/>
    <n v="1477"/>
    <n v="367.22"/>
  </r>
  <r>
    <x v="418"/>
    <x v="5"/>
    <x v="2"/>
    <x v="1"/>
    <n v="8"/>
    <n v="1280"/>
    <n v="131.56"/>
  </r>
  <r>
    <x v="419"/>
    <x v="2"/>
    <x v="2"/>
    <x v="2"/>
    <n v="7"/>
    <n v="7161"/>
    <n v="630.76"/>
  </r>
  <r>
    <x v="420"/>
    <x v="0"/>
    <x v="0"/>
    <x v="0"/>
    <n v="5"/>
    <n v="1850"/>
    <n v="346.4"/>
  </r>
  <r>
    <x v="18"/>
    <x v="1"/>
    <x v="1"/>
    <x v="1"/>
    <n v="3"/>
    <n v="3378"/>
    <n v="520.30999999999995"/>
  </r>
  <r>
    <x v="421"/>
    <x v="9"/>
    <x v="2"/>
    <x v="3"/>
    <n v="7"/>
    <n v="7672"/>
    <n v="2046.38"/>
  </r>
  <r>
    <x v="327"/>
    <x v="2"/>
    <x v="2"/>
    <x v="2"/>
    <n v="6"/>
    <n v="4254"/>
    <n v="938.66"/>
  </r>
  <r>
    <x v="422"/>
    <x v="8"/>
    <x v="1"/>
    <x v="1"/>
    <n v="5"/>
    <n v="2285"/>
    <n v="279.89999999999998"/>
  </r>
  <r>
    <x v="423"/>
    <x v="8"/>
    <x v="1"/>
    <x v="3"/>
    <n v="7"/>
    <n v="5775"/>
    <n v="680.6"/>
  </r>
  <r>
    <x v="30"/>
    <x v="7"/>
    <x v="2"/>
    <x v="0"/>
    <n v="9"/>
    <n v="9360"/>
    <n v="910.35"/>
  </r>
  <r>
    <x v="297"/>
    <x v="0"/>
    <x v="0"/>
    <x v="0"/>
    <n v="8"/>
    <n v="6936"/>
    <n v="1156.52"/>
  </r>
  <r>
    <x v="190"/>
    <x v="3"/>
    <x v="2"/>
    <x v="1"/>
    <n v="9"/>
    <n v="5634"/>
    <n v="464.71"/>
  </r>
  <r>
    <x v="181"/>
    <x v="7"/>
    <x v="2"/>
    <x v="0"/>
    <n v="4"/>
    <n v="2644"/>
    <n v="731.86"/>
  </r>
  <r>
    <x v="424"/>
    <x v="4"/>
    <x v="1"/>
    <x v="0"/>
    <n v="1"/>
    <n v="247"/>
    <n v="35.65"/>
  </r>
  <r>
    <x v="425"/>
    <x v="9"/>
    <x v="2"/>
    <x v="1"/>
    <n v="7"/>
    <n v="1869"/>
    <n v="357.27"/>
  </r>
  <r>
    <x v="426"/>
    <x v="5"/>
    <x v="2"/>
    <x v="3"/>
    <n v="7"/>
    <n v="1988"/>
    <n v="430.59"/>
  </r>
  <r>
    <x v="427"/>
    <x v="9"/>
    <x v="2"/>
    <x v="3"/>
    <n v="4"/>
    <n v="1920"/>
    <n v="549.11"/>
  </r>
  <r>
    <x v="229"/>
    <x v="4"/>
    <x v="1"/>
    <x v="3"/>
    <n v="3"/>
    <n v="2577"/>
    <n v="196.37"/>
  </r>
  <r>
    <x v="428"/>
    <x v="3"/>
    <x v="2"/>
    <x v="1"/>
    <n v="3"/>
    <n v="828"/>
    <n v="117.95"/>
  </r>
  <r>
    <x v="429"/>
    <x v="3"/>
    <x v="2"/>
    <x v="2"/>
    <n v="2"/>
    <n v="1580"/>
    <n v="403.76"/>
  </r>
  <r>
    <x v="280"/>
    <x v="3"/>
    <x v="2"/>
    <x v="1"/>
    <n v="9"/>
    <n v="9009"/>
    <n v="1909.26"/>
  </r>
  <r>
    <x v="430"/>
    <x v="7"/>
    <x v="2"/>
    <x v="1"/>
    <n v="9"/>
    <n v="7425"/>
    <n v="1580.86"/>
  </r>
  <r>
    <x v="413"/>
    <x v="6"/>
    <x v="1"/>
    <x v="3"/>
    <n v="5"/>
    <n v="2945"/>
    <n v="672.35"/>
  </r>
  <r>
    <x v="431"/>
    <x v="1"/>
    <x v="1"/>
    <x v="3"/>
    <n v="3"/>
    <n v="294"/>
    <n v="22.9"/>
  </r>
  <r>
    <x v="432"/>
    <x v="1"/>
    <x v="1"/>
    <x v="2"/>
    <n v="5"/>
    <n v="5875"/>
    <n v="789.23"/>
  </r>
  <r>
    <x v="47"/>
    <x v="5"/>
    <x v="2"/>
    <x v="3"/>
    <n v="3"/>
    <n v="1308"/>
    <n v="197.6"/>
  </r>
  <r>
    <x v="433"/>
    <x v="6"/>
    <x v="1"/>
    <x v="2"/>
    <n v="4"/>
    <n v="2360"/>
    <n v="391.82"/>
  </r>
  <r>
    <x v="434"/>
    <x v="5"/>
    <x v="2"/>
    <x v="3"/>
    <n v="6"/>
    <n v="1008"/>
    <n v="245.45"/>
  </r>
  <r>
    <x v="435"/>
    <x v="5"/>
    <x v="2"/>
    <x v="0"/>
    <n v="6"/>
    <n v="1344"/>
    <n v="338.4"/>
  </r>
  <r>
    <x v="187"/>
    <x v="0"/>
    <x v="0"/>
    <x v="3"/>
    <n v="7"/>
    <n v="5635"/>
    <n v="1185.97"/>
  </r>
  <r>
    <x v="124"/>
    <x v="1"/>
    <x v="1"/>
    <x v="1"/>
    <n v="4"/>
    <n v="4088"/>
    <n v="1200.03"/>
  </r>
  <r>
    <x v="436"/>
    <x v="3"/>
    <x v="2"/>
    <x v="2"/>
    <n v="8"/>
    <n v="2192"/>
    <n v="441.77"/>
  </r>
  <r>
    <x v="437"/>
    <x v="8"/>
    <x v="1"/>
    <x v="2"/>
    <n v="8"/>
    <n v="1952"/>
    <n v="444.15"/>
  </r>
  <r>
    <x v="438"/>
    <x v="7"/>
    <x v="2"/>
    <x v="1"/>
    <n v="7"/>
    <n v="3955"/>
    <n v="1144.76"/>
  </r>
  <r>
    <x v="96"/>
    <x v="1"/>
    <x v="1"/>
    <x v="2"/>
    <n v="8"/>
    <n v="5256"/>
    <n v="1118.1600000000001"/>
  </r>
  <r>
    <x v="439"/>
    <x v="3"/>
    <x v="2"/>
    <x v="0"/>
    <n v="1"/>
    <n v="1163"/>
    <n v="115.09"/>
  </r>
  <r>
    <x v="440"/>
    <x v="5"/>
    <x v="2"/>
    <x v="0"/>
    <n v="9"/>
    <n v="5004"/>
    <n v="973.65"/>
  </r>
  <r>
    <x v="441"/>
    <x v="1"/>
    <x v="1"/>
    <x v="0"/>
    <n v="8"/>
    <n v="9128"/>
    <n v="1342.19"/>
  </r>
  <r>
    <x v="442"/>
    <x v="9"/>
    <x v="2"/>
    <x v="1"/>
    <n v="4"/>
    <n v="4700"/>
    <n v="576.34"/>
  </r>
  <r>
    <x v="443"/>
    <x v="3"/>
    <x v="2"/>
    <x v="3"/>
    <n v="2"/>
    <n v="1686"/>
    <n v="146.38999999999999"/>
  </r>
  <r>
    <x v="444"/>
    <x v="8"/>
    <x v="1"/>
    <x v="2"/>
    <n v="9"/>
    <n v="4572"/>
    <n v="279.54000000000002"/>
  </r>
  <r>
    <x v="445"/>
    <x v="7"/>
    <x v="2"/>
    <x v="2"/>
    <n v="5"/>
    <n v="2510"/>
    <n v="515.12"/>
  </r>
  <r>
    <x v="388"/>
    <x v="7"/>
    <x v="2"/>
    <x v="3"/>
    <n v="3"/>
    <n v="3117"/>
    <n v="829.09"/>
  </r>
  <r>
    <x v="446"/>
    <x v="9"/>
    <x v="2"/>
    <x v="3"/>
    <n v="1"/>
    <n v="380"/>
    <n v="94.35"/>
  </r>
  <r>
    <x v="63"/>
    <x v="6"/>
    <x v="1"/>
    <x v="3"/>
    <n v="9"/>
    <n v="2889"/>
    <n v="604.19000000000005"/>
  </r>
  <r>
    <x v="447"/>
    <x v="5"/>
    <x v="2"/>
    <x v="1"/>
    <n v="9"/>
    <n v="3654"/>
    <n v="581.9"/>
  </r>
  <r>
    <x v="250"/>
    <x v="0"/>
    <x v="0"/>
    <x v="1"/>
    <n v="6"/>
    <n v="5610"/>
    <n v="298.77"/>
  </r>
  <r>
    <x v="448"/>
    <x v="7"/>
    <x v="2"/>
    <x v="2"/>
    <n v="1"/>
    <n v="668"/>
    <n v="99.4"/>
  </r>
  <r>
    <x v="449"/>
    <x v="7"/>
    <x v="2"/>
    <x v="2"/>
    <n v="7"/>
    <n v="3983"/>
    <n v="360.13"/>
  </r>
  <r>
    <x v="450"/>
    <x v="8"/>
    <x v="1"/>
    <x v="2"/>
    <n v="1"/>
    <n v="1112"/>
    <n v="272.81"/>
  </r>
  <r>
    <x v="451"/>
    <x v="6"/>
    <x v="1"/>
    <x v="0"/>
    <n v="9"/>
    <n v="4230"/>
    <n v="221.06"/>
  </r>
  <r>
    <x v="452"/>
    <x v="2"/>
    <x v="2"/>
    <x v="1"/>
    <n v="8"/>
    <n v="2968"/>
    <n v="530.29999999999995"/>
  </r>
  <r>
    <x v="135"/>
    <x v="6"/>
    <x v="1"/>
    <x v="3"/>
    <n v="5"/>
    <n v="4690"/>
    <n v="706.74"/>
  </r>
  <r>
    <x v="255"/>
    <x v="3"/>
    <x v="2"/>
    <x v="3"/>
    <n v="6"/>
    <n v="4296"/>
    <n v="1240.31"/>
  </r>
  <r>
    <x v="453"/>
    <x v="3"/>
    <x v="2"/>
    <x v="0"/>
    <n v="7"/>
    <n v="7203"/>
    <n v="523.52"/>
  </r>
  <r>
    <x v="454"/>
    <x v="7"/>
    <x v="2"/>
    <x v="0"/>
    <n v="4"/>
    <n v="3640"/>
    <n v="695.31"/>
  </r>
  <r>
    <x v="455"/>
    <x v="7"/>
    <x v="2"/>
    <x v="1"/>
    <n v="1"/>
    <n v="1131"/>
    <n v="304.62"/>
  </r>
  <r>
    <x v="456"/>
    <x v="3"/>
    <x v="2"/>
    <x v="3"/>
    <n v="9"/>
    <n v="3627"/>
    <n v="797.53"/>
  </r>
  <r>
    <x v="138"/>
    <x v="1"/>
    <x v="1"/>
    <x v="2"/>
    <n v="8"/>
    <n v="7968"/>
    <n v="1249.98"/>
  </r>
  <r>
    <x v="457"/>
    <x v="4"/>
    <x v="1"/>
    <x v="2"/>
    <n v="3"/>
    <n v="3546"/>
    <n v="490.28"/>
  </r>
  <r>
    <x v="458"/>
    <x v="2"/>
    <x v="2"/>
    <x v="2"/>
    <n v="5"/>
    <n v="2270"/>
    <n v="546.55999999999995"/>
  </r>
  <r>
    <x v="459"/>
    <x v="8"/>
    <x v="1"/>
    <x v="3"/>
    <n v="2"/>
    <n v="1354"/>
    <n v="136.91"/>
  </r>
  <r>
    <x v="157"/>
    <x v="4"/>
    <x v="1"/>
    <x v="3"/>
    <n v="7"/>
    <n v="6811"/>
    <n v="1423.57"/>
  </r>
  <r>
    <x v="460"/>
    <x v="5"/>
    <x v="2"/>
    <x v="1"/>
    <n v="3"/>
    <n v="1410"/>
    <n v="232.65"/>
  </r>
  <r>
    <x v="461"/>
    <x v="8"/>
    <x v="1"/>
    <x v="0"/>
    <n v="2"/>
    <n v="1170"/>
    <n v="249.99"/>
  </r>
  <r>
    <x v="275"/>
    <x v="9"/>
    <x v="2"/>
    <x v="1"/>
    <n v="7"/>
    <n v="4739"/>
    <n v="740.74"/>
  </r>
  <r>
    <x v="5"/>
    <x v="1"/>
    <x v="1"/>
    <x v="2"/>
    <n v="9"/>
    <n v="7866"/>
    <n v="1554.38"/>
  </r>
  <r>
    <x v="462"/>
    <x v="6"/>
    <x v="1"/>
    <x v="1"/>
    <n v="5"/>
    <n v="3645"/>
    <n v="388.31"/>
  </r>
  <r>
    <x v="144"/>
    <x v="4"/>
    <x v="1"/>
    <x v="1"/>
    <n v="6"/>
    <n v="5358"/>
    <n v="568.34"/>
  </r>
  <r>
    <x v="463"/>
    <x v="3"/>
    <x v="2"/>
    <x v="0"/>
    <n v="5"/>
    <n v="1775"/>
    <n v="486.37"/>
  </r>
  <r>
    <x v="130"/>
    <x v="4"/>
    <x v="1"/>
    <x v="2"/>
    <n v="9"/>
    <n v="4905"/>
    <n v="1351.25"/>
  </r>
  <r>
    <x v="464"/>
    <x v="1"/>
    <x v="1"/>
    <x v="1"/>
    <n v="6"/>
    <n v="4260"/>
    <n v="372.33"/>
  </r>
  <r>
    <x v="465"/>
    <x v="0"/>
    <x v="0"/>
    <x v="1"/>
    <n v="2"/>
    <n v="1632"/>
    <n v="292.77999999999997"/>
  </r>
  <r>
    <x v="322"/>
    <x v="5"/>
    <x v="2"/>
    <x v="1"/>
    <n v="6"/>
    <n v="3324"/>
    <n v="466.78"/>
  </r>
  <r>
    <x v="466"/>
    <x v="3"/>
    <x v="2"/>
    <x v="3"/>
    <n v="5"/>
    <n v="4590"/>
    <n v="347.14"/>
  </r>
  <r>
    <x v="406"/>
    <x v="9"/>
    <x v="2"/>
    <x v="1"/>
    <n v="9"/>
    <n v="8496"/>
    <n v="2182.42"/>
  </r>
  <r>
    <x v="467"/>
    <x v="0"/>
    <x v="0"/>
    <x v="0"/>
    <n v="6"/>
    <n v="6444"/>
    <n v="518.79"/>
  </r>
  <r>
    <x v="281"/>
    <x v="3"/>
    <x v="2"/>
    <x v="0"/>
    <n v="1"/>
    <n v="812"/>
    <n v="51.13"/>
  </r>
  <r>
    <x v="160"/>
    <x v="6"/>
    <x v="1"/>
    <x v="3"/>
    <n v="6"/>
    <n v="1764"/>
    <n v="465.93"/>
  </r>
  <r>
    <x v="468"/>
    <x v="0"/>
    <x v="0"/>
    <x v="3"/>
    <n v="1"/>
    <n v="1012"/>
    <n v="172.67"/>
  </r>
  <r>
    <x v="318"/>
    <x v="8"/>
    <x v="1"/>
    <x v="2"/>
    <n v="2"/>
    <n v="836"/>
    <n v="47.07"/>
  </r>
  <r>
    <x v="379"/>
    <x v="5"/>
    <x v="2"/>
    <x v="1"/>
    <n v="1"/>
    <n v="723"/>
    <n v="115.26"/>
  </r>
  <r>
    <x v="86"/>
    <x v="4"/>
    <x v="1"/>
    <x v="0"/>
    <n v="6"/>
    <n v="5628"/>
    <n v="1033.1500000000001"/>
  </r>
  <r>
    <x v="469"/>
    <x v="9"/>
    <x v="2"/>
    <x v="0"/>
    <n v="5"/>
    <n v="1660"/>
    <n v="283.14"/>
  </r>
  <r>
    <x v="470"/>
    <x v="4"/>
    <x v="1"/>
    <x v="3"/>
    <n v="3"/>
    <n v="2295"/>
    <n v="244.83"/>
  </r>
  <r>
    <x v="471"/>
    <x v="0"/>
    <x v="0"/>
    <x v="1"/>
    <n v="2"/>
    <n v="2190"/>
    <n v="477.8"/>
  </r>
  <r>
    <x v="328"/>
    <x v="2"/>
    <x v="2"/>
    <x v="1"/>
    <n v="7"/>
    <n v="3500"/>
    <n v="919.35"/>
  </r>
  <r>
    <x v="472"/>
    <x v="4"/>
    <x v="1"/>
    <x v="3"/>
    <n v="2"/>
    <n v="1098"/>
    <n v="239.92"/>
  </r>
  <r>
    <x v="473"/>
    <x v="1"/>
    <x v="1"/>
    <x v="0"/>
    <n v="5"/>
    <n v="945"/>
    <n v="194.03"/>
  </r>
  <r>
    <x v="273"/>
    <x v="1"/>
    <x v="1"/>
    <x v="3"/>
    <n v="6"/>
    <n v="5622"/>
    <n v="1382.67"/>
  </r>
  <r>
    <x v="442"/>
    <x v="3"/>
    <x v="2"/>
    <x v="1"/>
    <n v="3"/>
    <n v="2325"/>
    <n v="309.49"/>
  </r>
  <r>
    <x v="474"/>
    <x v="8"/>
    <x v="1"/>
    <x v="2"/>
    <n v="1"/>
    <n v="1157"/>
    <n v="252.08"/>
  </r>
  <r>
    <x v="475"/>
    <x v="0"/>
    <x v="0"/>
    <x v="3"/>
    <n v="3"/>
    <n v="531"/>
    <n v="126.24"/>
  </r>
  <r>
    <x v="476"/>
    <x v="2"/>
    <x v="2"/>
    <x v="3"/>
    <n v="2"/>
    <n v="1760"/>
    <n v="278.08999999999997"/>
  </r>
  <r>
    <x v="477"/>
    <x v="5"/>
    <x v="2"/>
    <x v="0"/>
    <n v="1"/>
    <n v="371"/>
    <n v="108.58"/>
  </r>
  <r>
    <x v="478"/>
    <x v="7"/>
    <x v="2"/>
    <x v="1"/>
    <n v="4"/>
    <n v="1896"/>
    <n v="191.7"/>
  </r>
  <r>
    <x v="479"/>
    <x v="5"/>
    <x v="2"/>
    <x v="2"/>
    <n v="2"/>
    <n v="514"/>
    <n v="106.75"/>
  </r>
  <r>
    <x v="480"/>
    <x v="6"/>
    <x v="1"/>
    <x v="3"/>
    <n v="7"/>
    <n v="1876"/>
    <n v="129.25"/>
  </r>
  <r>
    <x v="372"/>
    <x v="3"/>
    <x v="2"/>
    <x v="1"/>
    <n v="6"/>
    <n v="1182"/>
    <n v="236.12"/>
  </r>
  <r>
    <x v="281"/>
    <x v="7"/>
    <x v="2"/>
    <x v="0"/>
    <n v="5"/>
    <n v="4255"/>
    <n v="961.41"/>
  </r>
  <r>
    <x v="481"/>
    <x v="6"/>
    <x v="1"/>
    <x v="0"/>
    <n v="9"/>
    <n v="1341"/>
    <n v="150.69999999999999"/>
  </r>
  <r>
    <x v="482"/>
    <x v="8"/>
    <x v="1"/>
    <x v="0"/>
    <n v="1"/>
    <n v="644"/>
    <n v="49.25"/>
  </r>
  <r>
    <x v="432"/>
    <x v="6"/>
    <x v="1"/>
    <x v="2"/>
    <n v="3"/>
    <n v="1827"/>
    <n v="94.4"/>
  </r>
  <r>
    <x v="217"/>
    <x v="3"/>
    <x v="2"/>
    <x v="0"/>
    <n v="1"/>
    <n v="930"/>
    <n v="136.16"/>
  </r>
  <r>
    <x v="483"/>
    <x v="3"/>
    <x v="2"/>
    <x v="2"/>
    <n v="4"/>
    <n v="528"/>
    <n v="152.80000000000001"/>
  </r>
  <r>
    <x v="484"/>
    <x v="6"/>
    <x v="1"/>
    <x v="2"/>
    <n v="6"/>
    <n v="4236"/>
    <n v="739.22"/>
  </r>
  <r>
    <x v="485"/>
    <x v="4"/>
    <x v="1"/>
    <x v="0"/>
    <n v="4"/>
    <n v="1664"/>
    <n v="190.82"/>
  </r>
  <r>
    <x v="197"/>
    <x v="5"/>
    <x v="2"/>
    <x v="0"/>
    <n v="3"/>
    <n v="2727"/>
    <n v="554.46"/>
  </r>
  <r>
    <x v="89"/>
    <x v="5"/>
    <x v="2"/>
    <x v="0"/>
    <n v="2"/>
    <n v="522"/>
    <n v="52.73"/>
  </r>
  <r>
    <x v="486"/>
    <x v="1"/>
    <x v="1"/>
    <x v="3"/>
    <n v="7"/>
    <n v="8288"/>
    <n v="1945.03"/>
  </r>
  <r>
    <x v="416"/>
    <x v="9"/>
    <x v="2"/>
    <x v="3"/>
    <n v="9"/>
    <n v="1062"/>
    <n v="73.58"/>
  </r>
  <r>
    <x v="487"/>
    <x v="7"/>
    <x v="2"/>
    <x v="1"/>
    <n v="3"/>
    <n v="1140"/>
    <n v="226.52"/>
  </r>
  <r>
    <x v="294"/>
    <x v="8"/>
    <x v="1"/>
    <x v="1"/>
    <n v="8"/>
    <n v="3488"/>
    <n v="712.24"/>
  </r>
  <r>
    <x v="488"/>
    <x v="2"/>
    <x v="2"/>
    <x v="0"/>
    <n v="8"/>
    <n v="5920"/>
    <n v="1436.7"/>
  </r>
  <r>
    <x v="489"/>
    <x v="6"/>
    <x v="1"/>
    <x v="0"/>
    <n v="9"/>
    <n v="3096"/>
    <n v="362.89"/>
  </r>
  <r>
    <x v="348"/>
    <x v="6"/>
    <x v="1"/>
    <x v="2"/>
    <n v="5"/>
    <n v="3490"/>
    <n v="205.04"/>
  </r>
  <r>
    <x v="8"/>
    <x v="5"/>
    <x v="2"/>
    <x v="2"/>
    <n v="6"/>
    <n v="4374"/>
    <n v="702.62"/>
  </r>
  <r>
    <x v="490"/>
    <x v="7"/>
    <x v="2"/>
    <x v="2"/>
    <n v="6"/>
    <n v="3366"/>
    <n v="541.86"/>
  </r>
  <r>
    <x v="491"/>
    <x v="0"/>
    <x v="0"/>
    <x v="1"/>
    <n v="6"/>
    <n v="822"/>
    <n v="231.62"/>
  </r>
  <r>
    <x v="492"/>
    <x v="6"/>
    <x v="1"/>
    <x v="0"/>
    <n v="2"/>
    <n v="340"/>
    <n v="39.119999999999997"/>
  </r>
  <r>
    <x v="493"/>
    <x v="1"/>
    <x v="1"/>
    <x v="1"/>
    <n v="1"/>
    <n v="763"/>
    <n v="217.94"/>
  </r>
  <r>
    <x v="494"/>
    <x v="4"/>
    <x v="1"/>
    <x v="3"/>
    <n v="4"/>
    <n v="3408"/>
    <n v="856.98"/>
  </r>
  <r>
    <x v="495"/>
    <x v="2"/>
    <x v="2"/>
    <x v="3"/>
    <n v="7"/>
    <n v="2282"/>
    <n v="537.71"/>
  </r>
  <r>
    <x v="496"/>
    <x v="3"/>
    <x v="2"/>
    <x v="2"/>
    <n v="7"/>
    <n v="4151"/>
    <n v="1047.43"/>
  </r>
  <r>
    <x v="497"/>
    <x v="9"/>
    <x v="2"/>
    <x v="0"/>
    <n v="7"/>
    <n v="6279"/>
    <n v="1689.55"/>
  </r>
  <r>
    <x v="126"/>
    <x v="6"/>
    <x v="1"/>
    <x v="0"/>
    <n v="3"/>
    <n v="474"/>
    <n v="83.32"/>
  </r>
  <r>
    <x v="498"/>
    <x v="6"/>
    <x v="1"/>
    <x v="3"/>
    <n v="5"/>
    <n v="680"/>
    <n v="176.44"/>
  </r>
  <r>
    <x v="499"/>
    <x v="4"/>
    <x v="1"/>
    <x v="3"/>
    <n v="9"/>
    <n v="8496"/>
    <n v="1721.6"/>
  </r>
  <r>
    <x v="500"/>
    <x v="8"/>
    <x v="1"/>
    <x v="2"/>
    <n v="7"/>
    <n v="7826"/>
    <n v="714.68"/>
  </r>
  <r>
    <x v="126"/>
    <x v="1"/>
    <x v="1"/>
    <x v="2"/>
    <n v="6"/>
    <n v="4014"/>
    <n v="717.44"/>
  </r>
  <r>
    <x v="501"/>
    <x v="9"/>
    <x v="2"/>
    <x v="1"/>
    <n v="1"/>
    <n v="687"/>
    <n v="62.82"/>
  </r>
  <r>
    <x v="502"/>
    <x v="5"/>
    <x v="2"/>
    <x v="2"/>
    <n v="3"/>
    <n v="2943"/>
    <n v="234.27"/>
  </r>
  <r>
    <x v="503"/>
    <x v="0"/>
    <x v="0"/>
    <x v="1"/>
    <n v="7"/>
    <n v="5649"/>
    <n v="660.37"/>
  </r>
  <r>
    <x v="504"/>
    <x v="2"/>
    <x v="2"/>
    <x v="0"/>
    <n v="8"/>
    <n v="3296"/>
    <n v="623.66999999999996"/>
  </r>
  <r>
    <x v="505"/>
    <x v="4"/>
    <x v="1"/>
    <x v="0"/>
    <n v="3"/>
    <n v="1137"/>
    <n v="173.92"/>
  </r>
  <r>
    <x v="361"/>
    <x v="7"/>
    <x v="2"/>
    <x v="0"/>
    <n v="2"/>
    <n v="380"/>
    <n v="101.7"/>
  </r>
  <r>
    <x v="418"/>
    <x v="9"/>
    <x v="2"/>
    <x v="3"/>
    <n v="5"/>
    <n v="4405"/>
    <n v="1247.8599999999999"/>
  </r>
  <r>
    <x v="506"/>
    <x v="2"/>
    <x v="2"/>
    <x v="1"/>
    <n v="1"/>
    <n v="120"/>
    <n v="9.43"/>
  </r>
  <r>
    <x v="347"/>
    <x v="0"/>
    <x v="0"/>
    <x v="1"/>
    <n v="1"/>
    <n v="1176"/>
    <n v="182.07"/>
  </r>
  <r>
    <x v="507"/>
    <x v="3"/>
    <x v="2"/>
    <x v="2"/>
    <n v="3"/>
    <n v="1770"/>
    <n v="366.58"/>
  </r>
  <r>
    <x v="508"/>
    <x v="3"/>
    <x v="2"/>
    <x v="2"/>
    <n v="6"/>
    <n v="4302"/>
    <n v="965.02"/>
  </r>
  <r>
    <x v="453"/>
    <x v="3"/>
    <x v="2"/>
    <x v="0"/>
    <n v="3"/>
    <n v="2988"/>
    <n v="362.68"/>
  </r>
  <r>
    <x v="373"/>
    <x v="4"/>
    <x v="1"/>
    <x v="1"/>
    <n v="3"/>
    <n v="3033"/>
    <n v="458.41"/>
  </r>
  <r>
    <x v="63"/>
    <x v="1"/>
    <x v="1"/>
    <x v="2"/>
    <n v="9"/>
    <n v="6363"/>
    <n v="1752.65"/>
  </r>
  <r>
    <x v="509"/>
    <x v="2"/>
    <x v="2"/>
    <x v="3"/>
    <n v="6"/>
    <n v="3402"/>
    <n v="501.29"/>
  </r>
  <r>
    <x v="510"/>
    <x v="8"/>
    <x v="1"/>
    <x v="2"/>
    <n v="4"/>
    <n v="3496"/>
    <n v="1032.81"/>
  </r>
  <r>
    <x v="511"/>
    <x v="6"/>
    <x v="1"/>
    <x v="1"/>
    <n v="4"/>
    <n v="1080"/>
    <n v="204.95"/>
  </r>
  <r>
    <x v="512"/>
    <x v="4"/>
    <x v="1"/>
    <x v="1"/>
    <n v="6"/>
    <n v="1530"/>
    <n v="218.99"/>
  </r>
  <r>
    <x v="513"/>
    <x v="8"/>
    <x v="1"/>
    <x v="3"/>
    <n v="4"/>
    <n v="3568"/>
    <n v="764.2"/>
  </r>
  <r>
    <x v="514"/>
    <x v="7"/>
    <x v="2"/>
    <x v="3"/>
    <n v="1"/>
    <n v="954"/>
    <n v="48.97"/>
  </r>
  <r>
    <x v="515"/>
    <x v="3"/>
    <x v="2"/>
    <x v="3"/>
    <n v="4"/>
    <n v="1196"/>
    <n v="223.66"/>
  </r>
  <r>
    <x v="516"/>
    <x v="5"/>
    <x v="2"/>
    <x v="0"/>
    <n v="4"/>
    <n v="2136"/>
    <n v="217.47"/>
  </r>
  <r>
    <x v="164"/>
    <x v="0"/>
    <x v="0"/>
    <x v="2"/>
    <n v="9"/>
    <n v="8496"/>
    <n v="2316.0300000000002"/>
  </r>
  <r>
    <x v="517"/>
    <x v="9"/>
    <x v="2"/>
    <x v="3"/>
    <n v="7"/>
    <n v="7280"/>
    <n v="1450.82"/>
  </r>
  <r>
    <x v="440"/>
    <x v="5"/>
    <x v="2"/>
    <x v="2"/>
    <n v="5"/>
    <n v="4935"/>
    <n v="625.39"/>
  </r>
  <r>
    <x v="518"/>
    <x v="2"/>
    <x v="2"/>
    <x v="2"/>
    <n v="8"/>
    <n v="9056"/>
    <n v="872.48"/>
  </r>
  <r>
    <x v="519"/>
    <x v="5"/>
    <x v="2"/>
    <x v="2"/>
    <n v="1"/>
    <n v="563"/>
    <n v="46.96"/>
  </r>
  <r>
    <x v="204"/>
    <x v="0"/>
    <x v="0"/>
    <x v="2"/>
    <n v="2"/>
    <n v="1570"/>
    <n v="247.7"/>
  </r>
  <r>
    <x v="520"/>
    <x v="3"/>
    <x v="2"/>
    <x v="0"/>
    <n v="3"/>
    <n v="2181"/>
    <n v="517.02"/>
  </r>
  <r>
    <x v="407"/>
    <x v="1"/>
    <x v="1"/>
    <x v="0"/>
    <n v="4"/>
    <n v="3808"/>
    <n v="442.33"/>
  </r>
  <r>
    <x v="521"/>
    <x v="8"/>
    <x v="1"/>
    <x v="3"/>
    <n v="7"/>
    <n v="6552"/>
    <n v="635.09"/>
  </r>
  <r>
    <x v="522"/>
    <x v="9"/>
    <x v="2"/>
    <x v="2"/>
    <n v="8"/>
    <n v="6544"/>
    <n v="1086.29"/>
  </r>
  <r>
    <x v="523"/>
    <x v="1"/>
    <x v="1"/>
    <x v="3"/>
    <n v="3"/>
    <n v="2631"/>
    <n v="157.19"/>
  </r>
  <r>
    <x v="524"/>
    <x v="6"/>
    <x v="1"/>
    <x v="3"/>
    <n v="9"/>
    <n v="945"/>
    <n v="94.75"/>
  </r>
  <r>
    <x v="525"/>
    <x v="6"/>
    <x v="1"/>
    <x v="3"/>
    <n v="2"/>
    <n v="760"/>
    <n v="192.42"/>
  </r>
  <r>
    <x v="526"/>
    <x v="6"/>
    <x v="1"/>
    <x v="0"/>
    <n v="4"/>
    <n v="1392"/>
    <n v="394.48"/>
  </r>
  <r>
    <x v="527"/>
    <x v="5"/>
    <x v="2"/>
    <x v="1"/>
    <n v="3"/>
    <n v="1242"/>
    <n v="206.74"/>
  </r>
  <r>
    <x v="528"/>
    <x v="9"/>
    <x v="2"/>
    <x v="1"/>
    <n v="3"/>
    <n v="3183"/>
    <n v="868.73"/>
  </r>
  <r>
    <x v="529"/>
    <x v="6"/>
    <x v="1"/>
    <x v="3"/>
    <n v="5"/>
    <n v="4260"/>
    <n v="229.77"/>
  </r>
  <r>
    <x v="530"/>
    <x v="7"/>
    <x v="2"/>
    <x v="3"/>
    <n v="1"/>
    <n v="1041"/>
    <n v="132.46"/>
  </r>
  <r>
    <x v="531"/>
    <x v="5"/>
    <x v="2"/>
    <x v="1"/>
    <n v="3"/>
    <n v="1692"/>
    <n v="348.81"/>
  </r>
  <r>
    <x v="532"/>
    <x v="3"/>
    <x v="2"/>
    <x v="0"/>
    <n v="4"/>
    <n v="1728"/>
    <n v="403.06"/>
  </r>
  <r>
    <x v="533"/>
    <x v="3"/>
    <x v="2"/>
    <x v="2"/>
    <n v="4"/>
    <n v="4484"/>
    <n v="893.27"/>
  </r>
  <r>
    <x v="534"/>
    <x v="7"/>
    <x v="2"/>
    <x v="1"/>
    <n v="7"/>
    <n v="4123"/>
    <n v="750.05"/>
  </r>
  <r>
    <x v="327"/>
    <x v="1"/>
    <x v="1"/>
    <x v="1"/>
    <n v="2"/>
    <n v="2372"/>
    <n v="392.07"/>
  </r>
  <r>
    <x v="498"/>
    <x v="7"/>
    <x v="2"/>
    <x v="1"/>
    <n v="7"/>
    <n v="5201"/>
    <n v="745.2"/>
  </r>
  <r>
    <x v="352"/>
    <x v="1"/>
    <x v="1"/>
    <x v="2"/>
    <n v="5"/>
    <n v="3100"/>
    <n v="695.28"/>
  </r>
  <r>
    <x v="535"/>
    <x v="5"/>
    <x v="2"/>
    <x v="1"/>
    <n v="6"/>
    <n v="5292"/>
    <n v="1105.95"/>
  </r>
  <r>
    <x v="536"/>
    <x v="2"/>
    <x v="2"/>
    <x v="2"/>
    <n v="6"/>
    <n v="5952"/>
    <n v="971.53"/>
  </r>
  <r>
    <x v="537"/>
    <x v="7"/>
    <x v="2"/>
    <x v="1"/>
    <n v="4"/>
    <n v="1932"/>
    <n v="472.91"/>
  </r>
  <r>
    <x v="19"/>
    <x v="2"/>
    <x v="2"/>
    <x v="3"/>
    <n v="6"/>
    <n v="3486"/>
    <n v="1011.74"/>
  </r>
  <r>
    <x v="538"/>
    <x v="2"/>
    <x v="2"/>
    <x v="3"/>
    <n v="2"/>
    <n v="1708"/>
    <n v="441.43"/>
  </r>
  <r>
    <x v="393"/>
    <x v="6"/>
    <x v="1"/>
    <x v="2"/>
    <n v="4"/>
    <n v="4324"/>
    <n v="288.12"/>
  </r>
  <r>
    <x v="539"/>
    <x v="9"/>
    <x v="2"/>
    <x v="2"/>
    <n v="4"/>
    <n v="2708"/>
    <n v="302.14"/>
  </r>
  <r>
    <x v="540"/>
    <x v="0"/>
    <x v="0"/>
    <x v="3"/>
    <n v="8"/>
    <n v="7944"/>
    <n v="1142.83"/>
  </r>
  <r>
    <x v="434"/>
    <x v="3"/>
    <x v="2"/>
    <x v="1"/>
    <n v="3"/>
    <n v="684"/>
    <n v="39.33"/>
  </r>
  <r>
    <x v="313"/>
    <x v="0"/>
    <x v="0"/>
    <x v="3"/>
    <n v="9"/>
    <n v="5904"/>
    <n v="1440.45"/>
  </r>
  <r>
    <x v="541"/>
    <x v="0"/>
    <x v="0"/>
    <x v="2"/>
    <n v="5"/>
    <n v="4970"/>
    <n v="1080.1199999999999"/>
  </r>
  <r>
    <x v="542"/>
    <x v="4"/>
    <x v="1"/>
    <x v="3"/>
    <n v="2"/>
    <n v="2288"/>
    <n v="234.97"/>
  </r>
  <r>
    <x v="21"/>
    <x v="7"/>
    <x v="2"/>
    <x v="1"/>
    <n v="6"/>
    <n v="4662"/>
    <n v="350.79"/>
  </r>
  <r>
    <x v="543"/>
    <x v="1"/>
    <x v="1"/>
    <x v="1"/>
    <n v="4"/>
    <n v="2532"/>
    <n v="404.96"/>
  </r>
  <r>
    <x v="221"/>
    <x v="2"/>
    <x v="2"/>
    <x v="2"/>
    <n v="8"/>
    <n v="9328"/>
    <n v="1008.6"/>
  </r>
  <r>
    <x v="272"/>
    <x v="0"/>
    <x v="0"/>
    <x v="0"/>
    <n v="1"/>
    <n v="686"/>
    <n v="86.18"/>
  </r>
  <r>
    <x v="544"/>
    <x v="5"/>
    <x v="2"/>
    <x v="2"/>
    <n v="6"/>
    <n v="1290"/>
    <n v="343.35"/>
  </r>
  <r>
    <x v="356"/>
    <x v="0"/>
    <x v="0"/>
    <x v="3"/>
    <n v="5"/>
    <n v="1205"/>
    <n v="235.19"/>
  </r>
  <r>
    <x v="545"/>
    <x v="4"/>
    <x v="1"/>
    <x v="2"/>
    <n v="7"/>
    <n v="7966"/>
    <n v="1313.56"/>
  </r>
  <r>
    <x v="201"/>
    <x v="3"/>
    <x v="2"/>
    <x v="0"/>
    <n v="7"/>
    <n v="1085"/>
    <n v="130.72"/>
  </r>
  <r>
    <x v="248"/>
    <x v="6"/>
    <x v="1"/>
    <x v="3"/>
    <n v="9"/>
    <n v="6633"/>
    <n v="1239.1099999999999"/>
  </r>
  <r>
    <x v="546"/>
    <x v="9"/>
    <x v="2"/>
    <x v="0"/>
    <n v="7"/>
    <n v="5096"/>
    <n v="971.5"/>
  </r>
  <r>
    <x v="547"/>
    <x v="2"/>
    <x v="2"/>
    <x v="1"/>
    <n v="4"/>
    <n v="4120"/>
    <n v="710.07"/>
  </r>
  <r>
    <x v="548"/>
    <x v="6"/>
    <x v="1"/>
    <x v="3"/>
    <n v="3"/>
    <n v="1479"/>
    <n v="207.58"/>
  </r>
  <r>
    <x v="549"/>
    <x v="7"/>
    <x v="2"/>
    <x v="3"/>
    <n v="7"/>
    <n v="1652"/>
    <n v="397.49"/>
  </r>
  <r>
    <x v="331"/>
    <x v="9"/>
    <x v="2"/>
    <x v="2"/>
    <n v="1"/>
    <n v="1028"/>
    <n v="240.61"/>
  </r>
  <r>
    <x v="550"/>
    <x v="6"/>
    <x v="1"/>
    <x v="1"/>
    <n v="4"/>
    <n v="4580"/>
    <n v="655.14"/>
  </r>
  <r>
    <x v="551"/>
    <x v="6"/>
    <x v="1"/>
    <x v="2"/>
    <n v="8"/>
    <n v="2152"/>
    <n v="196.53"/>
  </r>
  <r>
    <x v="509"/>
    <x v="6"/>
    <x v="1"/>
    <x v="2"/>
    <n v="6"/>
    <n v="4566"/>
    <n v="866.13"/>
  </r>
  <r>
    <x v="552"/>
    <x v="4"/>
    <x v="1"/>
    <x v="1"/>
    <n v="3"/>
    <n v="2244"/>
    <n v="301.52999999999997"/>
  </r>
  <r>
    <x v="69"/>
    <x v="1"/>
    <x v="1"/>
    <x v="3"/>
    <n v="4"/>
    <n v="1344"/>
    <n v="140.52000000000001"/>
  </r>
  <r>
    <x v="487"/>
    <x v="0"/>
    <x v="0"/>
    <x v="2"/>
    <n v="6"/>
    <n v="2622"/>
    <n v="131.53"/>
  </r>
  <r>
    <x v="553"/>
    <x v="7"/>
    <x v="2"/>
    <x v="2"/>
    <n v="1"/>
    <n v="325"/>
    <n v="46.84"/>
  </r>
  <r>
    <x v="61"/>
    <x v="8"/>
    <x v="1"/>
    <x v="3"/>
    <n v="1"/>
    <n v="960"/>
    <n v="95.88"/>
  </r>
  <r>
    <x v="554"/>
    <x v="7"/>
    <x v="2"/>
    <x v="0"/>
    <n v="7"/>
    <n v="2639"/>
    <n v="268.88"/>
  </r>
  <r>
    <x v="230"/>
    <x v="0"/>
    <x v="0"/>
    <x v="2"/>
    <n v="5"/>
    <n v="1025"/>
    <n v="246.15"/>
  </r>
  <r>
    <x v="555"/>
    <x v="6"/>
    <x v="1"/>
    <x v="3"/>
    <n v="2"/>
    <n v="1924"/>
    <n v="434.86"/>
  </r>
  <r>
    <x v="556"/>
    <x v="7"/>
    <x v="2"/>
    <x v="0"/>
    <n v="2"/>
    <n v="1660"/>
    <n v="362.88"/>
  </r>
  <r>
    <x v="369"/>
    <x v="0"/>
    <x v="0"/>
    <x v="0"/>
    <n v="1"/>
    <n v="985"/>
    <n v="105.09"/>
  </r>
  <r>
    <x v="340"/>
    <x v="8"/>
    <x v="1"/>
    <x v="0"/>
    <n v="5"/>
    <n v="2600"/>
    <n v="537.11"/>
  </r>
  <r>
    <x v="257"/>
    <x v="3"/>
    <x v="2"/>
    <x v="3"/>
    <n v="4"/>
    <n v="2792"/>
    <n v="725.35"/>
  </r>
  <r>
    <x v="557"/>
    <x v="4"/>
    <x v="1"/>
    <x v="0"/>
    <n v="2"/>
    <n v="378"/>
    <n v="87.37"/>
  </r>
  <r>
    <x v="118"/>
    <x v="3"/>
    <x v="2"/>
    <x v="3"/>
    <n v="8"/>
    <n v="968"/>
    <n v="271.61"/>
  </r>
  <r>
    <x v="446"/>
    <x v="5"/>
    <x v="2"/>
    <x v="0"/>
    <n v="3"/>
    <n v="564"/>
    <n v="108.35"/>
  </r>
  <r>
    <x v="297"/>
    <x v="9"/>
    <x v="2"/>
    <x v="2"/>
    <n v="5"/>
    <n v="2365"/>
    <n v="667.61"/>
  </r>
  <r>
    <x v="330"/>
    <x v="7"/>
    <x v="2"/>
    <x v="3"/>
    <n v="6"/>
    <n v="3252"/>
    <n v="834.84"/>
  </r>
  <r>
    <x v="387"/>
    <x v="3"/>
    <x v="2"/>
    <x v="0"/>
    <n v="1"/>
    <n v="276"/>
    <n v="42.68"/>
  </r>
  <r>
    <x v="229"/>
    <x v="1"/>
    <x v="1"/>
    <x v="3"/>
    <n v="3"/>
    <n v="3408"/>
    <n v="205.76"/>
  </r>
  <r>
    <x v="199"/>
    <x v="9"/>
    <x v="2"/>
    <x v="1"/>
    <n v="6"/>
    <n v="1398"/>
    <n v="180.88"/>
  </r>
  <r>
    <x v="558"/>
    <x v="8"/>
    <x v="1"/>
    <x v="0"/>
    <n v="4"/>
    <n v="904"/>
    <n v="108.85"/>
  </r>
  <r>
    <x v="5"/>
    <x v="8"/>
    <x v="1"/>
    <x v="2"/>
    <n v="1"/>
    <n v="1178"/>
    <n v="161.06"/>
  </r>
  <r>
    <x v="559"/>
    <x v="4"/>
    <x v="1"/>
    <x v="3"/>
    <n v="3"/>
    <n v="2535"/>
    <n v="292.19"/>
  </r>
  <r>
    <x v="560"/>
    <x v="2"/>
    <x v="2"/>
    <x v="3"/>
    <n v="1"/>
    <n v="496"/>
    <n v="146.91999999999999"/>
  </r>
  <r>
    <x v="561"/>
    <x v="7"/>
    <x v="2"/>
    <x v="3"/>
    <n v="4"/>
    <n v="3888"/>
    <n v="284.17"/>
  </r>
  <r>
    <x v="416"/>
    <x v="2"/>
    <x v="2"/>
    <x v="1"/>
    <n v="7"/>
    <n v="4921"/>
    <n v="798.16"/>
  </r>
  <r>
    <x v="562"/>
    <x v="5"/>
    <x v="2"/>
    <x v="3"/>
    <n v="8"/>
    <n v="4472"/>
    <n v="290.79000000000002"/>
  </r>
  <r>
    <x v="32"/>
    <x v="2"/>
    <x v="2"/>
    <x v="0"/>
    <n v="3"/>
    <n v="603"/>
    <n v="153.37"/>
  </r>
  <r>
    <x v="563"/>
    <x v="4"/>
    <x v="1"/>
    <x v="3"/>
    <n v="9"/>
    <n v="1899"/>
    <n v="501.4"/>
  </r>
  <r>
    <x v="564"/>
    <x v="0"/>
    <x v="0"/>
    <x v="0"/>
    <n v="4"/>
    <n v="544"/>
    <n v="67.84"/>
  </r>
  <r>
    <x v="282"/>
    <x v="6"/>
    <x v="1"/>
    <x v="0"/>
    <n v="9"/>
    <n v="6471"/>
    <n v="1844.59"/>
  </r>
  <r>
    <x v="565"/>
    <x v="8"/>
    <x v="1"/>
    <x v="0"/>
    <n v="1"/>
    <n v="677"/>
    <n v="54.14"/>
  </r>
  <r>
    <x v="566"/>
    <x v="9"/>
    <x v="2"/>
    <x v="2"/>
    <n v="4"/>
    <n v="1372"/>
    <n v="302.58"/>
  </r>
  <r>
    <x v="567"/>
    <x v="8"/>
    <x v="1"/>
    <x v="0"/>
    <n v="9"/>
    <n v="7542"/>
    <n v="1477.49"/>
  </r>
  <r>
    <x v="498"/>
    <x v="6"/>
    <x v="1"/>
    <x v="3"/>
    <n v="1"/>
    <n v="924"/>
    <n v="125.65"/>
  </r>
  <r>
    <x v="568"/>
    <x v="7"/>
    <x v="2"/>
    <x v="1"/>
    <n v="5"/>
    <n v="3940"/>
    <n v="755.11"/>
  </r>
  <r>
    <x v="220"/>
    <x v="2"/>
    <x v="2"/>
    <x v="3"/>
    <n v="2"/>
    <n v="374"/>
    <n v="49.26"/>
  </r>
  <r>
    <x v="569"/>
    <x v="0"/>
    <x v="0"/>
    <x v="0"/>
    <n v="5"/>
    <n v="1800"/>
    <n v="252.69"/>
  </r>
  <r>
    <x v="570"/>
    <x v="6"/>
    <x v="1"/>
    <x v="3"/>
    <n v="5"/>
    <n v="3170"/>
    <n v="868.34"/>
  </r>
  <r>
    <x v="571"/>
    <x v="4"/>
    <x v="1"/>
    <x v="0"/>
    <n v="7"/>
    <n v="5362"/>
    <n v="1029.47"/>
  </r>
  <r>
    <x v="572"/>
    <x v="6"/>
    <x v="1"/>
    <x v="1"/>
    <n v="9"/>
    <n v="5976"/>
    <n v="1747.57"/>
  </r>
  <r>
    <x v="573"/>
    <x v="8"/>
    <x v="1"/>
    <x v="0"/>
    <n v="9"/>
    <n v="8514"/>
    <n v="1400.4"/>
  </r>
  <r>
    <x v="574"/>
    <x v="9"/>
    <x v="2"/>
    <x v="2"/>
    <n v="1"/>
    <n v="810"/>
    <n v="157.47"/>
  </r>
  <r>
    <x v="449"/>
    <x v="1"/>
    <x v="1"/>
    <x v="2"/>
    <n v="1"/>
    <n v="71"/>
    <n v="12.02"/>
  </r>
  <r>
    <x v="575"/>
    <x v="9"/>
    <x v="2"/>
    <x v="0"/>
    <n v="1"/>
    <n v="651"/>
    <n v="57.94"/>
  </r>
  <r>
    <x v="576"/>
    <x v="6"/>
    <x v="1"/>
    <x v="0"/>
    <n v="3"/>
    <n v="1245"/>
    <n v="119.11"/>
  </r>
  <r>
    <x v="577"/>
    <x v="6"/>
    <x v="1"/>
    <x v="3"/>
    <n v="1"/>
    <n v="464"/>
    <n v="58.38"/>
  </r>
  <r>
    <x v="17"/>
    <x v="6"/>
    <x v="1"/>
    <x v="0"/>
    <n v="5"/>
    <n v="5155"/>
    <n v="356.43"/>
  </r>
  <r>
    <x v="25"/>
    <x v="7"/>
    <x v="2"/>
    <x v="1"/>
    <n v="5"/>
    <n v="5175"/>
    <n v="786.27"/>
  </r>
  <r>
    <x v="555"/>
    <x v="7"/>
    <x v="2"/>
    <x v="1"/>
    <n v="2"/>
    <n v="1668"/>
    <n v="470.42"/>
  </r>
  <r>
    <x v="58"/>
    <x v="0"/>
    <x v="0"/>
    <x v="1"/>
    <n v="3"/>
    <n v="1872"/>
    <n v="532.80999999999995"/>
  </r>
  <r>
    <x v="283"/>
    <x v="9"/>
    <x v="2"/>
    <x v="0"/>
    <n v="3"/>
    <n v="513"/>
    <n v="132.56"/>
  </r>
  <r>
    <x v="75"/>
    <x v="0"/>
    <x v="0"/>
    <x v="3"/>
    <n v="2"/>
    <n v="2276"/>
    <n v="366.5"/>
  </r>
  <r>
    <x v="240"/>
    <x v="1"/>
    <x v="1"/>
    <x v="3"/>
    <n v="4"/>
    <n v="3428"/>
    <n v="305.79000000000002"/>
  </r>
  <r>
    <x v="578"/>
    <x v="8"/>
    <x v="1"/>
    <x v="1"/>
    <n v="2"/>
    <n v="1640"/>
    <n v="176.87"/>
  </r>
  <r>
    <x v="538"/>
    <x v="3"/>
    <x v="2"/>
    <x v="1"/>
    <n v="7"/>
    <n v="7077"/>
    <n v="1921.73"/>
  </r>
  <r>
    <x v="85"/>
    <x v="0"/>
    <x v="0"/>
    <x v="2"/>
    <n v="9"/>
    <n v="9225"/>
    <n v="1391.15"/>
  </r>
  <r>
    <x v="451"/>
    <x v="1"/>
    <x v="1"/>
    <x v="2"/>
    <n v="5"/>
    <n v="3910"/>
    <n v="584.77"/>
  </r>
  <r>
    <x v="175"/>
    <x v="0"/>
    <x v="0"/>
    <x v="3"/>
    <n v="5"/>
    <n v="1995"/>
    <n v="369.22"/>
  </r>
  <r>
    <x v="579"/>
    <x v="8"/>
    <x v="1"/>
    <x v="0"/>
    <n v="7"/>
    <n v="385"/>
    <n v="43.43"/>
  </r>
  <r>
    <x v="580"/>
    <x v="1"/>
    <x v="1"/>
    <x v="1"/>
    <n v="4"/>
    <n v="4316"/>
    <n v="566.70000000000005"/>
  </r>
  <r>
    <x v="74"/>
    <x v="5"/>
    <x v="2"/>
    <x v="0"/>
    <n v="1"/>
    <n v="1169"/>
    <n v="340.69"/>
  </r>
  <r>
    <x v="367"/>
    <x v="4"/>
    <x v="1"/>
    <x v="1"/>
    <n v="5"/>
    <n v="2325"/>
    <n v="506.32"/>
  </r>
  <r>
    <x v="226"/>
    <x v="6"/>
    <x v="1"/>
    <x v="0"/>
    <n v="1"/>
    <n v="199"/>
    <n v="48.92"/>
  </r>
  <r>
    <x v="581"/>
    <x v="5"/>
    <x v="2"/>
    <x v="2"/>
    <n v="3"/>
    <n v="375"/>
    <n v="80.58"/>
  </r>
  <r>
    <x v="582"/>
    <x v="9"/>
    <x v="2"/>
    <x v="1"/>
    <n v="9"/>
    <n v="8010"/>
    <n v="763.32"/>
  </r>
  <r>
    <x v="564"/>
    <x v="1"/>
    <x v="1"/>
    <x v="1"/>
    <n v="4"/>
    <n v="316"/>
    <n v="77.13"/>
  </r>
  <r>
    <x v="583"/>
    <x v="3"/>
    <x v="2"/>
    <x v="2"/>
    <n v="9"/>
    <n v="5895"/>
    <n v="442.49"/>
  </r>
  <r>
    <x v="584"/>
    <x v="4"/>
    <x v="1"/>
    <x v="1"/>
    <n v="4"/>
    <n v="388"/>
    <n v="35.21"/>
  </r>
  <r>
    <x v="585"/>
    <x v="1"/>
    <x v="1"/>
    <x v="3"/>
    <n v="5"/>
    <n v="3670"/>
    <n v="462.97"/>
  </r>
  <r>
    <x v="478"/>
    <x v="7"/>
    <x v="2"/>
    <x v="1"/>
    <n v="9"/>
    <n v="7731"/>
    <n v="2178.0500000000002"/>
  </r>
  <r>
    <x v="586"/>
    <x v="9"/>
    <x v="2"/>
    <x v="2"/>
    <n v="3"/>
    <n v="1596"/>
    <n v="91.23"/>
  </r>
  <r>
    <x v="552"/>
    <x v="3"/>
    <x v="2"/>
    <x v="1"/>
    <n v="4"/>
    <n v="4192"/>
    <n v="216.16"/>
  </r>
  <r>
    <x v="587"/>
    <x v="2"/>
    <x v="2"/>
    <x v="3"/>
    <n v="7"/>
    <n v="5264"/>
    <n v="756.33"/>
  </r>
  <r>
    <x v="388"/>
    <x v="9"/>
    <x v="2"/>
    <x v="0"/>
    <n v="1"/>
    <n v="425"/>
    <n v="48.81"/>
  </r>
  <r>
    <x v="81"/>
    <x v="5"/>
    <x v="2"/>
    <x v="0"/>
    <n v="4"/>
    <n v="3380"/>
    <n v="211.72"/>
  </r>
  <r>
    <x v="588"/>
    <x v="0"/>
    <x v="0"/>
    <x v="1"/>
    <n v="7"/>
    <n v="8379"/>
    <n v="2009.05"/>
  </r>
  <r>
    <x v="408"/>
    <x v="8"/>
    <x v="1"/>
    <x v="0"/>
    <n v="4"/>
    <n v="2040"/>
    <n v="393.72"/>
  </r>
  <r>
    <x v="57"/>
    <x v="0"/>
    <x v="0"/>
    <x v="1"/>
    <n v="4"/>
    <n v="1336"/>
    <n v="116.65"/>
  </r>
  <r>
    <x v="589"/>
    <x v="8"/>
    <x v="1"/>
    <x v="2"/>
    <n v="2"/>
    <n v="1934"/>
    <n v="157.41"/>
  </r>
  <r>
    <x v="549"/>
    <x v="8"/>
    <x v="1"/>
    <x v="2"/>
    <n v="3"/>
    <n v="1560"/>
    <n v="391.11"/>
  </r>
  <r>
    <x v="241"/>
    <x v="8"/>
    <x v="1"/>
    <x v="0"/>
    <n v="6"/>
    <n v="4446"/>
    <n v="1217.8599999999999"/>
  </r>
  <r>
    <x v="278"/>
    <x v="0"/>
    <x v="0"/>
    <x v="3"/>
    <n v="3"/>
    <n v="1893"/>
    <n v="508.8"/>
  </r>
  <r>
    <x v="562"/>
    <x v="3"/>
    <x v="2"/>
    <x v="1"/>
    <n v="4"/>
    <n v="4492"/>
    <n v="670.42"/>
  </r>
  <r>
    <x v="212"/>
    <x v="1"/>
    <x v="1"/>
    <x v="2"/>
    <n v="6"/>
    <n v="6228"/>
    <n v="1852.45"/>
  </r>
  <r>
    <x v="590"/>
    <x v="3"/>
    <x v="2"/>
    <x v="1"/>
    <n v="7"/>
    <n v="4403"/>
    <n v="1295.8900000000001"/>
  </r>
  <r>
    <x v="591"/>
    <x v="4"/>
    <x v="1"/>
    <x v="2"/>
    <n v="9"/>
    <n v="4176"/>
    <n v="510.97"/>
  </r>
  <r>
    <x v="82"/>
    <x v="8"/>
    <x v="1"/>
    <x v="3"/>
    <n v="2"/>
    <n v="486"/>
    <n v="64.430000000000007"/>
  </r>
  <r>
    <x v="255"/>
    <x v="0"/>
    <x v="0"/>
    <x v="1"/>
    <n v="5"/>
    <n v="4880"/>
    <n v="1084.69"/>
  </r>
  <r>
    <x v="592"/>
    <x v="0"/>
    <x v="0"/>
    <x v="3"/>
    <n v="5"/>
    <n v="265"/>
    <n v="53.21"/>
  </r>
  <r>
    <x v="593"/>
    <x v="9"/>
    <x v="2"/>
    <x v="1"/>
    <n v="1"/>
    <n v="1041"/>
    <n v="128.58000000000001"/>
  </r>
  <r>
    <x v="594"/>
    <x v="7"/>
    <x v="2"/>
    <x v="1"/>
    <n v="8"/>
    <n v="9448"/>
    <n v="616.5"/>
  </r>
  <r>
    <x v="595"/>
    <x v="4"/>
    <x v="1"/>
    <x v="2"/>
    <n v="3"/>
    <n v="1617"/>
    <n v="440.46"/>
  </r>
  <r>
    <x v="298"/>
    <x v="9"/>
    <x v="2"/>
    <x v="3"/>
    <n v="2"/>
    <n v="1486"/>
    <n v="233.7"/>
  </r>
  <r>
    <x v="596"/>
    <x v="5"/>
    <x v="2"/>
    <x v="1"/>
    <n v="8"/>
    <n v="7152"/>
    <n v="1539.72"/>
  </r>
  <r>
    <x v="597"/>
    <x v="1"/>
    <x v="1"/>
    <x v="1"/>
    <n v="6"/>
    <n v="1404"/>
    <n v="368.36"/>
  </r>
  <r>
    <x v="138"/>
    <x v="3"/>
    <x v="2"/>
    <x v="2"/>
    <n v="2"/>
    <n v="122"/>
    <n v="16.23"/>
  </r>
  <r>
    <x v="598"/>
    <x v="3"/>
    <x v="2"/>
    <x v="0"/>
    <n v="9"/>
    <n v="7533"/>
    <n v="1285.72"/>
  </r>
  <r>
    <x v="476"/>
    <x v="4"/>
    <x v="1"/>
    <x v="2"/>
    <n v="4"/>
    <n v="3888"/>
    <n v="810.08"/>
  </r>
  <r>
    <x v="528"/>
    <x v="7"/>
    <x v="2"/>
    <x v="2"/>
    <n v="5"/>
    <n v="870"/>
    <n v="48.87"/>
  </r>
  <r>
    <x v="380"/>
    <x v="1"/>
    <x v="1"/>
    <x v="2"/>
    <n v="2"/>
    <n v="1446"/>
    <n v="403.89"/>
  </r>
  <r>
    <x v="599"/>
    <x v="2"/>
    <x v="2"/>
    <x v="2"/>
    <n v="6"/>
    <n v="510"/>
    <n v="151.91"/>
  </r>
  <r>
    <x v="600"/>
    <x v="8"/>
    <x v="1"/>
    <x v="3"/>
    <n v="8"/>
    <n v="6224"/>
    <n v="790.27"/>
  </r>
  <r>
    <x v="526"/>
    <x v="8"/>
    <x v="1"/>
    <x v="0"/>
    <n v="2"/>
    <n v="686"/>
    <n v="85.03"/>
  </r>
  <r>
    <x v="25"/>
    <x v="1"/>
    <x v="1"/>
    <x v="3"/>
    <n v="4"/>
    <n v="2840"/>
    <n v="591.94000000000005"/>
  </r>
  <r>
    <x v="477"/>
    <x v="9"/>
    <x v="2"/>
    <x v="2"/>
    <n v="7"/>
    <n v="2562"/>
    <n v="347.62"/>
  </r>
  <r>
    <x v="28"/>
    <x v="7"/>
    <x v="2"/>
    <x v="3"/>
    <n v="5"/>
    <n v="790"/>
    <n v="216.12"/>
  </r>
  <r>
    <x v="24"/>
    <x v="9"/>
    <x v="2"/>
    <x v="1"/>
    <n v="5"/>
    <n v="4170"/>
    <n v="786.42"/>
  </r>
  <r>
    <x v="601"/>
    <x v="2"/>
    <x v="2"/>
    <x v="1"/>
    <n v="4"/>
    <n v="1360"/>
    <n v="373.59"/>
  </r>
  <r>
    <x v="576"/>
    <x v="3"/>
    <x v="2"/>
    <x v="1"/>
    <n v="6"/>
    <n v="5316"/>
    <n v="782.42"/>
  </r>
  <r>
    <x v="50"/>
    <x v="9"/>
    <x v="2"/>
    <x v="3"/>
    <n v="4"/>
    <n v="3956"/>
    <n v="293.38"/>
  </r>
  <r>
    <x v="255"/>
    <x v="6"/>
    <x v="1"/>
    <x v="0"/>
    <n v="3"/>
    <n v="726"/>
    <n v="94.38"/>
  </r>
  <r>
    <x v="218"/>
    <x v="7"/>
    <x v="2"/>
    <x v="0"/>
    <n v="4"/>
    <n v="228"/>
    <n v="29.37"/>
  </r>
  <r>
    <x v="462"/>
    <x v="4"/>
    <x v="1"/>
    <x v="0"/>
    <n v="3"/>
    <n v="2274"/>
    <n v="442.57"/>
  </r>
  <r>
    <x v="602"/>
    <x v="8"/>
    <x v="1"/>
    <x v="0"/>
    <n v="9"/>
    <n v="2628"/>
    <n v="459.87"/>
  </r>
  <r>
    <x v="603"/>
    <x v="3"/>
    <x v="2"/>
    <x v="2"/>
    <n v="6"/>
    <n v="606"/>
    <n v="104.85"/>
  </r>
  <r>
    <x v="131"/>
    <x v="4"/>
    <x v="1"/>
    <x v="1"/>
    <n v="8"/>
    <n v="7256"/>
    <n v="558.79"/>
  </r>
  <r>
    <x v="604"/>
    <x v="3"/>
    <x v="2"/>
    <x v="3"/>
    <n v="4"/>
    <n v="1956"/>
    <n v="125.69"/>
  </r>
  <r>
    <x v="295"/>
    <x v="0"/>
    <x v="0"/>
    <x v="2"/>
    <n v="6"/>
    <n v="3954"/>
    <n v="690.1"/>
  </r>
  <r>
    <x v="351"/>
    <x v="8"/>
    <x v="1"/>
    <x v="1"/>
    <n v="6"/>
    <n v="2262"/>
    <n v="442.86"/>
  </r>
  <r>
    <x v="483"/>
    <x v="0"/>
    <x v="0"/>
    <x v="0"/>
    <n v="4"/>
    <n v="2804"/>
    <n v="391.59"/>
  </r>
  <r>
    <x v="605"/>
    <x v="2"/>
    <x v="2"/>
    <x v="2"/>
    <n v="9"/>
    <n v="5850"/>
    <n v="1511.06"/>
  </r>
  <r>
    <x v="606"/>
    <x v="8"/>
    <x v="1"/>
    <x v="3"/>
    <n v="1"/>
    <n v="56"/>
    <n v="9.16"/>
  </r>
  <r>
    <x v="607"/>
    <x v="6"/>
    <x v="1"/>
    <x v="1"/>
    <n v="9"/>
    <n v="4302"/>
    <n v="344.64"/>
  </r>
  <r>
    <x v="146"/>
    <x v="3"/>
    <x v="2"/>
    <x v="3"/>
    <n v="9"/>
    <n v="10143"/>
    <n v="1690.66"/>
  </r>
  <r>
    <x v="332"/>
    <x v="4"/>
    <x v="1"/>
    <x v="0"/>
    <n v="1"/>
    <n v="1012"/>
    <n v="164.89"/>
  </r>
  <r>
    <x v="608"/>
    <x v="2"/>
    <x v="2"/>
    <x v="1"/>
    <n v="9"/>
    <n v="8964"/>
    <n v="448.62"/>
  </r>
  <r>
    <x v="87"/>
    <x v="1"/>
    <x v="1"/>
    <x v="2"/>
    <n v="6"/>
    <n v="1758"/>
    <n v="262.36"/>
  </r>
  <r>
    <x v="305"/>
    <x v="0"/>
    <x v="0"/>
    <x v="0"/>
    <n v="6"/>
    <n v="6348"/>
    <n v="557.72"/>
  </r>
  <r>
    <x v="609"/>
    <x v="0"/>
    <x v="0"/>
    <x v="0"/>
    <n v="2"/>
    <n v="1582"/>
    <n v="422.46"/>
  </r>
  <r>
    <x v="97"/>
    <x v="1"/>
    <x v="1"/>
    <x v="2"/>
    <n v="2"/>
    <n v="1924"/>
    <n v="394.4"/>
  </r>
  <r>
    <x v="610"/>
    <x v="8"/>
    <x v="1"/>
    <x v="0"/>
    <n v="1"/>
    <n v="120"/>
    <n v="23.86"/>
  </r>
  <r>
    <x v="611"/>
    <x v="4"/>
    <x v="1"/>
    <x v="1"/>
    <n v="8"/>
    <n v="7752"/>
    <n v="1943.84"/>
  </r>
  <r>
    <x v="442"/>
    <x v="3"/>
    <x v="2"/>
    <x v="1"/>
    <n v="2"/>
    <n v="1114"/>
    <n v="300.44"/>
  </r>
  <r>
    <x v="271"/>
    <x v="8"/>
    <x v="1"/>
    <x v="0"/>
    <n v="5"/>
    <n v="1765"/>
    <n v="229.06"/>
  </r>
  <r>
    <x v="612"/>
    <x v="8"/>
    <x v="1"/>
    <x v="3"/>
    <n v="6"/>
    <n v="6834"/>
    <n v="1418.21"/>
  </r>
  <r>
    <x v="415"/>
    <x v="7"/>
    <x v="2"/>
    <x v="1"/>
    <n v="5"/>
    <n v="1520"/>
    <n v="433.53"/>
  </r>
  <r>
    <x v="613"/>
    <x v="5"/>
    <x v="2"/>
    <x v="3"/>
    <n v="7"/>
    <n v="8141"/>
    <n v="767.6"/>
  </r>
  <r>
    <x v="614"/>
    <x v="2"/>
    <x v="2"/>
    <x v="2"/>
    <n v="8"/>
    <n v="5176"/>
    <n v="866.36"/>
  </r>
  <r>
    <x v="239"/>
    <x v="1"/>
    <x v="1"/>
    <x v="1"/>
    <n v="9"/>
    <n v="738"/>
    <n v="64.42"/>
  </r>
  <r>
    <x v="607"/>
    <x v="0"/>
    <x v="0"/>
    <x v="2"/>
    <n v="9"/>
    <n v="4086"/>
    <n v="217.48"/>
  </r>
  <r>
    <x v="615"/>
    <x v="1"/>
    <x v="1"/>
    <x v="1"/>
    <n v="2"/>
    <n v="442"/>
    <n v="28.13"/>
  </r>
  <r>
    <x v="616"/>
    <x v="7"/>
    <x v="2"/>
    <x v="1"/>
    <n v="6"/>
    <n v="2478"/>
    <n v="153.86000000000001"/>
  </r>
  <r>
    <x v="234"/>
    <x v="8"/>
    <x v="1"/>
    <x v="2"/>
    <n v="2"/>
    <n v="1860"/>
    <n v="327.14999999999998"/>
  </r>
  <r>
    <x v="82"/>
    <x v="6"/>
    <x v="1"/>
    <x v="1"/>
    <n v="9"/>
    <n v="4968"/>
    <n v="991.82"/>
  </r>
  <r>
    <x v="617"/>
    <x v="0"/>
    <x v="0"/>
    <x v="2"/>
    <n v="3"/>
    <n v="1446"/>
    <n v="278.94"/>
  </r>
  <r>
    <x v="526"/>
    <x v="1"/>
    <x v="1"/>
    <x v="1"/>
    <n v="7"/>
    <n v="1722"/>
    <n v="414.87"/>
  </r>
  <r>
    <x v="164"/>
    <x v="5"/>
    <x v="2"/>
    <x v="1"/>
    <n v="7"/>
    <n v="6573"/>
    <n v="460.28"/>
  </r>
  <r>
    <x v="207"/>
    <x v="4"/>
    <x v="1"/>
    <x v="1"/>
    <n v="3"/>
    <n v="2481"/>
    <n v="249.52"/>
  </r>
  <r>
    <x v="618"/>
    <x v="6"/>
    <x v="1"/>
    <x v="3"/>
    <n v="6"/>
    <n v="3828"/>
    <n v="1102.8599999999999"/>
  </r>
  <r>
    <x v="500"/>
    <x v="2"/>
    <x v="2"/>
    <x v="1"/>
    <n v="7"/>
    <n v="1197"/>
    <n v="103.34"/>
  </r>
  <r>
    <x v="231"/>
    <x v="2"/>
    <x v="2"/>
    <x v="3"/>
    <n v="7"/>
    <n v="7623"/>
    <n v="1459.84"/>
  </r>
  <r>
    <x v="201"/>
    <x v="1"/>
    <x v="1"/>
    <x v="0"/>
    <n v="9"/>
    <n v="3384"/>
    <n v="252.11"/>
  </r>
  <r>
    <x v="105"/>
    <x v="6"/>
    <x v="1"/>
    <x v="2"/>
    <n v="8"/>
    <n v="1296"/>
    <n v="273.97000000000003"/>
  </r>
  <r>
    <x v="619"/>
    <x v="2"/>
    <x v="2"/>
    <x v="3"/>
    <n v="8"/>
    <n v="2840"/>
    <n v="262.62"/>
  </r>
  <r>
    <x v="589"/>
    <x v="3"/>
    <x v="2"/>
    <x v="1"/>
    <n v="7"/>
    <n v="1540"/>
    <n v="342.93"/>
  </r>
  <r>
    <x v="620"/>
    <x v="3"/>
    <x v="2"/>
    <x v="3"/>
    <n v="2"/>
    <n v="1414"/>
    <n v="308.39"/>
  </r>
  <r>
    <x v="621"/>
    <x v="3"/>
    <x v="2"/>
    <x v="3"/>
    <n v="8"/>
    <n v="8328"/>
    <n v="466.38"/>
  </r>
  <r>
    <x v="556"/>
    <x v="3"/>
    <x v="2"/>
    <x v="0"/>
    <n v="2"/>
    <n v="744"/>
    <n v="217.21"/>
  </r>
  <r>
    <x v="622"/>
    <x v="1"/>
    <x v="1"/>
    <x v="2"/>
    <n v="9"/>
    <n v="1773"/>
    <n v="168.01"/>
  </r>
  <r>
    <x v="138"/>
    <x v="7"/>
    <x v="2"/>
    <x v="1"/>
    <n v="7"/>
    <n v="6034"/>
    <n v="1018.37"/>
  </r>
  <r>
    <x v="623"/>
    <x v="7"/>
    <x v="2"/>
    <x v="2"/>
    <n v="9"/>
    <n v="756"/>
    <n v="99.21"/>
  </r>
  <r>
    <x v="624"/>
    <x v="6"/>
    <x v="1"/>
    <x v="1"/>
    <n v="8"/>
    <n v="2256"/>
    <n v="468.52"/>
  </r>
  <r>
    <x v="554"/>
    <x v="6"/>
    <x v="1"/>
    <x v="0"/>
    <n v="7"/>
    <n v="875"/>
    <n v="203.63"/>
  </r>
  <r>
    <x v="48"/>
    <x v="4"/>
    <x v="1"/>
    <x v="2"/>
    <n v="4"/>
    <n v="1208"/>
    <n v="115.13"/>
  </r>
  <r>
    <x v="625"/>
    <x v="4"/>
    <x v="1"/>
    <x v="2"/>
    <n v="2"/>
    <n v="352"/>
    <n v="54.19"/>
  </r>
  <r>
    <x v="626"/>
    <x v="0"/>
    <x v="0"/>
    <x v="3"/>
    <n v="6"/>
    <n v="4266"/>
    <n v="357.51"/>
  </r>
  <r>
    <x v="627"/>
    <x v="2"/>
    <x v="2"/>
    <x v="0"/>
    <n v="7"/>
    <n v="1841"/>
    <n v="496.89"/>
  </r>
  <r>
    <x v="624"/>
    <x v="3"/>
    <x v="2"/>
    <x v="1"/>
    <n v="1"/>
    <n v="712"/>
    <n v="89.5"/>
  </r>
  <r>
    <x v="628"/>
    <x v="0"/>
    <x v="0"/>
    <x v="3"/>
    <n v="2"/>
    <n v="724"/>
    <n v="72.19"/>
  </r>
  <r>
    <x v="629"/>
    <x v="7"/>
    <x v="2"/>
    <x v="3"/>
    <n v="8"/>
    <n v="5832"/>
    <n v="662.72"/>
  </r>
  <r>
    <x v="427"/>
    <x v="8"/>
    <x v="1"/>
    <x v="2"/>
    <n v="6"/>
    <n v="4188"/>
    <n v="989.14"/>
  </r>
  <r>
    <x v="630"/>
    <x v="2"/>
    <x v="2"/>
    <x v="3"/>
    <n v="1"/>
    <n v="392"/>
    <n v="50.7"/>
  </r>
  <r>
    <x v="92"/>
    <x v="9"/>
    <x v="2"/>
    <x v="1"/>
    <n v="9"/>
    <n v="963"/>
    <n v="49.71"/>
  </r>
  <r>
    <x v="631"/>
    <x v="3"/>
    <x v="2"/>
    <x v="3"/>
    <n v="6"/>
    <n v="5706"/>
    <n v="319.45999999999998"/>
  </r>
  <r>
    <x v="525"/>
    <x v="4"/>
    <x v="1"/>
    <x v="3"/>
    <n v="7"/>
    <n v="1365"/>
    <n v="312.04000000000002"/>
  </r>
  <r>
    <x v="632"/>
    <x v="4"/>
    <x v="1"/>
    <x v="2"/>
    <n v="1"/>
    <n v="202"/>
    <n v="11.24"/>
  </r>
  <r>
    <x v="161"/>
    <x v="7"/>
    <x v="2"/>
    <x v="0"/>
    <n v="9"/>
    <n v="2430"/>
    <n v="613.66999999999996"/>
  </r>
  <r>
    <x v="621"/>
    <x v="6"/>
    <x v="1"/>
    <x v="2"/>
    <n v="3"/>
    <n v="2670"/>
    <n v="515.39"/>
  </r>
  <r>
    <x v="633"/>
    <x v="2"/>
    <x v="2"/>
    <x v="2"/>
    <n v="7"/>
    <n v="2758"/>
    <n v="520.66"/>
  </r>
  <r>
    <x v="634"/>
    <x v="6"/>
    <x v="1"/>
    <x v="2"/>
    <n v="9"/>
    <n v="873"/>
    <n v="82.35"/>
  </r>
  <r>
    <x v="635"/>
    <x v="5"/>
    <x v="2"/>
    <x v="3"/>
    <n v="9"/>
    <n v="7245"/>
    <n v="1410.92"/>
  </r>
  <r>
    <x v="280"/>
    <x v="3"/>
    <x v="2"/>
    <x v="0"/>
    <n v="4"/>
    <n v="960"/>
    <n v="255.24"/>
  </r>
  <r>
    <x v="66"/>
    <x v="5"/>
    <x v="2"/>
    <x v="1"/>
    <n v="4"/>
    <n v="1284"/>
    <n v="171.02"/>
  </r>
  <r>
    <x v="636"/>
    <x v="1"/>
    <x v="1"/>
    <x v="3"/>
    <n v="4"/>
    <n v="512"/>
    <n v="110.47"/>
  </r>
  <r>
    <x v="637"/>
    <x v="5"/>
    <x v="2"/>
    <x v="2"/>
    <n v="9"/>
    <n v="9729"/>
    <n v="2039.41"/>
  </r>
  <r>
    <x v="351"/>
    <x v="3"/>
    <x v="2"/>
    <x v="0"/>
    <n v="5"/>
    <n v="1580"/>
    <n v="166.16"/>
  </r>
  <r>
    <x v="214"/>
    <x v="1"/>
    <x v="1"/>
    <x v="1"/>
    <n v="8"/>
    <n v="976"/>
    <n v="234.24"/>
  </r>
  <r>
    <x v="638"/>
    <x v="0"/>
    <x v="0"/>
    <x v="0"/>
    <n v="8"/>
    <n v="1824"/>
    <n v="495.35"/>
  </r>
  <r>
    <x v="194"/>
    <x v="7"/>
    <x v="2"/>
    <x v="2"/>
    <n v="4"/>
    <n v="3188"/>
    <n v="202.81"/>
  </r>
  <r>
    <x v="639"/>
    <x v="3"/>
    <x v="2"/>
    <x v="1"/>
    <n v="7"/>
    <n v="5467"/>
    <n v="556.02"/>
  </r>
  <r>
    <x v="640"/>
    <x v="7"/>
    <x v="2"/>
    <x v="2"/>
    <n v="6"/>
    <n v="5406"/>
    <n v="1277.46"/>
  </r>
  <r>
    <x v="145"/>
    <x v="4"/>
    <x v="1"/>
    <x v="1"/>
    <n v="8"/>
    <n v="2984"/>
    <n v="742.31"/>
  </r>
  <r>
    <x v="213"/>
    <x v="0"/>
    <x v="0"/>
    <x v="0"/>
    <n v="1"/>
    <n v="919"/>
    <n v="193.35"/>
  </r>
  <r>
    <x v="641"/>
    <x v="3"/>
    <x v="2"/>
    <x v="2"/>
    <n v="6"/>
    <n v="1686"/>
    <n v="426.72"/>
  </r>
  <r>
    <x v="642"/>
    <x v="9"/>
    <x v="2"/>
    <x v="3"/>
    <n v="7"/>
    <n v="4165"/>
    <n v="493.24"/>
  </r>
  <r>
    <x v="319"/>
    <x v="7"/>
    <x v="2"/>
    <x v="3"/>
    <n v="7"/>
    <n v="1281"/>
    <n v="282.63"/>
  </r>
  <r>
    <x v="373"/>
    <x v="5"/>
    <x v="2"/>
    <x v="1"/>
    <n v="3"/>
    <n v="2829"/>
    <n v="362.16"/>
  </r>
  <r>
    <x v="552"/>
    <x v="6"/>
    <x v="1"/>
    <x v="3"/>
    <n v="3"/>
    <n v="2211"/>
    <n v="292.31"/>
  </r>
  <r>
    <x v="643"/>
    <x v="4"/>
    <x v="1"/>
    <x v="1"/>
    <n v="4"/>
    <n v="4740"/>
    <n v="607.80999999999995"/>
  </r>
  <r>
    <x v="644"/>
    <x v="3"/>
    <x v="2"/>
    <x v="1"/>
    <n v="1"/>
    <n v="718"/>
    <n v="169.09"/>
  </r>
  <r>
    <x v="645"/>
    <x v="4"/>
    <x v="1"/>
    <x v="0"/>
    <n v="6"/>
    <n v="1716"/>
    <n v="108.81"/>
  </r>
  <r>
    <x v="127"/>
    <x v="6"/>
    <x v="1"/>
    <x v="2"/>
    <n v="7"/>
    <n v="1547"/>
    <n v="152.59"/>
  </r>
  <r>
    <x v="646"/>
    <x v="1"/>
    <x v="1"/>
    <x v="0"/>
    <n v="1"/>
    <n v="739"/>
    <n v="111.18"/>
  </r>
  <r>
    <x v="647"/>
    <x v="9"/>
    <x v="2"/>
    <x v="3"/>
    <n v="3"/>
    <n v="819"/>
    <n v="231.88"/>
  </r>
  <r>
    <x v="453"/>
    <x v="9"/>
    <x v="2"/>
    <x v="2"/>
    <n v="8"/>
    <n v="5696"/>
    <n v="1156.3"/>
  </r>
  <r>
    <x v="357"/>
    <x v="6"/>
    <x v="1"/>
    <x v="2"/>
    <n v="2"/>
    <n v="1706"/>
    <n v="184.71"/>
  </r>
  <r>
    <x v="203"/>
    <x v="3"/>
    <x v="2"/>
    <x v="0"/>
    <n v="2"/>
    <n v="2066"/>
    <n v="608.23"/>
  </r>
  <r>
    <x v="648"/>
    <x v="9"/>
    <x v="2"/>
    <x v="0"/>
    <n v="2"/>
    <n v="256"/>
    <n v="35.659999999999997"/>
  </r>
  <r>
    <x v="649"/>
    <x v="7"/>
    <x v="2"/>
    <x v="0"/>
    <n v="2"/>
    <n v="1102"/>
    <n v="182.54"/>
  </r>
  <r>
    <x v="557"/>
    <x v="6"/>
    <x v="1"/>
    <x v="0"/>
    <n v="8"/>
    <n v="2872"/>
    <n v="483.94"/>
  </r>
  <r>
    <x v="599"/>
    <x v="2"/>
    <x v="2"/>
    <x v="1"/>
    <n v="4"/>
    <n v="2584"/>
    <n v="394.52"/>
  </r>
  <r>
    <x v="624"/>
    <x v="1"/>
    <x v="1"/>
    <x v="0"/>
    <n v="2"/>
    <n v="1366"/>
    <n v="298.32"/>
  </r>
  <r>
    <x v="239"/>
    <x v="5"/>
    <x v="2"/>
    <x v="2"/>
    <n v="7"/>
    <n v="1253"/>
    <n v="354.23"/>
  </r>
  <r>
    <x v="650"/>
    <x v="9"/>
    <x v="2"/>
    <x v="3"/>
    <n v="7"/>
    <n v="2618"/>
    <n v="300.81"/>
  </r>
  <r>
    <x v="362"/>
    <x v="4"/>
    <x v="1"/>
    <x v="1"/>
    <n v="9"/>
    <n v="6822"/>
    <n v="1811.37"/>
  </r>
  <r>
    <x v="572"/>
    <x v="8"/>
    <x v="1"/>
    <x v="1"/>
    <n v="6"/>
    <n v="5286"/>
    <n v="636.16"/>
  </r>
  <r>
    <x v="651"/>
    <x v="6"/>
    <x v="1"/>
    <x v="0"/>
    <n v="1"/>
    <n v="579"/>
    <n v="133.57"/>
  </r>
  <r>
    <x v="512"/>
    <x v="9"/>
    <x v="2"/>
    <x v="3"/>
    <n v="8"/>
    <n v="1392"/>
    <n v="190.99"/>
  </r>
  <r>
    <x v="137"/>
    <x v="9"/>
    <x v="2"/>
    <x v="3"/>
    <n v="9"/>
    <n v="2493"/>
    <n v="696.69"/>
  </r>
  <r>
    <x v="652"/>
    <x v="7"/>
    <x v="2"/>
    <x v="0"/>
    <n v="7"/>
    <n v="6461"/>
    <n v="766.45"/>
  </r>
  <r>
    <x v="653"/>
    <x v="2"/>
    <x v="2"/>
    <x v="1"/>
    <n v="2"/>
    <n v="1486"/>
    <n v="201.07"/>
  </r>
  <r>
    <x v="654"/>
    <x v="0"/>
    <x v="0"/>
    <x v="2"/>
    <n v="1"/>
    <n v="1152"/>
    <n v="280.27999999999997"/>
  </r>
  <r>
    <x v="655"/>
    <x v="5"/>
    <x v="2"/>
    <x v="3"/>
    <n v="2"/>
    <n v="1750"/>
    <n v="103.99"/>
  </r>
  <r>
    <x v="535"/>
    <x v="7"/>
    <x v="2"/>
    <x v="3"/>
    <n v="7"/>
    <n v="4417"/>
    <n v="495.37"/>
  </r>
  <r>
    <x v="528"/>
    <x v="9"/>
    <x v="2"/>
    <x v="2"/>
    <n v="4"/>
    <n v="3724"/>
    <n v="276.85000000000002"/>
  </r>
  <r>
    <x v="656"/>
    <x v="3"/>
    <x v="2"/>
    <x v="3"/>
    <n v="3"/>
    <n v="2220"/>
    <n v="121.14"/>
  </r>
  <r>
    <x v="657"/>
    <x v="6"/>
    <x v="1"/>
    <x v="3"/>
    <n v="8"/>
    <n v="9104"/>
    <n v="2620.58"/>
  </r>
  <r>
    <x v="145"/>
    <x v="0"/>
    <x v="0"/>
    <x v="3"/>
    <n v="3"/>
    <n v="3093"/>
    <n v="584.23"/>
  </r>
  <r>
    <x v="125"/>
    <x v="4"/>
    <x v="1"/>
    <x v="2"/>
    <n v="6"/>
    <n v="3048"/>
    <n v="842.24"/>
  </r>
  <r>
    <x v="658"/>
    <x v="7"/>
    <x v="2"/>
    <x v="0"/>
    <n v="1"/>
    <n v="161"/>
    <n v="36.58"/>
  </r>
  <r>
    <x v="476"/>
    <x v="6"/>
    <x v="1"/>
    <x v="3"/>
    <n v="7"/>
    <n v="7238"/>
    <n v="1889.69"/>
  </r>
  <r>
    <x v="301"/>
    <x v="7"/>
    <x v="2"/>
    <x v="0"/>
    <n v="3"/>
    <n v="3561"/>
    <n v="347.31"/>
  </r>
  <r>
    <x v="659"/>
    <x v="6"/>
    <x v="1"/>
    <x v="0"/>
    <n v="5"/>
    <n v="1850"/>
    <n v="534.39"/>
  </r>
  <r>
    <x v="660"/>
    <x v="1"/>
    <x v="1"/>
    <x v="3"/>
    <n v="6"/>
    <n v="3522"/>
    <n v="626.72"/>
  </r>
  <r>
    <x v="661"/>
    <x v="5"/>
    <x v="2"/>
    <x v="1"/>
    <n v="1"/>
    <n v="584"/>
    <n v="172.4"/>
  </r>
  <r>
    <x v="579"/>
    <x v="7"/>
    <x v="2"/>
    <x v="1"/>
    <n v="4"/>
    <n v="2556"/>
    <n v="412.44"/>
  </r>
  <r>
    <x v="662"/>
    <x v="7"/>
    <x v="2"/>
    <x v="2"/>
    <n v="2"/>
    <n v="348"/>
    <n v="56.31"/>
  </r>
  <r>
    <x v="663"/>
    <x v="6"/>
    <x v="1"/>
    <x v="2"/>
    <n v="9"/>
    <n v="1602"/>
    <n v="142.49"/>
  </r>
  <r>
    <x v="664"/>
    <x v="6"/>
    <x v="1"/>
    <x v="2"/>
    <n v="3"/>
    <n v="2853"/>
    <n v="437.59"/>
  </r>
  <r>
    <x v="154"/>
    <x v="0"/>
    <x v="0"/>
    <x v="3"/>
    <n v="1"/>
    <n v="1024"/>
    <n v="230.3"/>
  </r>
  <r>
    <x v="310"/>
    <x v="3"/>
    <x v="2"/>
    <x v="1"/>
    <n v="5"/>
    <n v="4485"/>
    <n v="1324.49"/>
  </r>
  <r>
    <x v="665"/>
    <x v="0"/>
    <x v="0"/>
    <x v="1"/>
    <n v="2"/>
    <n v="436"/>
    <n v="79.69"/>
  </r>
  <r>
    <x v="257"/>
    <x v="5"/>
    <x v="2"/>
    <x v="0"/>
    <n v="2"/>
    <n v="2232"/>
    <n v="150.12"/>
  </r>
  <r>
    <x v="201"/>
    <x v="8"/>
    <x v="1"/>
    <x v="2"/>
    <n v="6"/>
    <n v="7056"/>
    <n v="1445.01"/>
  </r>
  <r>
    <x v="532"/>
    <x v="8"/>
    <x v="1"/>
    <x v="1"/>
    <n v="5"/>
    <n v="875"/>
    <n v="96.65"/>
  </r>
  <r>
    <x v="666"/>
    <x v="5"/>
    <x v="2"/>
    <x v="1"/>
    <n v="3"/>
    <n v="315"/>
    <n v="61.94"/>
  </r>
  <r>
    <x v="163"/>
    <x v="9"/>
    <x v="2"/>
    <x v="1"/>
    <n v="2"/>
    <n v="358"/>
    <n v="51.75"/>
  </r>
  <r>
    <x v="580"/>
    <x v="3"/>
    <x v="2"/>
    <x v="2"/>
    <n v="7"/>
    <n v="3451"/>
    <n v="194.42"/>
  </r>
  <r>
    <x v="667"/>
    <x v="9"/>
    <x v="2"/>
    <x v="0"/>
    <n v="9"/>
    <n v="1350"/>
    <n v="189.13"/>
  </r>
  <r>
    <x v="668"/>
    <x v="2"/>
    <x v="2"/>
    <x v="3"/>
    <n v="8"/>
    <n v="3320"/>
    <n v="413.32"/>
  </r>
  <r>
    <x v="112"/>
    <x v="1"/>
    <x v="1"/>
    <x v="0"/>
    <n v="9"/>
    <n v="8442"/>
    <n v="940.33"/>
  </r>
  <r>
    <x v="669"/>
    <x v="8"/>
    <x v="1"/>
    <x v="2"/>
    <n v="1"/>
    <n v="166"/>
    <n v="31.97"/>
  </r>
  <r>
    <x v="479"/>
    <x v="1"/>
    <x v="1"/>
    <x v="0"/>
    <n v="5"/>
    <n v="3720"/>
    <n v="448.6"/>
  </r>
  <r>
    <x v="398"/>
    <x v="9"/>
    <x v="2"/>
    <x v="2"/>
    <n v="2"/>
    <n v="1090"/>
    <n v="136.65"/>
  </r>
  <r>
    <x v="638"/>
    <x v="9"/>
    <x v="2"/>
    <x v="3"/>
    <n v="9"/>
    <n v="9783"/>
    <n v="2347.4899999999998"/>
  </r>
  <r>
    <x v="362"/>
    <x v="7"/>
    <x v="2"/>
    <x v="0"/>
    <n v="4"/>
    <n v="2432"/>
    <n v="657.18"/>
  </r>
  <r>
    <x v="623"/>
    <x v="1"/>
    <x v="1"/>
    <x v="0"/>
    <n v="7"/>
    <n v="4060"/>
    <n v="291.42"/>
  </r>
  <r>
    <x v="99"/>
    <x v="5"/>
    <x v="2"/>
    <x v="0"/>
    <n v="1"/>
    <n v="387"/>
    <n v="99.59"/>
  </r>
  <r>
    <x v="138"/>
    <x v="5"/>
    <x v="2"/>
    <x v="0"/>
    <n v="3"/>
    <n v="966"/>
    <n v="120.56"/>
  </r>
  <r>
    <x v="432"/>
    <x v="2"/>
    <x v="2"/>
    <x v="0"/>
    <n v="3"/>
    <n v="3366"/>
    <n v="882.29"/>
  </r>
  <r>
    <x v="561"/>
    <x v="6"/>
    <x v="1"/>
    <x v="3"/>
    <n v="7"/>
    <n v="7833"/>
    <n v="1843.94"/>
  </r>
  <r>
    <x v="32"/>
    <x v="6"/>
    <x v="1"/>
    <x v="3"/>
    <n v="1"/>
    <n v="610"/>
    <n v="33.549999999999997"/>
  </r>
  <r>
    <x v="670"/>
    <x v="5"/>
    <x v="2"/>
    <x v="3"/>
    <n v="8"/>
    <n v="4288"/>
    <n v="597.09"/>
  </r>
  <r>
    <x v="222"/>
    <x v="0"/>
    <x v="0"/>
    <x v="0"/>
    <n v="9"/>
    <n v="7740"/>
    <n v="605.35"/>
  </r>
  <r>
    <x v="671"/>
    <x v="5"/>
    <x v="2"/>
    <x v="3"/>
    <n v="9"/>
    <n v="3150"/>
    <n v="457.13"/>
  </r>
  <r>
    <x v="383"/>
    <x v="8"/>
    <x v="1"/>
    <x v="3"/>
    <n v="2"/>
    <n v="894"/>
    <n v="224.75"/>
  </r>
  <r>
    <x v="672"/>
    <x v="9"/>
    <x v="2"/>
    <x v="0"/>
    <n v="8"/>
    <n v="7544"/>
    <n v="1219.73"/>
  </r>
  <r>
    <x v="458"/>
    <x v="8"/>
    <x v="1"/>
    <x v="0"/>
    <n v="8"/>
    <n v="6360"/>
    <n v="1871.88"/>
  </r>
  <r>
    <x v="120"/>
    <x v="7"/>
    <x v="2"/>
    <x v="3"/>
    <n v="4"/>
    <n v="2428"/>
    <n v="485.75"/>
  </r>
  <r>
    <x v="323"/>
    <x v="4"/>
    <x v="1"/>
    <x v="2"/>
    <n v="2"/>
    <n v="574"/>
    <n v="38.520000000000003"/>
  </r>
  <r>
    <x v="526"/>
    <x v="8"/>
    <x v="1"/>
    <x v="3"/>
    <n v="6"/>
    <n v="6744"/>
    <n v="660.47"/>
  </r>
  <r>
    <x v="513"/>
    <x v="4"/>
    <x v="1"/>
    <x v="0"/>
    <n v="6"/>
    <n v="798"/>
    <n v="213.4"/>
  </r>
  <r>
    <x v="616"/>
    <x v="0"/>
    <x v="0"/>
    <x v="0"/>
    <n v="5"/>
    <n v="2860"/>
    <n v="339"/>
  </r>
  <r>
    <x v="384"/>
    <x v="0"/>
    <x v="0"/>
    <x v="2"/>
    <n v="5"/>
    <n v="5410"/>
    <n v="1129.77"/>
  </r>
  <r>
    <x v="140"/>
    <x v="9"/>
    <x v="2"/>
    <x v="3"/>
    <n v="5"/>
    <n v="4445"/>
    <n v="580.15"/>
  </r>
  <r>
    <x v="327"/>
    <x v="5"/>
    <x v="2"/>
    <x v="2"/>
    <n v="8"/>
    <n v="7536"/>
    <n v="1197.0899999999999"/>
  </r>
  <r>
    <x v="673"/>
    <x v="6"/>
    <x v="1"/>
    <x v="0"/>
    <n v="7"/>
    <n v="4165"/>
    <n v="263.26"/>
  </r>
  <r>
    <x v="674"/>
    <x v="9"/>
    <x v="2"/>
    <x v="1"/>
    <n v="3"/>
    <n v="3021"/>
    <n v="763.99"/>
  </r>
  <r>
    <x v="423"/>
    <x v="8"/>
    <x v="1"/>
    <x v="0"/>
    <n v="2"/>
    <n v="310"/>
    <n v="70.66"/>
  </r>
  <r>
    <x v="405"/>
    <x v="4"/>
    <x v="1"/>
    <x v="2"/>
    <n v="2"/>
    <n v="2170"/>
    <n v="522"/>
  </r>
  <r>
    <x v="9"/>
    <x v="2"/>
    <x v="2"/>
    <x v="3"/>
    <n v="3"/>
    <n v="2832"/>
    <n v="317.76"/>
  </r>
  <r>
    <x v="462"/>
    <x v="5"/>
    <x v="2"/>
    <x v="3"/>
    <n v="5"/>
    <n v="3945"/>
    <n v="392.09"/>
  </r>
  <r>
    <x v="4"/>
    <x v="2"/>
    <x v="2"/>
    <x v="2"/>
    <n v="4"/>
    <n v="2104"/>
    <n v="308"/>
  </r>
  <r>
    <x v="108"/>
    <x v="6"/>
    <x v="1"/>
    <x v="2"/>
    <n v="2"/>
    <n v="2060"/>
    <n v="517.64"/>
  </r>
  <r>
    <x v="172"/>
    <x v="0"/>
    <x v="0"/>
    <x v="0"/>
    <n v="4"/>
    <n v="1060"/>
    <n v="155.78"/>
  </r>
  <r>
    <x v="616"/>
    <x v="5"/>
    <x v="2"/>
    <x v="2"/>
    <n v="6"/>
    <n v="810"/>
    <n v="108.61"/>
  </r>
  <r>
    <x v="482"/>
    <x v="9"/>
    <x v="2"/>
    <x v="3"/>
    <n v="3"/>
    <n v="873"/>
    <n v="57.42"/>
  </r>
  <r>
    <x v="89"/>
    <x v="2"/>
    <x v="2"/>
    <x v="3"/>
    <n v="5"/>
    <n v="595"/>
    <n v="121.11"/>
  </r>
  <r>
    <x v="675"/>
    <x v="9"/>
    <x v="2"/>
    <x v="3"/>
    <n v="2"/>
    <n v="1562"/>
    <n v="119.56"/>
  </r>
  <r>
    <x v="676"/>
    <x v="5"/>
    <x v="2"/>
    <x v="1"/>
    <n v="9"/>
    <n v="5337"/>
    <n v="1575.99"/>
  </r>
  <r>
    <x v="677"/>
    <x v="0"/>
    <x v="0"/>
    <x v="0"/>
    <n v="2"/>
    <n v="212"/>
    <n v="13.4"/>
  </r>
  <r>
    <x v="242"/>
    <x v="0"/>
    <x v="0"/>
    <x v="1"/>
    <n v="8"/>
    <n v="2704"/>
    <n v="705.74"/>
  </r>
  <r>
    <x v="678"/>
    <x v="9"/>
    <x v="2"/>
    <x v="0"/>
    <n v="5"/>
    <n v="3225"/>
    <n v="523.32000000000005"/>
  </r>
  <r>
    <x v="225"/>
    <x v="6"/>
    <x v="1"/>
    <x v="0"/>
    <n v="2"/>
    <n v="1342"/>
    <n v="184.59"/>
  </r>
  <r>
    <x v="679"/>
    <x v="1"/>
    <x v="1"/>
    <x v="2"/>
    <n v="7"/>
    <n v="3395"/>
    <n v="1012.78"/>
  </r>
  <r>
    <x v="84"/>
    <x v="5"/>
    <x v="2"/>
    <x v="1"/>
    <n v="4"/>
    <n v="3968"/>
    <n v="480.72"/>
  </r>
  <r>
    <x v="294"/>
    <x v="7"/>
    <x v="2"/>
    <x v="3"/>
    <n v="5"/>
    <n v="4555"/>
    <n v="776.65"/>
  </r>
  <r>
    <x v="680"/>
    <x v="2"/>
    <x v="2"/>
    <x v="3"/>
    <n v="2"/>
    <n v="2132"/>
    <n v="365.44"/>
  </r>
  <r>
    <x v="133"/>
    <x v="1"/>
    <x v="1"/>
    <x v="3"/>
    <n v="6"/>
    <n v="6516"/>
    <n v="842.83"/>
  </r>
  <r>
    <x v="191"/>
    <x v="5"/>
    <x v="2"/>
    <x v="0"/>
    <n v="2"/>
    <n v="2040"/>
    <n v="481.15"/>
  </r>
  <r>
    <x v="104"/>
    <x v="1"/>
    <x v="1"/>
    <x v="1"/>
    <n v="6"/>
    <n v="6126"/>
    <n v="428.38"/>
  </r>
  <r>
    <x v="37"/>
    <x v="5"/>
    <x v="2"/>
    <x v="3"/>
    <n v="8"/>
    <n v="520"/>
    <n v="30.58"/>
  </r>
  <r>
    <x v="313"/>
    <x v="3"/>
    <x v="2"/>
    <x v="2"/>
    <n v="5"/>
    <n v="4470"/>
    <n v="526.96"/>
  </r>
  <r>
    <x v="681"/>
    <x v="5"/>
    <x v="2"/>
    <x v="3"/>
    <n v="8"/>
    <n v="5504"/>
    <n v="1196.78"/>
  </r>
  <r>
    <x v="182"/>
    <x v="4"/>
    <x v="1"/>
    <x v="3"/>
    <n v="4"/>
    <n v="3036"/>
    <n v="511.69"/>
  </r>
  <r>
    <x v="220"/>
    <x v="5"/>
    <x v="2"/>
    <x v="1"/>
    <n v="5"/>
    <n v="2725"/>
    <n v="308.29000000000002"/>
  </r>
  <r>
    <x v="389"/>
    <x v="0"/>
    <x v="0"/>
    <x v="0"/>
    <n v="8"/>
    <n v="4080"/>
    <n v="336.96"/>
  </r>
  <r>
    <x v="324"/>
    <x v="8"/>
    <x v="1"/>
    <x v="0"/>
    <n v="8"/>
    <n v="3080"/>
    <n v="776.6"/>
  </r>
  <r>
    <x v="682"/>
    <x v="5"/>
    <x v="2"/>
    <x v="0"/>
    <n v="5"/>
    <n v="1525"/>
    <n v="413.75"/>
  </r>
  <r>
    <x v="683"/>
    <x v="6"/>
    <x v="1"/>
    <x v="2"/>
    <n v="4"/>
    <n v="1332"/>
    <n v="342.85"/>
  </r>
  <r>
    <x v="684"/>
    <x v="7"/>
    <x v="2"/>
    <x v="2"/>
    <n v="7"/>
    <n v="4669"/>
    <n v="803.21"/>
  </r>
  <r>
    <x v="655"/>
    <x v="5"/>
    <x v="2"/>
    <x v="3"/>
    <n v="6"/>
    <n v="5310"/>
    <n v="1099.8399999999999"/>
  </r>
  <r>
    <x v="197"/>
    <x v="3"/>
    <x v="2"/>
    <x v="1"/>
    <n v="8"/>
    <n v="9392"/>
    <n v="2651.84"/>
  </r>
  <r>
    <x v="236"/>
    <x v="6"/>
    <x v="1"/>
    <x v="2"/>
    <n v="5"/>
    <n v="1350"/>
    <n v="198.19"/>
  </r>
  <r>
    <x v="685"/>
    <x v="6"/>
    <x v="1"/>
    <x v="0"/>
    <n v="4"/>
    <n v="3648"/>
    <n v="768.61"/>
  </r>
  <r>
    <x v="346"/>
    <x v="0"/>
    <x v="0"/>
    <x v="0"/>
    <n v="2"/>
    <n v="300"/>
    <n v="47.59"/>
  </r>
  <r>
    <x v="201"/>
    <x v="7"/>
    <x v="2"/>
    <x v="0"/>
    <n v="3"/>
    <n v="3408"/>
    <n v="727.26"/>
  </r>
  <r>
    <x v="686"/>
    <x v="8"/>
    <x v="1"/>
    <x v="2"/>
    <n v="9"/>
    <n v="4302"/>
    <n v="475.96"/>
  </r>
  <r>
    <x v="468"/>
    <x v="8"/>
    <x v="1"/>
    <x v="2"/>
    <n v="5"/>
    <n v="4575"/>
    <n v="771.24"/>
  </r>
  <r>
    <x v="30"/>
    <x v="9"/>
    <x v="2"/>
    <x v="1"/>
    <n v="8"/>
    <n v="9304"/>
    <n v="1855.7"/>
  </r>
  <r>
    <x v="404"/>
    <x v="6"/>
    <x v="1"/>
    <x v="1"/>
    <n v="4"/>
    <n v="1928"/>
    <n v="232.48"/>
  </r>
  <r>
    <x v="386"/>
    <x v="0"/>
    <x v="0"/>
    <x v="1"/>
    <n v="2"/>
    <n v="1042"/>
    <n v="86.24"/>
  </r>
  <r>
    <x v="687"/>
    <x v="2"/>
    <x v="2"/>
    <x v="1"/>
    <n v="3"/>
    <n v="2214"/>
    <n v="507.7"/>
  </r>
  <r>
    <x v="51"/>
    <x v="8"/>
    <x v="1"/>
    <x v="2"/>
    <n v="4"/>
    <n v="3024"/>
    <n v="678.26"/>
  </r>
  <r>
    <x v="138"/>
    <x v="3"/>
    <x v="2"/>
    <x v="1"/>
    <n v="2"/>
    <n v="1104"/>
    <n v="173.01"/>
  </r>
  <r>
    <x v="530"/>
    <x v="1"/>
    <x v="1"/>
    <x v="1"/>
    <n v="8"/>
    <n v="6056"/>
    <n v="1631.71"/>
  </r>
  <r>
    <x v="33"/>
    <x v="1"/>
    <x v="1"/>
    <x v="2"/>
    <n v="5"/>
    <n v="5295"/>
    <n v="1375.98"/>
  </r>
  <r>
    <x v="260"/>
    <x v="7"/>
    <x v="2"/>
    <x v="0"/>
    <n v="4"/>
    <n v="3668"/>
    <n v="839.4"/>
  </r>
  <r>
    <x v="308"/>
    <x v="0"/>
    <x v="0"/>
    <x v="2"/>
    <n v="9"/>
    <n v="4293"/>
    <n v="295.47000000000003"/>
  </r>
  <r>
    <x v="688"/>
    <x v="1"/>
    <x v="1"/>
    <x v="0"/>
    <n v="7"/>
    <n v="5789"/>
    <n v="950.45"/>
  </r>
  <r>
    <x v="409"/>
    <x v="5"/>
    <x v="2"/>
    <x v="0"/>
    <n v="6"/>
    <n v="4440"/>
    <n v="800.92"/>
  </r>
  <r>
    <x v="149"/>
    <x v="0"/>
    <x v="0"/>
    <x v="2"/>
    <n v="5"/>
    <n v="5515"/>
    <n v="330.02"/>
  </r>
  <r>
    <x v="100"/>
    <x v="3"/>
    <x v="2"/>
    <x v="0"/>
    <n v="4"/>
    <n v="784"/>
    <n v="192.77"/>
  </r>
  <r>
    <x v="689"/>
    <x v="9"/>
    <x v="2"/>
    <x v="1"/>
    <n v="4"/>
    <n v="576"/>
    <n v="156.59"/>
  </r>
  <r>
    <x v="299"/>
    <x v="5"/>
    <x v="2"/>
    <x v="3"/>
    <n v="5"/>
    <n v="705"/>
    <n v="198.62"/>
  </r>
  <r>
    <x v="425"/>
    <x v="8"/>
    <x v="1"/>
    <x v="0"/>
    <n v="6"/>
    <n v="4458"/>
    <n v="1215.3"/>
  </r>
  <r>
    <x v="286"/>
    <x v="7"/>
    <x v="2"/>
    <x v="1"/>
    <n v="6"/>
    <n v="6780"/>
    <n v="811.92"/>
  </r>
  <r>
    <x v="487"/>
    <x v="5"/>
    <x v="2"/>
    <x v="0"/>
    <n v="5"/>
    <n v="3970"/>
    <n v="642.70000000000005"/>
  </r>
  <r>
    <x v="690"/>
    <x v="6"/>
    <x v="1"/>
    <x v="0"/>
    <n v="7"/>
    <n v="5131"/>
    <n v="368.11"/>
  </r>
  <r>
    <x v="186"/>
    <x v="9"/>
    <x v="2"/>
    <x v="1"/>
    <n v="7"/>
    <n v="1750"/>
    <n v="90.21"/>
  </r>
  <r>
    <x v="691"/>
    <x v="2"/>
    <x v="2"/>
    <x v="1"/>
    <n v="7"/>
    <n v="8337"/>
    <n v="753.35"/>
  </r>
  <r>
    <x v="481"/>
    <x v="8"/>
    <x v="1"/>
    <x v="1"/>
    <n v="9"/>
    <n v="9810"/>
    <n v="549.46"/>
  </r>
  <r>
    <x v="551"/>
    <x v="8"/>
    <x v="1"/>
    <x v="1"/>
    <n v="3"/>
    <n v="2658"/>
    <n v="794.36"/>
  </r>
  <r>
    <x v="692"/>
    <x v="0"/>
    <x v="0"/>
    <x v="3"/>
    <n v="1"/>
    <n v="473"/>
    <n v="43.65"/>
  </r>
  <r>
    <x v="7"/>
    <x v="2"/>
    <x v="2"/>
    <x v="0"/>
    <n v="9"/>
    <n v="2205"/>
    <n v="410.01"/>
  </r>
  <r>
    <x v="347"/>
    <x v="7"/>
    <x v="2"/>
    <x v="2"/>
    <n v="9"/>
    <n v="6948"/>
    <n v="1409.3"/>
  </r>
  <r>
    <x v="693"/>
    <x v="2"/>
    <x v="2"/>
    <x v="0"/>
    <n v="3"/>
    <n v="774"/>
    <n v="212.02"/>
  </r>
  <r>
    <x v="262"/>
    <x v="2"/>
    <x v="2"/>
    <x v="0"/>
    <n v="3"/>
    <n v="2532"/>
    <n v="343.13"/>
  </r>
  <r>
    <x v="419"/>
    <x v="9"/>
    <x v="2"/>
    <x v="3"/>
    <n v="7"/>
    <n v="6587"/>
    <n v="1173.9100000000001"/>
  </r>
  <r>
    <x v="330"/>
    <x v="7"/>
    <x v="2"/>
    <x v="1"/>
    <n v="7"/>
    <n v="7266"/>
    <n v="806.79"/>
  </r>
  <r>
    <x v="492"/>
    <x v="7"/>
    <x v="2"/>
    <x v="1"/>
    <n v="7"/>
    <n v="6867"/>
    <n v="502.06"/>
  </r>
  <r>
    <x v="336"/>
    <x v="3"/>
    <x v="2"/>
    <x v="2"/>
    <n v="9"/>
    <n v="4887"/>
    <n v="396.36"/>
  </r>
  <r>
    <x v="694"/>
    <x v="1"/>
    <x v="1"/>
    <x v="3"/>
    <n v="4"/>
    <n v="864"/>
    <n v="251.99"/>
  </r>
  <r>
    <x v="695"/>
    <x v="7"/>
    <x v="2"/>
    <x v="1"/>
    <n v="6"/>
    <n v="5190"/>
    <n v="1215.07"/>
  </r>
  <r>
    <x v="696"/>
    <x v="8"/>
    <x v="1"/>
    <x v="2"/>
    <n v="8"/>
    <n v="2128"/>
    <n v="294.45"/>
  </r>
  <r>
    <x v="697"/>
    <x v="1"/>
    <x v="1"/>
    <x v="1"/>
    <n v="2"/>
    <n v="1718"/>
    <n v="218.82"/>
  </r>
  <r>
    <x v="658"/>
    <x v="7"/>
    <x v="2"/>
    <x v="0"/>
    <n v="2"/>
    <n v="1270"/>
    <n v="229.39"/>
  </r>
  <r>
    <x v="698"/>
    <x v="8"/>
    <x v="1"/>
    <x v="1"/>
    <n v="7"/>
    <n v="2569"/>
    <n v="130.19"/>
  </r>
  <r>
    <x v="699"/>
    <x v="0"/>
    <x v="0"/>
    <x v="2"/>
    <n v="2"/>
    <n v="1518"/>
    <n v="262.64999999999998"/>
  </r>
  <r>
    <x v="601"/>
    <x v="4"/>
    <x v="1"/>
    <x v="2"/>
    <n v="2"/>
    <n v="1210"/>
    <n v="268.37"/>
  </r>
  <r>
    <x v="532"/>
    <x v="1"/>
    <x v="1"/>
    <x v="1"/>
    <n v="2"/>
    <n v="1128"/>
    <n v="94.13"/>
  </r>
  <r>
    <x v="635"/>
    <x v="4"/>
    <x v="1"/>
    <x v="0"/>
    <n v="1"/>
    <n v="1077"/>
    <n v="77.97"/>
  </r>
  <r>
    <x v="700"/>
    <x v="8"/>
    <x v="1"/>
    <x v="1"/>
    <n v="6"/>
    <n v="2244"/>
    <n v="517.47"/>
  </r>
  <r>
    <x v="615"/>
    <x v="1"/>
    <x v="1"/>
    <x v="3"/>
    <n v="8"/>
    <n v="1608"/>
    <n v="464.18"/>
  </r>
  <r>
    <x v="701"/>
    <x v="3"/>
    <x v="2"/>
    <x v="3"/>
    <n v="5"/>
    <n v="3685"/>
    <n v="476.2"/>
  </r>
  <r>
    <x v="702"/>
    <x v="3"/>
    <x v="2"/>
    <x v="0"/>
    <n v="8"/>
    <n v="4080"/>
    <n v="1079.49"/>
  </r>
  <r>
    <x v="703"/>
    <x v="6"/>
    <x v="1"/>
    <x v="0"/>
    <n v="1"/>
    <n v="404"/>
    <n v="84.4"/>
  </r>
  <r>
    <x v="704"/>
    <x v="8"/>
    <x v="1"/>
    <x v="2"/>
    <n v="2"/>
    <n v="1738"/>
    <n v="163.38"/>
  </r>
  <r>
    <x v="171"/>
    <x v="0"/>
    <x v="0"/>
    <x v="3"/>
    <n v="3"/>
    <n v="828"/>
    <n v="210.33"/>
  </r>
  <r>
    <x v="661"/>
    <x v="1"/>
    <x v="1"/>
    <x v="0"/>
    <n v="4"/>
    <n v="4344"/>
    <n v="461.72"/>
  </r>
  <r>
    <x v="368"/>
    <x v="2"/>
    <x v="2"/>
    <x v="0"/>
    <n v="1"/>
    <n v="1130"/>
    <n v="268.88"/>
  </r>
  <r>
    <x v="705"/>
    <x v="4"/>
    <x v="1"/>
    <x v="0"/>
    <n v="3"/>
    <n v="1698"/>
    <n v="304.91000000000003"/>
  </r>
  <r>
    <x v="128"/>
    <x v="2"/>
    <x v="2"/>
    <x v="1"/>
    <n v="4"/>
    <n v="844"/>
    <n v="136.02000000000001"/>
  </r>
  <r>
    <x v="507"/>
    <x v="0"/>
    <x v="0"/>
    <x v="3"/>
    <n v="2"/>
    <n v="2286"/>
    <n v="218.18"/>
  </r>
  <r>
    <x v="706"/>
    <x v="3"/>
    <x v="2"/>
    <x v="1"/>
    <n v="2"/>
    <n v="1026"/>
    <n v="170.31"/>
  </r>
  <r>
    <x v="707"/>
    <x v="9"/>
    <x v="2"/>
    <x v="3"/>
    <n v="6"/>
    <n v="6984"/>
    <n v="1433.65"/>
  </r>
  <r>
    <x v="337"/>
    <x v="6"/>
    <x v="1"/>
    <x v="3"/>
    <n v="4"/>
    <n v="1672"/>
    <n v="432.35"/>
  </r>
  <r>
    <x v="690"/>
    <x v="9"/>
    <x v="2"/>
    <x v="0"/>
    <n v="6"/>
    <n v="1092"/>
    <n v="63.98"/>
  </r>
  <r>
    <x v="330"/>
    <x v="4"/>
    <x v="1"/>
    <x v="2"/>
    <n v="2"/>
    <n v="272"/>
    <n v="24.71"/>
  </r>
  <r>
    <x v="477"/>
    <x v="4"/>
    <x v="1"/>
    <x v="3"/>
    <n v="2"/>
    <n v="1126"/>
    <n v="204.99"/>
  </r>
  <r>
    <x v="708"/>
    <x v="1"/>
    <x v="1"/>
    <x v="3"/>
    <n v="7"/>
    <n v="8155"/>
    <n v="2177.38"/>
  </r>
  <r>
    <x v="46"/>
    <x v="5"/>
    <x v="2"/>
    <x v="1"/>
    <n v="7"/>
    <n v="4298"/>
    <n v="358.38"/>
  </r>
  <r>
    <x v="527"/>
    <x v="7"/>
    <x v="2"/>
    <x v="1"/>
    <n v="5"/>
    <n v="1365"/>
    <n v="310.66000000000003"/>
  </r>
  <r>
    <x v="271"/>
    <x v="3"/>
    <x v="2"/>
    <x v="3"/>
    <n v="6"/>
    <n v="4116"/>
    <n v="381.35"/>
  </r>
  <r>
    <x v="709"/>
    <x v="4"/>
    <x v="1"/>
    <x v="2"/>
    <n v="8"/>
    <n v="904"/>
    <n v="181.45"/>
  </r>
  <r>
    <x v="227"/>
    <x v="5"/>
    <x v="2"/>
    <x v="2"/>
    <n v="1"/>
    <n v="70"/>
    <n v="10.64"/>
  </r>
  <r>
    <x v="647"/>
    <x v="8"/>
    <x v="1"/>
    <x v="1"/>
    <n v="2"/>
    <n v="344"/>
    <n v="72.87"/>
  </r>
  <r>
    <x v="372"/>
    <x v="0"/>
    <x v="0"/>
    <x v="1"/>
    <n v="1"/>
    <n v="330"/>
    <n v="78.52"/>
  </r>
  <r>
    <x v="571"/>
    <x v="4"/>
    <x v="1"/>
    <x v="2"/>
    <n v="2"/>
    <n v="518"/>
    <n v="34.22"/>
  </r>
  <r>
    <x v="480"/>
    <x v="1"/>
    <x v="1"/>
    <x v="0"/>
    <n v="9"/>
    <n v="2763"/>
    <n v="458.4"/>
  </r>
  <r>
    <x v="627"/>
    <x v="5"/>
    <x v="2"/>
    <x v="0"/>
    <n v="2"/>
    <n v="2298"/>
    <n v="343.53"/>
  </r>
  <r>
    <x v="710"/>
    <x v="6"/>
    <x v="1"/>
    <x v="2"/>
    <n v="1"/>
    <n v="436"/>
    <n v="73.89"/>
  </r>
  <r>
    <x v="711"/>
    <x v="1"/>
    <x v="1"/>
    <x v="1"/>
    <n v="6"/>
    <n v="1824"/>
    <n v="213.47"/>
  </r>
  <r>
    <x v="446"/>
    <x v="9"/>
    <x v="2"/>
    <x v="0"/>
    <n v="5"/>
    <n v="1540"/>
    <n v="411.83"/>
  </r>
  <r>
    <x v="107"/>
    <x v="2"/>
    <x v="2"/>
    <x v="1"/>
    <n v="7"/>
    <n v="5572"/>
    <n v="385.82"/>
  </r>
  <r>
    <x v="630"/>
    <x v="6"/>
    <x v="1"/>
    <x v="1"/>
    <n v="6"/>
    <n v="3030"/>
    <n v="335.71"/>
  </r>
  <r>
    <x v="348"/>
    <x v="6"/>
    <x v="1"/>
    <x v="3"/>
    <n v="5"/>
    <n v="1245"/>
    <n v="345.84"/>
  </r>
  <r>
    <x v="429"/>
    <x v="2"/>
    <x v="2"/>
    <x v="2"/>
    <n v="4"/>
    <n v="1252"/>
    <n v="326.69"/>
  </r>
  <r>
    <x v="712"/>
    <x v="3"/>
    <x v="2"/>
    <x v="0"/>
    <n v="9"/>
    <n v="4959"/>
    <n v="479.28"/>
  </r>
  <r>
    <x v="390"/>
    <x v="6"/>
    <x v="1"/>
    <x v="3"/>
    <n v="7"/>
    <n v="8162"/>
    <n v="443.81"/>
  </r>
  <r>
    <x v="251"/>
    <x v="6"/>
    <x v="1"/>
    <x v="1"/>
    <n v="5"/>
    <n v="1370"/>
    <n v="253.92"/>
  </r>
  <r>
    <x v="55"/>
    <x v="2"/>
    <x v="2"/>
    <x v="0"/>
    <n v="3"/>
    <n v="3111"/>
    <n v="607.23"/>
  </r>
  <r>
    <x v="645"/>
    <x v="1"/>
    <x v="1"/>
    <x v="2"/>
    <n v="7"/>
    <n v="7805"/>
    <n v="1078.03"/>
  </r>
  <r>
    <x v="265"/>
    <x v="7"/>
    <x v="2"/>
    <x v="2"/>
    <n v="9"/>
    <n v="10314"/>
    <n v="2729.6"/>
  </r>
  <r>
    <x v="279"/>
    <x v="8"/>
    <x v="1"/>
    <x v="2"/>
    <n v="9"/>
    <n v="10782"/>
    <n v="2730.14"/>
  </r>
  <r>
    <x v="9"/>
    <x v="6"/>
    <x v="1"/>
    <x v="3"/>
    <n v="5"/>
    <n v="4375"/>
    <n v="987.96"/>
  </r>
  <r>
    <x v="713"/>
    <x v="6"/>
    <x v="1"/>
    <x v="0"/>
    <n v="5"/>
    <n v="2265"/>
    <n v="595.04999999999995"/>
  </r>
  <r>
    <x v="102"/>
    <x v="9"/>
    <x v="2"/>
    <x v="1"/>
    <n v="1"/>
    <n v="166"/>
    <n v="9.69"/>
  </r>
  <r>
    <x v="134"/>
    <x v="4"/>
    <x v="1"/>
    <x v="0"/>
    <n v="7"/>
    <n v="7217"/>
    <n v="1481.7"/>
  </r>
  <r>
    <x v="714"/>
    <x v="2"/>
    <x v="2"/>
    <x v="1"/>
    <n v="3"/>
    <n v="1767"/>
    <n v="186.54"/>
  </r>
  <r>
    <x v="216"/>
    <x v="9"/>
    <x v="2"/>
    <x v="1"/>
    <n v="3"/>
    <n v="2883"/>
    <n v="557.80999999999995"/>
  </r>
  <r>
    <x v="235"/>
    <x v="5"/>
    <x v="2"/>
    <x v="2"/>
    <n v="3"/>
    <n v="1338"/>
    <n v="396.08"/>
  </r>
  <r>
    <x v="715"/>
    <x v="0"/>
    <x v="0"/>
    <x v="1"/>
    <n v="9"/>
    <n v="9459"/>
    <n v="604.05999999999995"/>
  </r>
  <r>
    <x v="42"/>
    <x v="0"/>
    <x v="0"/>
    <x v="0"/>
    <n v="3"/>
    <n v="168"/>
    <n v="45.31"/>
  </r>
  <r>
    <x v="716"/>
    <x v="7"/>
    <x v="2"/>
    <x v="2"/>
    <n v="9"/>
    <n v="4536"/>
    <n v="479.78"/>
  </r>
  <r>
    <x v="543"/>
    <x v="1"/>
    <x v="1"/>
    <x v="1"/>
    <n v="4"/>
    <n v="4404"/>
    <n v="793.7"/>
  </r>
  <r>
    <x v="641"/>
    <x v="6"/>
    <x v="1"/>
    <x v="0"/>
    <n v="4"/>
    <n v="1952"/>
    <n v="148.66999999999999"/>
  </r>
  <r>
    <x v="717"/>
    <x v="1"/>
    <x v="1"/>
    <x v="0"/>
    <n v="3"/>
    <n v="2004"/>
    <n v="467.76"/>
  </r>
  <r>
    <x v="718"/>
    <x v="8"/>
    <x v="1"/>
    <x v="2"/>
    <n v="4"/>
    <n v="468"/>
    <n v="131.47999999999999"/>
  </r>
  <r>
    <x v="719"/>
    <x v="7"/>
    <x v="2"/>
    <x v="3"/>
    <n v="9"/>
    <n v="8667"/>
    <n v="1597.49"/>
  </r>
  <r>
    <x v="720"/>
    <x v="0"/>
    <x v="0"/>
    <x v="3"/>
    <n v="7"/>
    <n v="6097"/>
    <n v="567.32000000000005"/>
  </r>
  <r>
    <x v="721"/>
    <x v="4"/>
    <x v="1"/>
    <x v="2"/>
    <n v="9"/>
    <n v="4752"/>
    <n v="1415.65"/>
  </r>
  <r>
    <x v="253"/>
    <x v="8"/>
    <x v="1"/>
    <x v="1"/>
    <n v="1"/>
    <n v="1172"/>
    <n v="124.9"/>
  </r>
  <r>
    <x v="696"/>
    <x v="8"/>
    <x v="1"/>
    <x v="0"/>
    <n v="2"/>
    <n v="1608"/>
    <n v="170.29"/>
  </r>
  <r>
    <x v="722"/>
    <x v="0"/>
    <x v="0"/>
    <x v="2"/>
    <n v="7"/>
    <n v="7595"/>
    <n v="969.07"/>
  </r>
  <r>
    <x v="426"/>
    <x v="5"/>
    <x v="2"/>
    <x v="3"/>
    <n v="1"/>
    <n v="1142"/>
    <n v="306.83999999999997"/>
  </r>
  <r>
    <x v="723"/>
    <x v="8"/>
    <x v="1"/>
    <x v="0"/>
    <n v="2"/>
    <n v="116"/>
    <n v="13.67"/>
  </r>
  <r>
    <x v="437"/>
    <x v="7"/>
    <x v="2"/>
    <x v="1"/>
    <n v="9"/>
    <n v="3951"/>
    <n v="908.13"/>
  </r>
  <r>
    <x v="12"/>
    <x v="8"/>
    <x v="1"/>
    <x v="1"/>
    <n v="2"/>
    <n v="1606"/>
    <n v="138.96"/>
  </r>
  <r>
    <x v="724"/>
    <x v="4"/>
    <x v="1"/>
    <x v="2"/>
    <n v="3"/>
    <n v="2025"/>
    <n v="403"/>
  </r>
  <r>
    <x v="684"/>
    <x v="5"/>
    <x v="2"/>
    <x v="3"/>
    <n v="2"/>
    <n v="2006"/>
    <n v="235.52"/>
  </r>
  <r>
    <x v="230"/>
    <x v="3"/>
    <x v="2"/>
    <x v="2"/>
    <n v="9"/>
    <n v="9423"/>
    <n v="652.05999999999995"/>
  </r>
  <r>
    <x v="108"/>
    <x v="9"/>
    <x v="2"/>
    <x v="0"/>
    <n v="4"/>
    <n v="2276"/>
    <n v="399.94"/>
  </r>
  <r>
    <x v="326"/>
    <x v="6"/>
    <x v="1"/>
    <x v="3"/>
    <n v="5"/>
    <n v="4880"/>
    <n v="664.06"/>
  </r>
  <r>
    <x v="723"/>
    <x v="9"/>
    <x v="2"/>
    <x v="1"/>
    <n v="3"/>
    <n v="1773"/>
    <n v="183.15"/>
  </r>
  <r>
    <x v="304"/>
    <x v="5"/>
    <x v="2"/>
    <x v="2"/>
    <n v="9"/>
    <n v="2718"/>
    <n v="195.97"/>
  </r>
  <r>
    <x v="256"/>
    <x v="4"/>
    <x v="1"/>
    <x v="1"/>
    <n v="4"/>
    <n v="3168"/>
    <n v="939.45"/>
  </r>
  <r>
    <x v="429"/>
    <x v="3"/>
    <x v="2"/>
    <x v="3"/>
    <n v="2"/>
    <n v="1716"/>
    <n v="368.06"/>
  </r>
  <r>
    <x v="725"/>
    <x v="7"/>
    <x v="2"/>
    <x v="3"/>
    <n v="2"/>
    <n v="214"/>
    <n v="14.08"/>
  </r>
  <r>
    <x v="712"/>
    <x v="3"/>
    <x v="2"/>
    <x v="1"/>
    <n v="2"/>
    <n v="2092"/>
    <n v="366.12"/>
  </r>
  <r>
    <x v="726"/>
    <x v="4"/>
    <x v="1"/>
    <x v="3"/>
    <n v="3"/>
    <n v="225"/>
    <n v="46.96"/>
  </r>
  <r>
    <x v="99"/>
    <x v="5"/>
    <x v="2"/>
    <x v="1"/>
    <n v="1"/>
    <n v="859"/>
    <n v="217.67"/>
  </r>
  <r>
    <x v="243"/>
    <x v="0"/>
    <x v="0"/>
    <x v="3"/>
    <n v="2"/>
    <n v="2070"/>
    <n v="183.41"/>
  </r>
  <r>
    <x v="428"/>
    <x v="8"/>
    <x v="1"/>
    <x v="2"/>
    <n v="6"/>
    <n v="3240"/>
    <n v="758.19"/>
  </r>
  <r>
    <x v="727"/>
    <x v="2"/>
    <x v="2"/>
    <x v="1"/>
    <n v="2"/>
    <n v="1748"/>
    <n v="506.52"/>
  </r>
  <r>
    <x v="573"/>
    <x v="1"/>
    <x v="1"/>
    <x v="3"/>
    <n v="8"/>
    <n v="2080"/>
    <n v="108.48"/>
  </r>
  <r>
    <x v="316"/>
    <x v="5"/>
    <x v="2"/>
    <x v="0"/>
    <n v="3"/>
    <n v="2193"/>
    <n v="521.14"/>
  </r>
  <r>
    <x v="682"/>
    <x v="4"/>
    <x v="1"/>
    <x v="3"/>
    <n v="5"/>
    <n v="2080"/>
    <n v="614.77"/>
  </r>
  <r>
    <x v="728"/>
    <x v="1"/>
    <x v="1"/>
    <x v="2"/>
    <n v="5"/>
    <n v="5070"/>
    <n v="986.39"/>
  </r>
  <r>
    <x v="729"/>
    <x v="9"/>
    <x v="2"/>
    <x v="2"/>
    <n v="7"/>
    <n v="469"/>
    <n v="47.4"/>
  </r>
  <r>
    <x v="370"/>
    <x v="0"/>
    <x v="0"/>
    <x v="2"/>
    <n v="1"/>
    <n v="802"/>
    <n v="153.55000000000001"/>
  </r>
  <r>
    <x v="0"/>
    <x v="7"/>
    <x v="2"/>
    <x v="3"/>
    <n v="6"/>
    <n v="930"/>
    <n v="213.6"/>
  </r>
  <r>
    <x v="730"/>
    <x v="5"/>
    <x v="2"/>
    <x v="2"/>
    <n v="1"/>
    <n v="495"/>
    <n v="55.17"/>
  </r>
  <r>
    <x v="452"/>
    <x v="6"/>
    <x v="1"/>
    <x v="1"/>
    <n v="6"/>
    <n v="4938"/>
    <n v="847.89"/>
  </r>
  <r>
    <x v="116"/>
    <x v="2"/>
    <x v="2"/>
    <x v="2"/>
    <n v="2"/>
    <n v="1300"/>
    <n v="267.45999999999998"/>
  </r>
  <r>
    <x v="731"/>
    <x v="1"/>
    <x v="1"/>
    <x v="2"/>
    <n v="7"/>
    <n v="2100"/>
    <n v="131.66999999999999"/>
  </r>
  <r>
    <x v="732"/>
    <x v="3"/>
    <x v="2"/>
    <x v="2"/>
    <n v="2"/>
    <n v="2248"/>
    <n v="636.52"/>
  </r>
  <r>
    <x v="64"/>
    <x v="4"/>
    <x v="1"/>
    <x v="0"/>
    <n v="8"/>
    <n v="7096"/>
    <n v="991.23"/>
  </r>
  <r>
    <x v="728"/>
    <x v="4"/>
    <x v="1"/>
    <x v="1"/>
    <n v="3"/>
    <n v="1992"/>
    <n v="252.21"/>
  </r>
  <r>
    <x v="196"/>
    <x v="3"/>
    <x v="2"/>
    <x v="2"/>
    <n v="4"/>
    <n v="4056"/>
    <n v="1189.26"/>
  </r>
  <r>
    <x v="733"/>
    <x v="3"/>
    <x v="2"/>
    <x v="1"/>
    <n v="2"/>
    <n v="1986"/>
    <n v="208.88"/>
  </r>
  <r>
    <x v="263"/>
    <x v="0"/>
    <x v="0"/>
    <x v="1"/>
    <n v="3"/>
    <n v="1635"/>
    <n v="196.73"/>
  </r>
  <r>
    <x v="408"/>
    <x v="5"/>
    <x v="2"/>
    <x v="1"/>
    <n v="9"/>
    <n v="3132"/>
    <n v="443.27"/>
  </r>
  <r>
    <x v="722"/>
    <x v="7"/>
    <x v="2"/>
    <x v="2"/>
    <n v="8"/>
    <n v="7064"/>
    <n v="1554.52"/>
  </r>
  <r>
    <x v="3"/>
    <x v="3"/>
    <x v="2"/>
    <x v="1"/>
    <n v="1"/>
    <n v="907"/>
    <n v="249.2"/>
  </r>
  <r>
    <x v="485"/>
    <x v="1"/>
    <x v="1"/>
    <x v="2"/>
    <n v="9"/>
    <n v="7938"/>
    <n v="1191.4100000000001"/>
  </r>
  <r>
    <x v="734"/>
    <x v="0"/>
    <x v="0"/>
    <x v="2"/>
    <n v="4"/>
    <n v="4360"/>
    <n v="1207.46"/>
  </r>
  <r>
    <x v="315"/>
    <x v="8"/>
    <x v="1"/>
    <x v="3"/>
    <n v="3"/>
    <n v="375"/>
    <n v="95.04"/>
  </r>
  <r>
    <x v="440"/>
    <x v="6"/>
    <x v="1"/>
    <x v="0"/>
    <n v="7"/>
    <n v="826"/>
    <n v="101.01"/>
  </r>
  <r>
    <x v="609"/>
    <x v="4"/>
    <x v="1"/>
    <x v="1"/>
    <n v="1"/>
    <n v="1011"/>
    <n v="186.42"/>
  </r>
  <r>
    <x v="735"/>
    <x v="1"/>
    <x v="1"/>
    <x v="1"/>
    <n v="3"/>
    <n v="807"/>
    <n v="148.58000000000001"/>
  </r>
  <r>
    <x v="61"/>
    <x v="4"/>
    <x v="1"/>
    <x v="0"/>
    <n v="2"/>
    <n v="1840"/>
    <n v="367.7"/>
  </r>
  <r>
    <x v="736"/>
    <x v="8"/>
    <x v="1"/>
    <x v="3"/>
    <n v="5"/>
    <n v="4550"/>
    <n v="1039.3399999999999"/>
  </r>
  <r>
    <x v="737"/>
    <x v="7"/>
    <x v="2"/>
    <x v="0"/>
    <n v="9"/>
    <n v="8793"/>
    <n v="901.7"/>
  </r>
  <r>
    <x v="53"/>
    <x v="4"/>
    <x v="1"/>
    <x v="0"/>
    <n v="5"/>
    <n v="310"/>
    <n v="32.01"/>
  </r>
  <r>
    <x v="687"/>
    <x v="4"/>
    <x v="1"/>
    <x v="1"/>
    <n v="3"/>
    <n v="1143"/>
    <n v="275.04000000000002"/>
  </r>
  <r>
    <x v="149"/>
    <x v="6"/>
    <x v="1"/>
    <x v="3"/>
    <n v="3"/>
    <n v="2610"/>
    <n v="740.21"/>
  </r>
  <r>
    <x v="462"/>
    <x v="2"/>
    <x v="2"/>
    <x v="3"/>
    <n v="6"/>
    <n v="1494"/>
    <n v="269.25"/>
  </r>
  <r>
    <x v="738"/>
    <x v="7"/>
    <x v="2"/>
    <x v="0"/>
    <n v="4"/>
    <n v="1524"/>
    <n v="189.32"/>
  </r>
  <r>
    <x v="523"/>
    <x v="2"/>
    <x v="2"/>
    <x v="0"/>
    <n v="9"/>
    <n v="9441"/>
    <n v="2171.42"/>
  </r>
  <r>
    <x v="316"/>
    <x v="7"/>
    <x v="2"/>
    <x v="2"/>
    <n v="4"/>
    <n v="3520"/>
    <n v="417.26"/>
  </r>
  <r>
    <x v="46"/>
    <x v="2"/>
    <x v="2"/>
    <x v="3"/>
    <n v="2"/>
    <n v="390"/>
    <n v="103.99"/>
  </r>
  <r>
    <x v="739"/>
    <x v="0"/>
    <x v="0"/>
    <x v="2"/>
    <n v="3"/>
    <n v="3219"/>
    <n v="255.09"/>
  </r>
  <r>
    <x v="158"/>
    <x v="9"/>
    <x v="2"/>
    <x v="0"/>
    <n v="1"/>
    <n v="450"/>
    <n v="75.89"/>
  </r>
  <r>
    <x v="212"/>
    <x v="5"/>
    <x v="2"/>
    <x v="2"/>
    <n v="4"/>
    <n v="828"/>
    <n v="216.98"/>
  </r>
  <r>
    <x v="47"/>
    <x v="0"/>
    <x v="0"/>
    <x v="1"/>
    <n v="1"/>
    <n v="1146"/>
    <n v="152.79"/>
  </r>
  <r>
    <x v="53"/>
    <x v="6"/>
    <x v="1"/>
    <x v="3"/>
    <n v="3"/>
    <n v="1986"/>
    <n v="361.33"/>
  </r>
  <r>
    <x v="88"/>
    <x v="5"/>
    <x v="2"/>
    <x v="0"/>
    <n v="8"/>
    <n v="7264"/>
    <n v="1776.83"/>
  </r>
  <r>
    <x v="682"/>
    <x v="9"/>
    <x v="2"/>
    <x v="1"/>
    <n v="7"/>
    <n v="7469"/>
    <n v="915.63"/>
  </r>
  <r>
    <x v="740"/>
    <x v="9"/>
    <x v="2"/>
    <x v="2"/>
    <n v="5"/>
    <n v="1385"/>
    <n v="165.55"/>
  </r>
  <r>
    <x v="420"/>
    <x v="2"/>
    <x v="2"/>
    <x v="0"/>
    <n v="4"/>
    <n v="4556"/>
    <n v="315.07"/>
  </r>
  <r>
    <x v="741"/>
    <x v="6"/>
    <x v="1"/>
    <x v="0"/>
    <n v="3"/>
    <n v="456"/>
    <n v="61.42"/>
  </r>
  <r>
    <x v="131"/>
    <x v="6"/>
    <x v="1"/>
    <x v="0"/>
    <n v="2"/>
    <n v="1984"/>
    <n v="125.13"/>
  </r>
  <r>
    <x v="545"/>
    <x v="5"/>
    <x v="2"/>
    <x v="0"/>
    <n v="6"/>
    <n v="5178"/>
    <n v="1321.58"/>
  </r>
  <r>
    <x v="742"/>
    <x v="5"/>
    <x v="2"/>
    <x v="3"/>
    <n v="1"/>
    <n v="281"/>
    <n v="30.51"/>
  </r>
  <r>
    <x v="48"/>
    <x v="6"/>
    <x v="1"/>
    <x v="2"/>
    <n v="9"/>
    <n v="3033"/>
    <n v="177.92"/>
  </r>
  <r>
    <x v="743"/>
    <x v="3"/>
    <x v="2"/>
    <x v="1"/>
    <n v="3"/>
    <n v="1107"/>
    <n v="65.88"/>
  </r>
  <r>
    <x v="243"/>
    <x v="1"/>
    <x v="1"/>
    <x v="2"/>
    <n v="3"/>
    <n v="1446"/>
    <n v="356.7"/>
  </r>
  <r>
    <x v="624"/>
    <x v="0"/>
    <x v="0"/>
    <x v="0"/>
    <n v="3"/>
    <n v="1335"/>
    <n v="263.04000000000002"/>
  </r>
  <r>
    <x v="744"/>
    <x v="1"/>
    <x v="1"/>
    <x v="2"/>
    <n v="2"/>
    <n v="266"/>
    <n v="20.11"/>
  </r>
  <r>
    <x v="127"/>
    <x v="7"/>
    <x v="2"/>
    <x v="3"/>
    <n v="6"/>
    <n v="648"/>
    <n v="162.30000000000001"/>
  </r>
  <r>
    <x v="745"/>
    <x v="2"/>
    <x v="2"/>
    <x v="2"/>
    <n v="2"/>
    <n v="344"/>
    <n v="80.87"/>
  </r>
  <r>
    <x v="538"/>
    <x v="7"/>
    <x v="2"/>
    <x v="3"/>
    <n v="6"/>
    <n v="5724"/>
    <n v="1640.19"/>
  </r>
  <r>
    <x v="746"/>
    <x v="4"/>
    <x v="1"/>
    <x v="1"/>
    <n v="5"/>
    <n v="4920"/>
    <n v="323.38"/>
  </r>
  <r>
    <x v="747"/>
    <x v="3"/>
    <x v="2"/>
    <x v="3"/>
    <n v="5"/>
    <n v="5440"/>
    <n v="457.04"/>
  </r>
  <r>
    <x v="702"/>
    <x v="7"/>
    <x v="2"/>
    <x v="3"/>
    <n v="7"/>
    <n v="7994"/>
    <n v="908.65"/>
  </r>
  <r>
    <x v="320"/>
    <x v="3"/>
    <x v="2"/>
    <x v="2"/>
    <n v="9"/>
    <n v="3780"/>
    <n v="724.36"/>
  </r>
  <r>
    <x v="748"/>
    <x v="7"/>
    <x v="2"/>
    <x v="0"/>
    <n v="1"/>
    <n v="1017"/>
    <n v="209.97"/>
  </r>
  <r>
    <x v="171"/>
    <x v="7"/>
    <x v="2"/>
    <x v="3"/>
    <n v="6"/>
    <n v="1578"/>
    <n v="82.85"/>
  </r>
  <r>
    <x v="6"/>
    <x v="7"/>
    <x v="2"/>
    <x v="2"/>
    <n v="2"/>
    <n v="912"/>
    <n v="161.37"/>
  </r>
  <r>
    <x v="423"/>
    <x v="9"/>
    <x v="2"/>
    <x v="3"/>
    <n v="6"/>
    <n v="2520"/>
    <n v="182.59"/>
  </r>
  <r>
    <x v="486"/>
    <x v="1"/>
    <x v="1"/>
    <x v="1"/>
    <n v="8"/>
    <n v="2632"/>
    <n v="262.55"/>
  </r>
  <r>
    <x v="749"/>
    <x v="6"/>
    <x v="1"/>
    <x v="3"/>
    <n v="6"/>
    <n v="6582"/>
    <n v="729.68"/>
  </r>
  <r>
    <x v="750"/>
    <x v="3"/>
    <x v="2"/>
    <x v="1"/>
    <n v="8"/>
    <n v="3432"/>
    <n v="172.69"/>
  </r>
  <r>
    <x v="593"/>
    <x v="8"/>
    <x v="1"/>
    <x v="2"/>
    <n v="2"/>
    <n v="1030"/>
    <n v="254.65"/>
  </r>
  <r>
    <x v="375"/>
    <x v="1"/>
    <x v="1"/>
    <x v="3"/>
    <n v="8"/>
    <n v="1192"/>
    <n v="289.91000000000003"/>
  </r>
  <r>
    <x v="751"/>
    <x v="0"/>
    <x v="0"/>
    <x v="3"/>
    <n v="9"/>
    <n v="7083"/>
    <n v="994.47"/>
  </r>
  <r>
    <x v="752"/>
    <x v="0"/>
    <x v="0"/>
    <x v="2"/>
    <n v="7"/>
    <n v="3675"/>
    <n v="227.14"/>
  </r>
  <r>
    <x v="95"/>
    <x v="6"/>
    <x v="1"/>
    <x v="0"/>
    <n v="4"/>
    <n v="4740"/>
    <n v="833.27"/>
  </r>
  <r>
    <x v="290"/>
    <x v="4"/>
    <x v="1"/>
    <x v="1"/>
    <n v="4"/>
    <n v="1716"/>
    <n v="364.96"/>
  </r>
  <r>
    <x v="33"/>
    <x v="0"/>
    <x v="0"/>
    <x v="2"/>
    <n v="7"/>
    <n v="3528"/>
    <n v="260.06"/>
  </r>
  <r>
    <x v="753"/>
    <x v="3"/>
    <x v="2"/>
    <x v="2"/>
    <n v="3"/>
    <n v="777"/>
    <n v="71.72"/>
  </r>
  <r>
    <x v="754"/>
    <x v="3"/>
    <x v="2"/>
    <x v="1"/>
    <n v="4"/>
    <n v="3368"/>
    <n v="558.92999999999995"/>
  </r>
  <r>
    <x v="755"/>
    <x v="2"/>
    <x v="2"/>
    <x v="0"/>
    <n v="4"/>
    <n v="4240"/>
    <n v="251.46"/>
  </r>
  <r>
    <x v="102"/>
    <x v="9"/>
    <x v="2"/>
    <x v="2"/>
    <n v="3"/>
    <n v="3285"/>
    <n v="292.87"/>
  </r>
  <r>
    <x v="485"/>
    <x v="7"/>
    <x v="2"/>
    <x v="2"/>
    <n v="6"/>
    <n v="4872"/>
    <n v="612.73"/>
  </r>
  <r>
    <x v="108"/>
    <x v="7"/>
    <x v="2"/>
    <x v="1"/>
    <n v="9"/>
    <n v="2466"/>
    <n v="638.41"/>
  </r>
  <r>
    <x v="756"/>
    <x v="2"/>
    <x v="2"/>
    <x v="3"/>
    <n v="5"/>
    <n v="2465"/>
    <n v="497.19"/>
  </r>
  <r>
    <x v="332"/>
    <x v="2"/>
    <x v="2"/>
    <x v="0"/>
    <n v="3"/>
    <n v="612"/>
    <n v="40.15"/>
  </r>
  <r>
    <x v="757"/>
    <x v="2"/>
    <x v="2"/>
    <x v="2"/>
    <n v="5"/>
    <n v="4170"/>
    <n v="658.98"/>
  </r>
  <r>
    <x v="420"/>
    <x v="3"/>
    <x v="2"/>
    <x v="2"/>
    <n v="8"/>
    <n v="1088"/>
    <n v="160.33000000000001"/>
  </r>
  <r>
    <x v="539"/>
    <x v="8"/>
    <x v="1"/>
    <x v="3"/>
    <n v="2"/>
    <n v="1626"/>
    <n v="354.49"/>
  </r>
  <r>
    <x v="577"/>
    <x v="7"/>
    <x v="2"/>
    <x v="0"/>
    <n v="6"/>
    <n v="6486"/>
    <n v="359.49"/>
  </r>
  <r>
    <x v="91"/>
    <x v="6"/>
    <x v="1"/>
    <x v="3"/>
    <n v="8"/>
    <n v="6968"/>
    <n v="1226.22"/>
  </r>
  <r>
    <x v="456"/>
    <x v="7"/>
    <x v="2"/>
    <x v="0"/>
    <n v="1"/>
    <n v="357"/>
    <n v="82.86"/>
  </r>
  <r>
    <x v="298"/>
    <x v="9"/>
    <x v="2"/>
    <x v="2"/>
    <n v="1"/>
    <n v="454"/>
    <n v="58.4"/>
  </r>
  <r>
    <x v="758"/>
    <x v="2"/>
    <x v="2"/>
    <x v="1"/>
    <n v="3"/>
    <n v="3582"/>
    <n v="501.47"/>
  </r>
  <r>
    <x v="759"/>
    <x v="2"/>
    <x v="2"/>
    <x v="3"/>
    <n v="9"/>
    <n v="3762"/>
    <n v="484.75"/>
  </r>
  <r>
    <x v="502"/>
    <x v="5"/>
    <x v="2"/>
    <x v="2"/>
    <n v="9"/>
    <n v="6642"/>
    <n v="394.48"/>
  </r>
  <r>
    <x v="407"/>
    <x v="6"/>
    <x v="1"/>
    <x v="3"/>
    <n v="4"/>
    <n v="408"/>
    <n v="45.2"/>
  </r>
  <r>
    <x v="729"/>
    <x v="2"/>
    <x v="2"/>
    <x v="3"/>
    <n v="1"/>
    <n v="105"/>
    <n v="25.26"/>
  </r>
  <r>
    <x v="28"/>
    <x v="2"/>
    <x v="2"/>
    <x v="3"/>
    <n v="3"/>
    <n v="2682"/>
    <n v="584.69000000000005"/>
  </r>
  <r>
    <x v="568"/>
    <x v="8"/>
    <x v="1"/>
    <x v="1"/>
    <n v="7"/>
    <n v="497"/>
    <n v="76.31"/>
  </r>
  <r>
    <x v="688"/>
    <x v="0"/>
    <x v="0"/>
    <x v="2"/>
    <n v="7"/>
    <n v="4823"/>
    <n v="420.58"/>
  </r>
  <r>
    <x v="244"/>
    <x v="5"/>
    <x v="2"/>
    <x v="0"/>
    <n v="8"/>
    <n v="4048"/>
    <n v="666.1"/>
  </r>
  <r>
    <x v="668"/>
    <x v="0"/>
    <x v="0"/>
    <x v="2"/>
    <n v="7"/>
    <n v="2758"/>
    <n v="459.02"/>
  </r>
  <r>
    <x v="717"/>
    <x v="7"/>
    <x v="2"/>
    <x v="0"/>
    <n v="8"/>
    <n v="4096"/>
    <n v="266.35000000000002"/>
  </r>
  <r>
    <x v="328"/>
    <x v="0"/>
    <x v="0"/>
    <x v="0"/>
    <n v="8"/>
    <n v="7264"/>
    <n v="1318"/>
  </r>
  <r>
    <x v="584"/>
    <x v="1"/>
    <x v="1"/>
    <x v="1"/>
    <n v="6"/>
    <n v="4302"/>
    <n v="957.38"/>
  </r>
  <r>
    <x v="204"/>
    <x v="0"/>
    <x v="0"/>
    <x v="0"/>
    <n v="7"/>
    <n v="3297"/>
    <n v="583.86"/>
  </r>
  <r>
    <x v="760"/>
    <x v="0"/>
    <x v="0"/>
    <x v="0"/>
    <n v="5"/>
    <n v="5960"/>
    <n v="1139.78"/>
  </r>
  <r>
    <x v="31"/>
    <x v="8"/>
    <x v="1"/>
    <x v="3"/>
    <n v="1"/>
    <n v="386"/>
    <n v="114.9"/>
  </r>
  <r>
    <x v="761"/>
    <x v="0"/>
    <x v="0"/>
    <x v="3"/>
    <n v="1"/>
    <n v="684"/>
    <n v="170.36"/>
  </r>
  <r>
    <x v="575"/>
    <x v="9"/>
    <x v="2"/>
    <x v="2"/>
    <n v="3"/>
    <n v="1275"/>
    <n v="168.64"/>
  </r>
  <r>
    <x v="698"/>
    <x v="1"/>
    <x v="1"/>
    <x v="0"/>
    <n v="9"/>
    <n v="5949"/>
    <n v="368.51"/>
  </r>
  <r>
    <x v="762"/>
    <x v="3"/>
    <x v="2"/>
    <x v="1"/>
    <n v="7"/>
    <n v="5159"/>
    <n v="755.22"/>
  </r>
  <r>
    <x v="595"/>
    <x v="6"/>
    <x v="1"/>
    <x v="0"/>
    <n v="4"/>
    <n v="1100"/>
    <n v="127.13"/>
  </r>
  <r>
    <x v="611"/>
    <x v="1"/>
    <x v="1"/>
    <x v="2"/>
    <n v="2"/>
    <n v="290"/>
    <n v="50.23"/>
  </r>
  <r>
    <x v="613"/>
    <x v="5"/>
    <x v="2"/>
    <x v="1"/>
    <n v="8"/>
    <n v="7144"/>
    <n v="492.1"/>
  </r>
  <r>
    <x v="763"/>
    <x v="8"/>
    <x v="1"/>
    <x v="3"/>
    <n v="5"/>
    <n v="4200"/>
    <n v="330.48"/>
  </r>
  <r>
    <x v="89"/>
    <x v="6"/>
    <x v="1"/>
    <x v="0"/>
    <n v="6"/>
    <n v="5022"/>
    <n v="291.89"/>
  </r>
  <r>
    <x v="764"/>
    <x v="7"/>
    <x v="2"/>
    <x v="3"/>
    <n v="2"/>
    <n v="2354"/>
    <n v="371.34"/>
  </r>
  <r>
    <x v="152"/>
    <x v="7"/>
    <x v="2"/>
    <x v="2"/>
    <n v="2"/>
    <n v="2032"/>
    <n v="149.69999999999999"/>
  </r>
  <r>
    <x v="478"/>
    <x v="0"/>
    <x v="0"/>
    <x v="2"/>
    <n v="8"/>
    <n v="9528"/>
    <n v="1942.35"/>
  </r>
  <r>
    <x v="538"/>
    <x v="8"/>
    <x v="1"/>
    <x v="2"/>
    <n v="2"/>
    <n v="2372"/>
    <n v="275.88"/>
  </r>
  <r>
    <x v="699"/>
    <x v="9"/>
    <x v="2"/>
    <x v="3"/>
    <n v="3"/>
    <n v="2703"/>
    <n v="609.75"/>
  </r>
  <r>
    <x v="34"/>
    <x v="9"/>
    <x v="2"/>
    <x v="2"/>
    <n v="4"/>
    <n v="1264"/>
    <n v="267.82"/>
  </r>
  <r>
    <x v="765"/>
    <x v="7"/>
    <x v="2"/>
    <x v="2"/>
    <n v="4"/>
    <n v="1624"/>
    <n v="333.74"/>
  </r>
  <r>
    <x v="654"/>
    <x v="1"/>
    <x v="1"/>
    <x v="3"/>
    <n v="8"/>
    <n v="2976"/>
    <n v="507.77"/>
  </r>
  <r>
    <x v="766"/>
    <x v="4"/>
    <x v="1"/>
    <x v="3"/>
    <n v="6"/>
    <n v="4998"/>
    <n v="863.82"/>
  </r>
  <r>
    <x v="705"/>
    <x v="0"/>
    <x v="0"/>
    <x v="2"/>
    <n v="1"/>
    <n v="445"/>
    <n v="29.57"/>
  </r>
  <r>
    <x v="199"/>
    <x v="0"/>
    <x v="0"/>
    <x v="3"/>
    <n v="1"/>
    <n v="98"/>
    <n v="28.57"/>
  </r>
  <r>
    <x v="326"/>
    <x v="2"/>
    <x v="2"/>
    <x v="0"/>
    <n v="7"/>
    <n v="4102"/>
    <n v="354.03"/>
  </r>
  <r>
    <x v="182"/>
    <x v="0"/>
    <x v="0"/>
    <x v="0"/>
    <n v="1"/>
    <n v="1016"/>
    <n v="171.31"/>
  </r>
  <r>
    <x v="641"/>
    <x v="4"/>
    <x v="1"/>
    <x v="2"/>
    <n v="4"/>
    <n v="1960"/>
    <n v="234.88"/>
  </r>
  <r>
    <x v="767"/>
    <x v="1"/>
    <x v="1"/>
    <x v="3"/>
    <n v="7"/>
    <n v="2751"/>
    <n v="675.95"/>
  </r>
  <r>
    <x v="494"/>
    <x v="7"/>
    <x v="2"/>
    <x v="1"/>
    <n v="7"/>
    <n v="4032"/>
    <n v="742.98"/>
  </r>
  <r>
    <x v="311"/>
    <x v="7"/>
    <x v="2"/>
    <x v="3"/>
    <n v="7"/>
    <n v="5978"/>
    <n v="1791.25"/>
  </r>
  <r>
    <x v="309"/>
    <x v="4"/>
    <x v="1"/>
    <x v="3"/>
    <n v="7"/>
    <n v="8050"/>
    <n v="2129.9699999999998"/>
  </r>
  <r>
    <x v="342"/>
    <x v="6"/>
    <x v="1"/>
    <x v="1"/>
    <n v="7"/>
    <n v="4648"/>
    <n v="1240.98"/>
  </r>
  <r>
    <x v="646"/>
    <x v="7"/>
    <x v="2"/>
    <x v="0"/>
    <n v="3"/>
    <n v="1119"/>
    <n v="108.68"/>
  </r>
  <r>
    <x v="242"/>
    <x v="0"/>
    <x v="0"/>
    <x v="2"/>
    <n v="9"/>
    <n v="2178"/>
    <n v="382.67"/>
  </r>
  <r>
    <x v="731"/>
    <x v="9"/>
    <x v="2"/>
    <x v="1"/>
    <n v="1"/>
    <n v="918"/>
    <n v="180.31"/>
  </r>
  <r>
    <x v="43"/>
    <x v="7"/>
    <x v="2"/>
    <x v="1"/>
    <n v="9"/>
    <n v="6903"/>
    <n v="837.35"/>
  </r>
  <r>
    <x v="445"/>
    <x v="8"/>
    <x v="1"/>
    <x v="0"/>
    <n v="5"/>
    <n v="4855"/>
    <n v="534.23"/>
  </r>
  <r>
    <x v="700"/>
    <x v="3"/>
    <x v="2"/>
    <x v="2"/>
    <n v="2"/>
    <n v="2158"/>
    <n v="483.94"/>
  </r>
  <r>
    <x v="129"/>
    <x v="1"/>
    <x v="1"/>
    <x v="0"/>
    <n v="7"/>
    <n v="4550"/>
    <n v="1077.8"/>
  </r>
  <r>
    <x v="425"/>
    <x v="2"/>
    <x v="2"/>
    <x v="3"/>
    <n v="4"/>
    <n v="3592"/>
    <n v="249.54"/>
  </r>
  <r>
    <x v="768"/>
    <x v="2"/>
    <x v="2"/>
    <x v="2"/>
    <n v="8"/>
    <n v="3488"/>
    <n v="943.25"/>
  </r>
  <r>
    <x v="414"/>
    <x v="6"/>
    <x v="1"/>
    <x v="0"/>
    <n v="2"/>
    <n v="1214"/>
    <n v="163.80000000000001"/>
  </r>
  <r>
    <x v="769"/>
    <x v="1"/>
    <x v="1"/>
    <x v="3"/>
    <n v="9"/>
    <n v="7200"/>
    <n v="1469.23"/>
  </r>
  <r>
    <x v="650"/>
    <x v="9"/>
    <x v="2"/>
    <x v="1"/>
    <n v="8"/>
    <n v="1808"/>
    <n v="339.31"/>
  </r>
  <r>
    <x v="597"/>
    <x v="3"/>
    <x v="2"/>
    <x v="3"/>
    <n v="9"/>
    <n v="7083"/>
    <n v="560.88"/>
  </r>
  <r>
    <x v="230"/>
    <x v="6"/>
    <x v="1"/>
    <x v="1"/>
    <n v="4"/>
    <n v="1060"/>
    <n v="260.20999999999998"/>
  </r>
  <r>
    <x v="54"/>
    <x v="5"/>
    <x v="2"/>
    <x v="2"/>
    <n v="9"/>
    <n v="7182"/>
    <n v="461.61"/>
  </r>
  <r>
    <x v="517"/>
    <x v="7"/>
    <x v="2"/>
    <x v="3"/>
    <n v="6"/>
    <n v="5532"/>
    <n v="552.74"/>
  </r>
  <r>
    <x v="770"/>
    <x v="4"/>
    <x v="1"/>
    <x v="2"/>
    <n v="8"/>
    <n v="1800"/>
    <n v="326.02999999999997"/>
  </r>
  <r>
    <x v="232"/>
    <x v="4"/>
    <x v="1"/>
    <x v="2"/>
    <n v="1"/>
    <n v="351"/>
    <n v="32.61"/>
  </r>
  <r>
    <x v="771"/>
    <x v="5"/>
    <x v="2"/>
    <x v="3"/>
    <n v="2"/>
    <n v="1200"/>
    <n v="191.43"/>
  </r>
  <r>
    <x v="5"/>
    <x v="2"/>
    <x v="2"/>
    <x v="2"/>
    <n v="9"/>
    <n v="1593"/>
    <n v="322.45999999999998"/>
  </r>
  <r>
    <x v="701"/>
    <x v="6"/>
    <x v="1"/>
    <x v="1"/>
    <n v="3"/>
    <n v="2580"/>
    <n v="448.02"/>
  </r>
  <r>
    <x v="655"/>
    <x v="8"/>
    <x v="1"/>
    <x v="1"/>
    <n v="6"/>
    <n v="6780"/>
    <n v="1794.97"/>
  </r>
  <r>
    <x v="219"/>
    <x v="7"/>
    <x v="2"/>
    <x v="2"/>
    <n v="2"/>
    <n v="1298"/>
    <n v="204.08"/>
  </r>
  <r>
    <x v="413"/>
    <x v="5"/>
    <x v="2"/>
    <x v="2"/>
    <n v="7"/>
    <n v="4585"/>
    <n v="383.97"/>
  </r>
  <r>
    <x v="498"/>
    <x v="2"/>
    <x v="2"/>
    <x v="0"/>
    <n v="1"/>
    <n v="516"/>
    <n v="70.53"/>
  </r>
  <r>
    <x v="146"/>
    <x v="2"/>
    <x v="2"/>
    <x v="3"/>
    <n v="4"/>
    <n v="1780"/>
    <n v="420.28"/>
  </r>
  <r>
    <x v="256"/>
    <x v="8"/>
    <x v="1"/>
    <x v="0"/>
    <n v="5"/>
    <n v="365"/>
    <n v="94.05"/>
  </r>
  <r>
    <x v="140"/>
    <x v="2"/>
    <x v="2"/>
    <x v="2"/>
    <n v="8"/>
    <n v="3896"/>
    <n v="735.66"/>
  </r>
  <r>
    <x v="74"/>
    <x v="9"/>
    <x v="2"/>
    <x v="2"/>
    <n v="1"/>
    <n v="636"/>
    <n v="169.24"/>
  </r>
  <r>
    <x v="624"/>
    <x v="6"/>
    <x v="1"/>
    <x v="1"/>
    <n v="7"/>
    <n v="637"/>
    <n v="87.86"/>
  </r>
  <r>
    <x v="673"/>
    <x v="8"/>
    <x v="1"/>
    <x v="2"/>
    <n v="3"/>
    <n v="1302"/>
    <n v="180.82"/>
  </r>
  <r>
    <x v="715"/>
    <x v="7"/>
    <x v="2"/>
    <x v="3"/>
    <n v="1"/>
    <n v="719"/>
    <n v="40.42"/>
  </r>
  <r>
    <x v="259"/>
    <x v="3"/>
    <x v="2"/>
    <x v="3"/>
    <n v="6"/>
    <n v="5106"/>
    <n v="1341.93"/>
  </r>
  <r>
    <x v="398"/>
    <x v="1"/>
    <x v="1"/>
    <x v="3"/>
    <n v="3"/>
    <n v="1215"/>
    <n v="129.80000000000001"/>
  </r>
  <r>
    <x v="324"/>
    <x v="3"/>
    <x v="2"/>
    <x v="1"/>
    <n v="9"/>
    <n v="1791"/>
    <n v="187.28"/>
  </r>
  <r>
    <x v="338"/>
    <x v="0"/>
    <x v="0"/>
    <x v="1"/>
    <n v="9"/>
    <n v="6255"/>
    <n v="452.46"/>
  </r>
  <r>
    <x v="772"/>
    <x v="0"/>
    <x v="0"/>
    <x v="1"/>
    <n v="5"/>
    <n v="4165"/>
    <n v="1012.37"/>
  </r>
  <r>
    <x v="383"/>
    <x v="6"/>
    <x v="1"/>
    <x v="2"/>
    <n v="5"/>
    <n v="5990"/>
    <n v="1192.1099999999999"/>
  </r>
  <r>
    <x v="5"/>
    <x v="2"/>
    <x v="2"/>
    <x v="2"/>
    <n v="1"/>
    <n v="847"/>
    <n v="142.74"/>
  </r>
  <r>
    <x v="649"/>
    <x v="3"/>
    <x v="2"/>
    <x v="1"/>
    <n v="8"/>
    <n v="688"/>
    <n v="131.26"/>
  </r>
  <r>
    <x v="96"/>
    <x v="2"/>
    <x v="2"/>
    <x v="1"/>
    <n v="2"/>
    <n v="1188"/>
    <n v="286.38"/>
  </r>
  <r>
    <x v="500"/>
    <x v="3"/>
    <x v="2"/>
    <x v="0"/>
    <n v="7"/>
    <n v="3101"/>
    <n v="926.09"/>
  </r>
  <r>
    <x v="773"/>
    <x v="4"/>
    <x v="1"/>
    <x v="3"/>
    <n v="9"/>
    <n v="8703"/>
    <n v="1562.88"/>
  </r>
  <r>
    <x v="774"/>
    <x v="0"/>
    <x v="0"/>
    <x v="3"/>
    <n v="9"/>
    <n v="9324"/>
    <n v="2416.9299999999998"/>
  </r>
  <r>
    <x v="775"/>
    <x v="9"/>
    <x v="2"/>
    <x v="0"/>
    <n v="1"/>
    <n v="749"/>
    <n v="68.17"/>
  </r>
  <r>
    <x v="686"/>
    <x v="5"/>
    <x v="2"/>
    <x v="3"/>
    <n v="4"/>
    <n v="3224"/>
    <n v="871.53"/>
  </r>
  <r>
    <x v="487"/>
    <x v="6"/>
    <x v="1"/>
    <x v="2"/>
    <n v="3"/>
    <n v="459"/>
    <n v="40.96"/>
  </r>
  <r>
    <x v="413"/>
    <x v="5"/>
    <x v="2"/>
    <x v="1"/>
    <n v="7"/>
    <n v="5726"/>
    <n v="976.14"/>
  </r>
  <r>
    <x v="776"/>
    <x v="8"/>
    <x v="1"/>
    <x v="3"/>
    <n v="4"/>
    <n v="616"/>
    <n v="175.75"/>
  </r>
  <r>
    <x v="413"/>
    <x v="9"/>
    <x v="2"/>
    <x v="0"/>
    <n v="2"/>
    <n v="1584"/>
    <n v="406.25"/>
  </r>
  <r>
    <x v="96"/>
    <x v="9"/>
    <x v="2"/>
    <x v="1"/>
    <n v="5"/>
    <n v="3205"/>
    <n v="368.41"/>
  </r>
  <r>
    <x v="314"/>
    <x v="0"/>
    <x v="0"/>
    <x v="1"/>
    <n v="1"/>
    <n v="958"/>
    <n v="186.76"/>
  </r>
  <r>
    <x v="700"/>
    <x v="9"/>
    <x v="2"/>
    <x v="1"/>
    <n v="9"/>
    <n v="5139"/>
    <n v="1315.93"/>
  </r>
  <r>
    <x v="329"/>
    <x v="7"/>
    <x v="2"/>
    <x v="3"/>
    <n v="5"/>
    <n v="3795"/>
    <n v="239.15"/>
  </r>
  <r>
    <x v="293"/>
    <x v="3"/>
    <x v="2"/>
    <x v="1"/>
    <n v="2"/>
    <n v="810"/>
    <n v="229.33"/>
  </r>
  <r>
    <x v="239"/>
    <x v="3"/>
    <x v="2"/>
    <x v="2"/>
    <n v="6"/>
    <n v="5106"/>
    <n v="1500.2"/>
  </r>
  <r>
    <x v="561"/>
    <x v="6"/>
    <x v="1"/>
    <x v="3"/>
    <n v="2"/>
    <n v="798"/>
    <n v="79.25"/>
  </r>
  <r>
    <x v="752"/>
    <x v="9"/>
    <x v="2"/>
    <x v="3"/>
    <n v="5"/>
    <n v="3165"/>
    <n v="895.33"/>
  </r>
  <r>
    <x v="630"/>
    <x v="2"/>
    <x v="2"/>
    <x v="1"/>
    <n v="5"/>
    <n v="5935"/>
    <n v="875.84"/>
  </r>
  <r>
    <x v="777"/>
    <x v="8"/>
    <x v="1"/>
    <x v="2"/>
    <n v="4"/>
    <n v="3352"/>
    <n v="663.15"/>
  </r>
  <r>
    <x v="778"/>
    <x v="7"/>
    <x v="2"/>
    <x v="3"/>
    <n v="9"/>
    <n v="8343"/>
    <n v="821"/>
  </r>
  <r>
    <x v="779"/>
    <x v="6"/>
    <x v="1"/>
    <x v="1"/>
    <n v="4"/>
    <n v="2604"/>
    <n v="411.38"/>
  </r>
  <r>
    <x v="780"/>
    <x v="4"/>
    <x v="1"/>
    <x v="3"/>
    <n v="1"/>
    <n v="526"/>
    <n v="108.88"/>
  </r>
  <r>
    <x v="477"/>
    <x v="6"/>
    <x v="1"/>
    <x v="3"/>
    <n v="9"/>
    <n v="5220"/>
    <n v="1324.01"/>
  </r>
  <r>
    <x v="477"/>
    <x v="0"/>
    <x v="0"/>
    <x v="0"/>
    <n v="9"/>
    <n v="1737"/>
    <n v="152.97999999999999"/>
  </r>
  <r>
    <x v="781"/>
    <x v="1"/>
    <x v="1"/>
    <x v="3"/>
    <n v="6"/>
    <n v="3186"/>
    <n v="841.04"/>
  </r>
  <r>
    <x v="616"/>
    <x v="7"/>
    <x v="2"/>
    <x v="3"/>
    <n v="6"/>
    <n v="7014"/>
    <n v="1202.25"/>
  </r>
  <r>
    <x v="386"/>
    <x v="1"/>
    <x v="1"/>
    <x v="2"/>
    <n v="9"/>
    <n v="3411"/>
    <n v="444.87"/>
  </r>
  <r>
    <x v="761"/>
    <x v="6"/>
    <x v="1"/>
    <x v="1"/>
    <n v="1"/>
    <n v="513"/>
    <n v="87.58"/>
  </r>
  <r>
    <x v="782"/>
    <x v="7"/>
    <x v="2"/>
    <x v="3"/>
    <n v="1"/>
    <n v="1104"/>
    <n v="277.85000000000002"/>
  </r>
  <r>
    <x v="783"/>
    <x v="7"/>
    <x v="2"/>
    <x v="1"/>
    <n v="9"/>
    <n v="2718"/>
    <n v="271.51"/>
  </r>
  <r>
    <x v="654"/>
    <x v="4"/>
    <x v="1"/>
    <x v="0"/>
    <n v="6"/>
    <n v="1662"/>
    <n v="416.3"/>
  </r>
  <r>
    <x v="309"/>
    <x v="1"/>
    <x v="1"/>
    <x v="3"/>
    <n v="5"/>
    <n v="1700"/>
    <n v="360.59"/>
  </r>
  <r>
    <x v="486"/>
    <x v="2"/>
    <x v="2"/>
    <x v="2"/>
    <n v="4"/>
    <n v="2932"/>
    <n v="597.65"/>
  </r>
  <r>
    <x v="533"/>
    <x v="1"/>
    <x v="1"/>
    <x v="0"/>
    <n v="4"/>
    <n v="3604"/>
    <n v="971.14"/>
  </r>
  <r>
    <x v="38"/>
    <x v="3"/>
    <x v="2"/>
    <x v="3"/>
    <n v="4"/>
    <n v="4596"/>
    <n v="553.58000000000004"/>
  </r>
  <r>
    <x v="75"/>
    <x v="5"/>
    <x v="2"/>
    <x v="1"/>
    <n v="6"/>
    <n v="930"/>
    <n v="68.239999999999995"/>
  </r>
  <r>
    <x v="96"/>
    <x v="2"/>
    <x v="2"/>
    <x v="0"/>
    <n v="3"/>
    <n v="2790"/>
    <n v="470.93"/>
  </r>
  <r>
    <x v="371"/>
    <x v="7"/>
    <x v="2"/>
    <x v="0"/>
    <n v="6"/>
    <n v="4596"/>
    <n v="1162.75"/>
  </r>
  <r>
    <x v="499"/>
    <x v="8"/>
    <x v="1"/>
    <x v="2"/>
    <n v="1"/>
    <n v="962"/>
    <n v="260.27999999999997"/>
  </r>
  <r>
    <x v="784"/>
    <x v="7"/>
    <x v="2"/>
    <x v="0"/>
    <n v="1"/>
    <n v="92"/>
    <n v="14.88"/>
  </r>
  <r>
    <x v="158"/>
    <x v="8"/>
    <x v="1"/>
    <x v="0"/>
    <n v="5"/>
    <n v="1130"/>
    <n v="254.99"/>
  </r>
  <r>
    <x v="423"/>
    <x v="4"/>
    <x v="1"/>
    <x v="1"/>
    <n v="6"/>
    <n v="6024"/>
    <n v="1706.41"/>
  </r>
  <r>
    <x v="750"/>
    <x v="0"/>
    <x v="0"/>
    <x v="2"/>
    <n v="1"/>
    <n v="879"/>
    <n v="135"/>
  </r>
  <r>
    <x v="437"/>
    <x v="6"/>
    <x v="1"/>
    <x v="1"/>
    <n v="8"/>
    <n v="2384"/>
    <n v="444.98"/>
  </r>
  <r>
    <x v="366"/>
    <x v="3"/>
    <x v="2"/>
    <x v="2"/>
    <n v="4"/>
    <n v="4644"/>
    <n v="277.26"/>
  </r>
  <r>
    <x v="758"/>
    <x v="8"/>
    <x v="1"/>
    <x v="1"/>
    <n v="1"/>
    <n v="607"/>
    <n v="79.78"/>
  </r>
  <r>
    <x v="464"/>
    <x v="1"/>
    <x v="1"/>
    <x v="2"/>
    <n v="7"/>
    <n v="770"/>
    <n v="129.11000000000001"/>
  </r>
  <r>
    <x v="785"/>
    <x v="8"/>
    <x v="1"/>
    <x v="2"/>
    <n v="1"/>
    <n v="711"/>
    <n v="158.88999999999999"/>
  </r>
  <r>
    <x v="786"/>
    <x v="8"/>
    <x v="1"/>
    <x v="2"/>
    <n v="2"/>
    <n v="1088"/>
    <n v="235.83"/>
  </r>
  <r>
    <x v="20"/>
    <x v="9"/>
    <x v="2"/>
    <x v="1"/>
    <n v="7"/>
    <n v="4704"/>
    <n v="513.14"/>
  </r>
  <r>
    <x v="787"/>
    <x v="9"/>
    <x v="2"/>
    <x v="1"/>
    <n v="5"/>
    <n v="660"/>
    <n v="90.86"/>
  </r>
  <r>
    <x v="788"/>
    <x v="4"/>
    <x v="1"/>
    <x v="2"/>
    <n v="5"/>
    <n v="4680"/>
    <n v="516.26"/>
  </r>
  <r>
    <x v="789"/>
    <x v="3"/>
    <x v="2"/>
    <x v="1"/>
    <n v="7"/>
    <n v="6797"/>
    <n v="665.29"/>
  </r>
  <r>
    <x v="731"/>
    <x v="1"/>
    <x v="1"/>
    <x v="0"/>
    <n v="9"/>
    <n v="558"/>
    <n v="38.86"/>
  </r>
  <r>
    <x v="280"/>
    <x v="6"/>
    <x v="1"/>
    <x v="1"/>
    <n v="4"/>
    <n v="4496"/>
    <n v="1115.75"/>
  </r>
  <r>
    <x v="670"/>
    <x v="8"/>
    <x v="1"/>
    <x v="2"/>
    <n v="1"/>
    <n v="713"/>
    <n v="62.78"/>
  </r>
  <r>
    <x v="653"/>
    <x v="3"/>
    <x v="2"/>
    <x v="1"/>
    <n v="2"/>
    <n v="1310"/>
    <n v="212.43"/>
  </r>
  <r>
    <x v="502"/>
    <x v="8"/>
    <x v="1"/>
    <x v="3"/>
    <n v="9"/>
    <n v="2853"/>
    <n v="564.04999999999995"/>
  </r>
  <r>
    <x v="159"/>
    <x v="3"/>
    <x v="2"/>
    <x v="2"/>
    <n v="2"/>
    <n v="2324"/>
    <n v="516.05999999999995"/>
  </r>
  <r>
    <x v="397"/>
    <x v="9"/>
    <x v="2"/>
    <x v="0"/>
    <n v="1"/>
    <n v="330"/>
    <n v="53.42"/>
  </r>
  <r>
    <x v="247"/>
    <x v="3"/>
    <x v="2"/>
    <x v="2"/>
    <n v="3"/>
    <n v="588"/>
    <n v="100.52"/>
  </r>
  <r>
    <x v="517"/>
    <x v="7"/>
    <x v="2"/>
    <x v="1"/>
    <n v="1"/>
    <n v="63"/>
    <n v="11.91"/>
  </r>
  <r>
    <x v="532"/>
    <x v="2"/>
    <x v="2"/>
    <x v="1"/>
    <n v="7"/>
    <n v="847"/>
    <n v="147.71"/>
  </r>
  <r>
    <x v="168"/>
    <x v="0"/>
    <x v="0"/>
    <x v="1"/>
    <n v="1"/>
    <n v="1037"/>
    <n v="56.89"/>
  </r>
  <r>
    <x v="790"/>
    <x v="1"/>
    <x v="1"/>
    <x v="0"/>
    <n v="1"/>
    <n v="373"/>
    <n v="72.17"/>
  </r>
  <r>
    <x v="119"/>
    <x v="9"/>
    <x v="2"/>
    <x v="0"/>
    <n v="1"/>
    <n v="1176"/>
    <n v="157.47"/>
  </r>
  <r>
    <x v="182"/>
    <x v="7"/>
    <x v="2"/>
    <x v="1"/>
    <n v="3"/>
    <n v="2139"/>
    <n v="422.52"/>
  </r>
  <r>
    <x v="731"/>
    <x v="6"/>
    <x v="1"/>
    <x v="3"/>
    <n v="9"/>
    <n v="4140"/>
    <n v="301.12"/>
  </r>
  <r>
    <x v="791"/>
    <x v="9"/>
    <x v="2"/>
    <x v="0"/>
    <n v="1"/>
    <n v="1038"/>
    <n v="63.23"/>
  </r>
  <r>
    <x v="311"/>
    <x v="6"/>
    <x v="1"/>
    <x v="1"/>
    <n v="8"/>
    <n v="2024"/>
    <n v="203.11"/>
  </r>
  <r>
    <x v="102"/>
    <x v="5"/>
    <x v="2"/>
    <x v="2"/>
    <n v="6"/>
    <n v="6624"/>
    <n v="1136.0899999999999"/>
  </r>
  <r>
    <x v="276"/>
    <x v="5"/>
    <x v="2"/>
    <x v="1"/>
    <n v="7"/>
    <n v="5019"/>
    <n v="1154.79"/>
  </r>
  <r>
    <x v="404"/>
    <x v="7"/>
    <x v="2"/>
    <x v="1"/>
    <n v="5"/>
    <n v="750"/>
    <n v="207.77"/>
  </r>
  <r>
    <x v="580"/>
    <x v="3"/>
    <x v="2"/>
    <x v="0"/>
    <n v="7"/>
    <n v="6461"/>
    <n v="1455.36"/>
  </r>
  <r>
    <x v="609"/>
    <x v="2"/>
    <x v="2"/>
    <x v="3"/>
    <n v="6"/>
    <n v="2946"/>
    <n v="208.01"/>
  </r>
  <r>
    <x v="342"/>
    <x v="6"/>
    <x v="1"/>
    <x v="2"/>
    <n v="1"/>
    <n v="618"/>
    <n v="81.040000000000006"/>
  </r>
  <r>
    <x v="743"/>
    <x v="0"/>
    <x v="0"/>
    <x v="2"/>
    <n v="2"/>
    <n v="1774"/>
    <n v="322.49"/>
  </r>
  <r>
    <x v="2"/>
    <x v="3"/>
    <x v="2"/>
    <x v="1"/>
    <n v="9"/>
    <n v="8586"/>
    <n v="700.37"/>
  </r>
  <r>
    <x v="792"/>
    <x v="9"/>
    <x v="2"/>
    <x v="2"/>
    <n v="5"/>
    <n v="2000"/>
    <n v="232.41"/>
  </r>
  <r>
    <x v="390"/>
    <x v="1"/>
    <x v="1"/>
    <x v="1"/>
    <n v="1"/>
    <n v="849"/>
    <n v="205.88"/>
  </r>
  <r>
    <x v="162"/>
    <x v="1"/>
    <x v="1"/>
    <x v="1"/>
    <n v="6"/>
    <n v="3186"/>
    <n v="374.63"/>
  </r>
  <r>
    <x v="405"/>
    <x v="6"/>
    <x v="1"/>
    <x v="2"/>
    <n v="4"/>
    <n v="2536"/>
    <n v="495.13"/>
  </r>
  <r>
    <x v="321"/>
    <x v="5"/>
    <x v="2"/>
    <x v="2"/>
    <n v="2"/>
    <n v="1306"/>
    <n v="228.41"/>
  </r>
  <r>
    <x v="658"/>
    <x v="2"/>
    <x v="2"/>
    <x v="1"/>
    <n v="3"/>
    <n v="2508"/>
    <n v="631.85"/>
  </r>
  <r>
    <x v="164"/>
    <x v="2"/>
    <x v="2"/>
    <x v="0"/>
    <n v="8"/>
    <n v="1048"/>
    <n v="107.56"/>
  </r>
  <r>
    <x v="511"/>
    <x v="8"/>
    <x v="1"/>
    <x v="1"/>
    <n v="4"/>
    <n v="1516"/>
    <n v="256.95999999999998"/>
  </r>
  <r>
    <x v="117"/>
    <x v="7"/>
    <x v="2"/>
    <x v="3"/>
    <n v="9"/>
    <n v="10458"/>
    <n v="1835.21"/>
  </r>
  <r>
    <x v="229"/>
    <x v="4"/>
    <x v="1"/>
    <x v="1"/>
    <n v="9"/>
    <n v="2754"/>
    <n v="259.16000000000003"/>
  </r>
  <r>
    <x v="711"/>
    <x v="0"/>
    <x v="0"/>
    <x v="3"/>
    <n v="4"/>
    <n v="3432"/>
    <n v="364.27"/>
  </r>
  <r>
    <x v="793"/>
    <x v="6"/>
    <x v="1"/>
    <x v="2"/>
    <n v="2"/>
    <n v="1234"/>
    <n v="257.89"/>
  </r>
  <r>
    <x v="794"/>
    <x v="6"/>
    <x v="1"/>
    <x v="1"/>
    <n v="1"/>
    <n v="847"/>
    <n v="146.25"/>
  </r>
  <r>
    <x v="139"/>
    <x v="8"/>
    <x v="1"/>
    <x v="2"/>
    <n v="7"/>
    <n v="7672"/>
    <n v="896.11"/>
  </r>
  <r>
    <x v="758"/>
    <x v="6"/>
    <x v="1"/>
    <x v="0"/>
    <n v="9"/>
    <n v="7596"/>
    <n v="1454.15"/>
  </r>
  <r>
    <x v="795"/>
    <x v="8"/>
    <x v="1"/>
    <x v="1"/>
    <n v="7"/>
    <n v="7252"/>
    <n v="1357.27"/>
  </r>
  <r>
    <x v="227"/>
    <x v="5"/>
    <x v="2"/>
    <x v="3"/>
    <n v="6"/>
    <n v="732"/>
    <n v="136.59"/>
  </r>
  <r>
    <x v="128"/>
    <x v="7"/>
    <x v="2"/>
    <x v="3"/>
    <n v="1"/>
    <n v="173"/>
    <n v="20.96"/>
  </r>
  <r>
    <x v="26"/>
    <x v="3"/>
    <x v="2"/>
    <x v="0"/>
    <n v="3"/>
    <n v="2805"/>
    <n v="749.5"/>
  </r>
  <r>
    <x v="796"/>
    <x v="7"/>
    <x v="2"/>
    <x v="3"/>
    <n v="8"/>
    <n v="7048"/>
    <n v="391.96"/>
  </r>
  <r>
    <x v="797"/>
    <x v="1"/>
    <x v="1"/>
    <x v="1"/>
    <n v="6"/>
    <n v="4698"/>
    <n v="1020.11"/>
  </r>
  <r>
    <x v="607"/>
    <x v="5"/>
    <x v="2"/>
    <x v="2"/>
    <n v="1"/>
    <n v="565"/>
    <n v="148.79"/>
  </r>
  <r>
    <x v="427"/>
    <x v="6"/>
    <x v="1"/>
    <x v="0"/>
    <n v="1"/>
    <n v="672"/>
    <n v="198.75"/>
  </r>
  <r>
    <x v="798"/>
    <x v="3"/>
    <x v="2"/>
    <x v="2"/>
    <n v="6"/>
    <n v="2604"/>
    <n v="566.34"/>
  </r>
  <r>
    <x v="678"/>
    <x v="2"/>
    <x v="2"/>
    <x v="3"/>
    <n v="6"/>
    <n v="5124"/>
    <n v="501.5"/>
  </r>
  <r>
    <x v="201"/>
    <x v="5"/>
    <x v="2"/>
    <x v="3"/>
    <n v="5"/>
    <n v="2455"/>
    <n v="714.35"/>
  </r>
  <r>
    <x v="799"/>
    <x v="0"/>
    <x v="0"/>
    <x v="0"/>
    <n v="2"/>
    <n v="1796"/>
    <n v="225.15"/>
  </r>
  <r>
    <x v="676"/>
    <x v="9"/>
    <x v="2"/>
    <x v="2"/>
    <n v="1"/>
    <n v="288"/>
    <n v="61.85"/>
  </r>
  <r>
    <x v="476"/>
    <x v="9"/>
    <x v="2"/>
    <x v="0"/>
    <n v="5"/>
    <n v="2160"/>
    <n v="553.41"/>
  </r>
  <r>
    <x v="149"/>
    <x v="2"/>
    <x v="2"/>
    <x v="3"/>
    <n v="1"/>
    <n v="105"/>
    <n v="27.36"/>
  </r>
  <r>
    <x v="345"/>
    <x v="6"/>
    <x v="1"/>
    <x v="2"/>
    <n v="9"/>
    <n v="7578"/>
    <n v="1596.64"/>
  </r>
  <r>
    <x v="563"/>
    <x v="4"/>
    <x v="1"/>
    <x v="2"/>
    <n v="1"/>
    <n v="365"/>
    <n v="50.1"/>
  </r>
  <r>
    <x v="800"/>
    <x v="3"/>
    <x v="2"/>
    <x v="3"/>
    <n v="8"/>
    <n v="3752"/>
    <n v="537.98"/>
  </r>
  <r>
    <x v="200"/>
    <x v="8"/>
    <x v="1"/>
    <x v="0"/>
    <n v="2"/>
    <n v="1384"/>
    <n v="316.20999999999998"/>
  </r>
  <r>
    <x v="801"/>
    <x v="7"/>
    <x v="2"/>
    <x v="3"/>
    <n v="5"/>
    <n v="475"/>
    <n v="76.22"/>
  </r>
  <r>
    <x v="188"/>
    <x v="0"/>
    <x v="0"/>
    <x v="3"/>
    <n v="4"/>
    <n v="1116"/>
    <n v="242.31"/>
  </r>
  <r>
    <x v="354"/>
    <x v="7"/>
    <x v="2"/>
    <x v="3"/>
    <n v="1"/>
    <n v="137"/>
    <n v="39.35"/>
  </r>
  <r>
    <x v="187"/>
    <x v="4"/>
    <x v="1"/>
    <x v="2"/>
    <n v="6"/>
    <n v="738"/>
    <n v="158.96"/>
  </r>
  <r>
    <x v="6"/>
    <x v="3"/>
    <x v="2"/>
    <x v="3"/>
    <n v="3"/>
    <n v="1821"/>
    <n v="543.01"/>
  </r>
  <r>
    <x v="802"/>
    <x v="8"/>
    <x v="1"/>
    <x v="3"/>
    <n v="7"/>
    <n v="3654"/>
    <n v="670.16"/>
  </r>
  <r>
    <x v="340"/>
    <x v="8"/>
    <x v="1"/>
    <x v="1"/>
    <n v="6"/>
    <n v="2592"/>
    <n v="404.89"/>
  </r>
  <r>
    <x v="803"/>
    <x v="3"/>
    <x v="2"/>
    <x v="1"/>
    <n v="6"/>
    <n v="996"/>
    <n v="225.75"/>
  </r>
  <r>
    <x v="180"/>
    <x v="1"/>
    <x v="1"/>
    <x v="0"/>
    <n v="1"/>
    <n v="693"/>
    <n v="62.75"/>
  </r>
  <r>
    <x v="126"/>
    <x v="8"/>
    <x v="1"/>
    <x v="1"/>
    <n v="3"/>
    <n v="513"/>
    <n v="48.23"/>
  </r>
  <r>
    <x v="432"/>
    <x v="5"/>
    <x v="2"/>
    <x v="1"/>
    <n v="8"/>
    <n v="5736"/>
    <n v="937.62"/>
  </r>
  <r>
    <x v="98"/>
    <x v="1"/>
    <x v="1"/>
    <x v="1"/>
    <n v="2"/>
    <n v="1458"/>
    <n v="208.93"/>
  </r>
  <r>
    <x v="553"/>
    <x v="7"/>
    <x v="2"/>
    <x v="1"/>
    <n v="8"/>
    <n v="5496"/>
    <n v="1104.93"/>
  </r>
  <r>
    <x v="804"/>
    <x v="2"/>
    <x v="2"/>
    <x v="0"/>
    <n v="3"/>
    <n v="3183"/>
    <n v="358.87"/>
  </r>
  <r>
    <x v="346"/>
    <x v="4"/>
    <x v="1"/>
    <x v="1"/>
    <n v="6"/>
    <n v="3990"/>
    <n v="975.5"/>
  </r>
  <r>
    <x v="805"/>
    <x v="7"/>
    <x v="2"/>
    <x v="3"/>
    <n v="2"/>
    <n v="582"/>
    <n v="76.45"/>
  </r>
  <r>
    <x v="806"/>
    <x v="0"/>
    <x v="0"/>
    <x v="2"/>
    <n v="5"/>
    <n v="3340"/>
    <n v="845.53"/>
  </r>
  <r>
    <x v="614"/>
    <x v="6"/>
    <x v="1"/>
    <x v="3"/>
    <n v="1"/>
    <n v="890"/>
    <n v="59.1"/>
  </r>
  <r>
    <x v="807"/>
    <x v="0"/>
    <x v="0"/>
    <x v="1"/>
    <n v="6"/>
    <n v="4890"/>
    <n v="689.01"/>
  </r>
  <r>
    <x v="668"/>
    <x v="8"/>
    <x v="1"/>
    <x v="1"/>
    <n v="3"/>
    <n v="2625"/>
    <n v="349.61"/>
  </r>
  <r>
    <x v="415"/>
    <x v="5"/>
    <x v="2"/>
    <x v="0"/>
    <n v="4"/>
    <n v="1440"/>
    <n v="200.09"/>
  </r>
  <r>
    <x v="618"/>
    <x v="4"/>
    <x v="1"/>
    <x v="0"/>
    <n v="5"/>
    <n v="505"/>
    <n v="93.85"/>
  </r>
  <r>
    <x v="245"/>
    <x v="9"/>
    <x v="2"/>
    <x v="0"/>
    <n v="8"/>
    <n v="8192"/>
    <n v="1822.87"/>
  </r>
  <r>
    <x v="479"/>
    <x v="8"/>
    <x v="1"/>
    <x v="1"/>
    <n v="3"/>
    <n v="1920"/>
    <n v="144.30000000000001"/>
  </r>
  <r>
    <x v="264"/>
    <x v="5"/>
    <x v="2"/>
    <x v="3"/>
    <n v="8"/>
    <n v="8768"/>
    <n v="1065.8"/>
  </r>
  <r>
    <x v="808"/>
    <x v="1"/>
    <x v="1"/>
    <x v="0"/>
    <n v="1"/>
    <n v="1140"/>
    <n v="117.05"/>
  </r>
  <r>
    <x v="744"/>
    <x v="9"/>
    <x v="2"/>
    <x v="0"/>
    <n v="4"/>
    <n v="952"/>
    <n v="264.61"/>
  </r>
  <r>
    <x v="348"/>
    <x v="7"/>
    <x v="2"/>
    <x v="0"/>
    <n v="1"/>
    <n v="225"/>
    <n v="51.07"/>
  </r>
  <r>
    <x v="306"/>
    <x v="0"/>
    <x v="0"/>
    <x v="2"/>
    <n v="4"/>
    <n v="1304"/>
    <n v="336.95"/>
  </r>
  <r>
    <x v="22"/>
    <x v="3"/>
    <x v="2"/>
    <x v="1"/>
    <n v="3"/>
    <n v="1029"/>
    <n v="206.83"/>
  </r>
  <r>
    <x v="544"/>
    <x v="0"/>
    <x v="0"/>
    <x v="2"/>
    <n v="3"/>
    <n v="3402"/>
    <n v="442.67"/>
  </r>
  <r>
    <x v="82"/>
    <x v="9"/>
    <x v="2"/>
    <x v="0"/>
    <n v="9"/>
    <n v="8460"/>
    <n v="1201.94"/>
  </r>
  <r>
    <x v="588"/>
    <x v="6"/>
    <x v="1"/>
    <x v="0"/>
    <n v="1"/>
    <n v="104"/>
    <n v="26.86"/>
  </r>
  <r>
    <x v="700"/>
    <x v="6"/>
    <x v="1"/>
    <x v="3"/>
    <n v="9"/>
    <n v="10665"/>
    <n v="1595.08"/>
  </r>
  <r>
    <x v="212"/>
    <x v="5"/>
    <x v="2"/>
    <x v="1"/>
    <n v="8"/>
    <n v="984"/>
    <n v="183.07"/>
  </r>
  <r>
    <x v="314"/>
    <x v="7"/>
    <x v="2"/>
    <x v="0"/>
    <n v="4"/>
    <n v="2064"/>
    <n v="359.3"/>
  </r>
  <r>
    <x v="123"/>
    <x v="9"/>
    <x v="2"/>
    <x v="0"/>
    <n v="2"/>
    <n v="594"/>
    <n v="172.47"/>
  </r>
  <r>
    <x v="809"/>
    <x v="0"/>
    <x v="0"/>
    <x v="2"/>
    <n v="8"/>
    <n v="6016"/>
    <n v="898.33"/>
  </r>
  <r>
    <x v="589"/>
    <x v="7"/>
    <x v="2"/>
    <x v="0"/>
    <n v="8"/>
    <n v="2864"/>
    <n v="195.16"/>
  </r>
  <r>
    <x v="426"/>
    <x v="2"/>
    <x v="2"/>
    <x v="0"/>
    <n v="4"/>
    <n v="724"/>
    <n v="186.95"/>
  </r>
  <r>
    <x v="490"/>
    <x v="1"/>
    <x v="1"/>
    <x v="1"/>
    <n v="6"/>
    <n v="4098"/>
    <n v="1174.46"/>
  </r>
  <r>
    <x v="810"/>
    <x v="6"/>
    <x v="1"/>
    <x v="0"/>
    <n v="1"/>
    <n v="338"/>
    <n v="32.61"/>
  </r>
  <r>
    <x v="811"/>
    <x v="0"/>
    <x v="0"/>
    <x v="3"/>
    <n v="8"/>
    <n v="9280"/>
    <n v="1596.88"/>
  </r>
  <r>
    <x v="812"/>
    <x v="5"/>
    <x v="2"/>
    <x v="1"/>
    <n v="1"/>
    <n v="890"/>
    <n v="57.04"/>
  </r>
  <r>
    <x v="621"/>
    <x v="2"/>
    <x v="2"/>
    <x v="2"/>
    <n v="2"/>
    <n v="1790"/>
    <n v="442.75"/>
  </r>
  <r>
    <x v="487"/>
    <x v="2"/>
    <x v="2"/>
    <x v="0"/>
    <n v="9"/>
    <n v="8523"/>
    <n v="978.97"/>
  </r>
  <r>
    <x v="801"/>
    <x v="4"/>
    <x v="1"/>
    <x v="3"/>
    <n v="9"/>
    <n v="7776"/>
    <n v="677.74"/>
  </r>
  <r>
    <x v="541"/>
    <x v="1"/>
    <x v="1"/>
    <x v="0"/>
    <n v="7"/>
    <n v="3031"/>
    <n v="417.5"/>
  </r>
  <r>
    <x v="186"/>
    <x v="3"/>
    <x v="2"/>
    <x v="2"/>
    <n v="9"/>
    <n v="4698"/>
    <n v="1262.47"/>
  </r>
  <r>
    <x v="347"/>
    <x v="8"/>
    <x v="1"/>
    <x v="3"/>
    <n v="9"/>
    <n v="4851"/>
    <n v="1408.41"/>
  </r>
  <r>
    <x v="357"/>
    <x v="3"/>
    <x v="2"/>
    <x v="1"/>
    <n v="6"/>
    <n v="4542"/>
    <n v="1169.1600000000001"/>
  </r>
  <r>
    <x v="813"/>
    <x v="4"/>
    <x v="1"/>
    <x v="0"/>
    <n v="2"/>
    <n v="978"/>
    <n v="210.75"/>
  </r>
  <r>
    <x v="814"/>
    <x v="1"/>
    <x v="1"/>
    <x v="2"/>
    <n v="9"/>
    <n v="9378"/>
    <n v="1740.97"/>
  </r>
  <r>
    <x v="665"/>
    <x v="5"/>
    <x v="2"/>
    <x v="0"/>
    <n v="8"/>
    <n v="9464"/>
    <n v="2043.73"/>
  </r>
  <r>
    <x v="447"/>
    <x v="0"/>
    <x v="0"/>
    <x v="3"/>
    <n v="8"/>
    <n v="1720"/>
    <n v="401.26"/>
  </r>
  <r>
    <x v="568"/>
    <x v="8"/>
    <x v="1"/>
    <x v="3"/>
    <n v="8"/>
    <n v="4752"/>
    <n v="1124.22"/>
  </r>
  <r>
    <x v="320"/>
    <x v="8"/>
    <x v="1"/>
    <x v="2"/>
    <n v="4"/>
    <n v="584"/>
    <n v="127.28"/>
  </r>
  <r>
    <x v="311"/>
    <x v="3"/>
    <x v="2"/>
    <x v="0"/>
    <n v="9"/>
    <n v="4554"/>
    <n v="1031.0899999999999"/>
  </r>
  <r>
    <x v="692"/>
    <x v="2"/>
    <x v="2"/>
    <x v="2"/>
    <n v="2"/>
    <n v="2392"/>
    <n v="483.39"/>
  </r>
  <r>
    <x v="159"/>
    <x v="3"/>
    <x v="2"/>
    <x v="2"/>
    <n v="7"/>
    <n v="3962"/>
    <n v="916.13"/>
  </r>
  <r>
    <x v="722"/>
    <x v="9"/>
    <x v="2"/>
    <x v="0"/>
    <n v="3"/>
    <n v="1308"/>
    <n v="141.04"/>
  </r>
  <r>
    <x v="124"/>
    <x v="0"/>
    <x v="0"/>
    <x v="2"/>
    <n v="8"/>
    <n v="5912"/>
    <n v="1153.18"/>
  </r>
  <r>
    <x v="253"/>
    <x v="3"/>
    <x v="2"/>
    <x v="2"/>
    <n v="7"/>
    <n v="5831"/>
    <n v="1416.31"/>
  </r>
  <r>
    <x v="815"/>
    <x v="3"/>
    <x v="2"/>
    <x v="3"/>
    <n v="7"/>
    <n v="5572"/>
    <n v="690.68"/>
  </r>
  <r>
    <x v="138"/>
    <x v="6"/>
    <x v="1"/>
    <x v="0"/>
    <n v="6"/>
    <n v="5214"/>
    <n v="1093.04"/>
  </r>
  <r>
    <x v="316"/>
    <x v="1"/>
    <x v="1"/>
    <x v="1"/>
    <n v="9"/>
    <n v="6705"/>
    <n v="1283.78"/>
  </r>
  <r>
    <x v="438"/>
    <x v="4"/>
    <x v="1"/>
    <x v="0"/>
    <n v="1"/>
    <n v="426"/>
    <n v="93.83"/>
  </r>
  <r>
    <x v="177"/>
    <x v="7"/>
    <x v="2"/>
    <x v="3"/>
    <n v="2"/>
    <n v="2204"/>
    <n v="523.82000000000005"/>
  </r>
  <r>
    <x v="286"/>
    <x v="7"/>
    <x v="2"/>
    <x v="0"/>
    <n v="3"/>
    <n v="2652"/>
    <n v="161.66999999999999"/>
  </r>
  <r>
    <x v="459"/>
    <x v="0"/>
    <x v="0"/>
    <x v="2"/>
    <n v="6"/>
    <n v="3132"/>
    <n v="919.52"/>
  </r>
  <r>
    <x v="712"/>
    <x v="0"/>
    <x v="0"/>
    <x v="3"/>
    <n v="5"/>
    <n v="1830"/>
    <n v="437.35"/>
  </r>
  <r>
    <x v="739"/>
    <x v="9"/>
    <x v="2"/>
    <x v="1"/>
    <n v="9"/>
    <n v="2763"/>
    <n v="676.25"/>
  </r>
  <r>
    <x v="816"/>
    <x v="6"/>
    <x v="1"/>
    <x v="0"/>
    <n v="8"/>
    <n v="9056"/>
    <n v="2281.9699999999998"/>
  </r>
  <r>
    <x v="149"/>
    <x v="3"/>
    <x v="2"/>
    <x v="0"/>
    <n v="7"/>
    <n v="5439"/>
    <n v="1416.62"/>
  </r>
  <r>
    <x v="306"/>
    <x v="3"/>
    <x v="2"/>
    <x v="2"/>
    <n v="6"/>
    <n v="828"/>
    <n v="47.91"/>
  </r>
  <r>
    <x v="244"/>
    <x v="5"/>
    <x v="2"/>
    <x v="1"/>
    <n v="5"/>
    <n v="1910"/>
    <n v="463.07"/>
  </r>
  <r>
    <x v="817"/>
    <x v="2"/>
    <x v="2"/>
    <x v="0"/>
    <n v="2"/>
    <n v="1874"/>
    <n v="333.86"/>
  </r>
  <r>
    <x v="786"/>
    <x v="1"/>
    <x v="1"/>
    <x v="1"/>
    <n v="1"/>
    <n v="1032"/>
    <n v="291.41000000000003"/>
  </r>
  <r>
    <x v="334"/>
    <x v="8"/>
    <x v="1"/>
    <x v="1"/>
    <n v="3"/>
    <n v="3264"/>
    <n v="556.86"/>
  </r>
  <r>
    <x v="818"/>
    <x v="7"/>
    <x v="2"/>
    <x v="3"/>
    <n v="1"/>
    <n v="877"/>
    <n v="110.99"/>
  </r>
  <r>
    <x v="369"/>
    <x v="3"/>
    <x v="2"/>
    <x v="0"/>
    <n v="3"/>
    <n v="924"/>
    <n v="183.18"/>
  </r>
  <r>
    <x v="621"/>
    <x v="3"/>
    <x v="2"/>
    <x v="3"/>
    <n v="3"/>
    <n v="417"/>
    <n v="114.42"/>
  </r>
  <r>
    <x v="819"/>
    <x v="9"/>
    <x v="2"/>
    <x v="3"/>
    <n v="5"/>
    <n v="2670"/>
    <n v="155.88999999999999"/>
  </r>
  <r>
    <x v="113"/>
    <x v="8"/>
    <x v="1"/>
    <x v="2"/>
    <n v="7"/>
    <n v="2716"/>
    <n v="512.09"/>
  </r>
  <r>
    <x v="698"/>
    <x v="4"/>
    <x v="1"/>
    <x v="3"/>
    <n v="9"/>
    <n v="10134"/>
    <n v="1334.37"/>
  </r>
  <r>
    <x v="260"/>
    <x v="6"/>
    <x v="1"/>
    <x v="0"/>
    <n v="5"/>
    <n v="5500"/>
    <n v="1230.98"/>
  </r>
  <r>
    <x v="820"/>
    <x v="2"/>
    <x v="2"/>
    <x v="1"/>
    <n v="6"/>
    <n v="6228"/>
    <n v="1756.82"/>
  </r>
  <r>
    <x v="821"/>
    <x v="9"/>
    <x v="2"/>
    <x v="3"/>
    <n v="7"/>
    <n v="1092"/>
    <n v="274.77"/>
  </r>
  <r>
    <x v="96"/>
    <x v="6"/>
    <x v="1"/>
    <x v="3"/>
    <n v="5"/>
    <n v="3255"/>
    <n v="332.54"/>
  </r>
  <r>
    <x v="620"/>
    <x v="2"/>
    <x v="2"/>
    <x v="3"/>
    <n v="5"/>
    <n v="5645"/>
    <n v="1320.86"/>
  </r>
  <r>
    <x v="541"/>
    <x v="7"/>
    <x v="2"/>
    <x v="0"/>
    <n v="9"/>
    <n v="7578"/>
    <n v="466.87"/>
  </r>
  <r>
    <x v="364"/>
    <x v="8"/>
    <x v="1"/>
    <x v="2"/>
    <n v="9"/>
    <n v="6282"/>
    <n v="1594.61"/>
  </r>
  <r>
    <x v="343"/>
    <x v="9"/>
    <x v="2"/>
    <x v="2"/>
    <n v="6"/>
    <n v="2364"/>
    <n v="639.29"/>
  </r>
  <r>
    <x v="706"/>
    <x v="8"/>
    <x v="1"/>
    <x v="0"/>
    <n v="8"/>
    <n v="6880"/>
    <n v="1570.91"/>
  </r>
  <r>
    <x v="822"/>
    <x v="7"/>
    <x v="2"/>
    <x v="1"/>
    <n v="6"/>
    <n v="3288"/>
    <n v="249.02"/>
  </r>
  <r>
    <x v="69"/>
    <x v="6"/>
    <x v="1"/>
    <x v="1"/>
    <n v="6"/>
    <n v="5292"/>
    <n v="659.58"/>
  </r>
  <r>
    <x v="577"/>
    <x v="0"/>
    <x v="0"/>
    <x v="0"/>
    <n v="3"/>
    <n v="3522"/>
    <n v="883.41"/>
  </r>
  <r>
    <x v="727"/>
    <x v="5"/>
    <x v="2"/>
    <x v="3"/>
    <n v="2"/>
    <n v="1518"/>
    <n v="87.6"/>
  </r>
  <r>
    <x v="427"/>
    <x v="2"/>
    <x v="2"/>
    <x v="0"/>
    <n v="7"/>
    <n v="2457"/>
    <n v="690.55"/>
  </r>
  <r>
    <x v="77"/>
    <x v="4"/>
    <x v="1"/>
    <x v="3"/>
    <n v="1"/>
    <n v="309"/>
    <n v="62.08"/>
  </r>
  <r>
    <x v="823"/>
    <x v="6"/>
    <x v="1"/>
    <x v="0"/>
    <n v="6"/>
    <n v="6192"/>
    <n v="717.46"/>
  </r>
  <r>
    <x v="824"/>
    <x v="3"/>
    <x v="2"/>
    <x v="1"/>
    <n v="5"/>
    <n v="4235"/>
    <n v="747.96"/>
  </r>
  <r>
    <x v="581"/>
    <x v="5"/>
    <x v="2"/>
    <x v="0"/>
    <n v="9"/>
    <n v="7128"/>
    <n v="457.11"/>
  </r>
  <r>
    <x v="825"/>
    <x v="2"/>
    <x v="2"/>
    <x v="0"/>
    <n v="5"/>
    <n v="5660"/>
    <n v="641.69000000000005"/>
  </r>
  <r>
    <x v="324"/>
    <x v="7"/>
    <x v="2"/>
    <x v="2"/>
    <n v="1"/>
    <n v="787"/>
    <n v="120.38"/>
  </r>
  <r>
    <x v="514"/>
    <x v="1"/>
    <x v="1"/>
    <x v="3"/>
    <n v="3"/>
    <n v="375"/>
    <n v="107.26"/>
  </r>
  <r>
    <x v="372"/>
    <x v="3"/>
    <x v="2"/>
    <x v="2"/>
    <n v="4"/>
    <n v="296"/>
    <n v="44.79"/>
  </r>
  <r>
    <x v="105"/>
    <x v="8"/>
    <x v="1"/>
    <x v="1"/>
    <n v="6"/>
    <n v="6372"/>
    <n v="570.75"/>
  </r>
  <r>
    <x v="821"/>
    <x v="1"/>
    <x v="1"/>
    <x v="3"/>
    <n v="6"/>
    <n v="2214"/>
    <n v="322.73"/>
  </r>
  <r>
    <x v="389"/>
    <x v="4"/>
    <x v="1"/>
    <x v="2"/>
    <n v="6"/>
    <n v="2640"/>
    <n v="734.44"/>
  </r>
  <r>
    <x v="826"/>
    <x v="3"/>
    <x v="2"/>
    <x v="2"/>
    <n v="7"/>
    <n v="2240"/>
    <n v="580.47"/>
  </r>
  <r>
    <x v="441"/>
    <x v="5"/>
    <x v="2"/>
    <x v="1"/>
    <n v="7"/>
    <n v="6258"/>
    <n v="1347.74"/>
  </r>
  <r>
    <x v="240"/>
    <x v="0"/>
    <x v="0"/>
    <x v="3"/>
    <n v="8"/>
    <n v="3816"/>
    <n v="574.57000000000005"/>
  </r>
  <r>
    <x v="16"/>
    <x v="5"/>
    <x v="2"/>
    <x v="2"/>
    <n v="2"/>
    <n v="390"/>
    <n v="115.48"/>
  </r>
  <r>
    <x v="827"/>
    <x v="2"/>
    <x v="2"/>
    <x v="2"/>
    <n v="7"/>
    <n v="630"/>
    <n v="83.28"/>
  </r>
  <r>
    <x v="156"/>
    <x v="7"/>
    <x v="2"/>
    <x v="2"/>
    <n v="4"/>
    <n v="3868"/>
    <n v="819.26"/>
  </r>
  <r>
    <x v="128"/>
    <x v="6"/>
    <x v="1"/>
    <x v="0"/>
    <n v="1"/>
    <n v="777"/>
    <n v="211.31"/>
  </r>
  <r>
    <x v="828"/>
    <x v="6"/>
    <x v="1"/>
    <x v="0"/>
    <n v="3"/>
    <n v="1347"/>
    <n v="196.59"/>
  </r>
  <r>
    <x v="97"/>
    <x v="9"/>
    <x v="2"/>
    <x v="1"/>
    <n v="9"/>
    <n v="7272"/>
    <n v="500.32"/>
  </r>
  <r>
    <x v="505"/>
    <x v="0"/>
    <x v="0"/>
    <x v="0"/>
    <n v="6"/>
    <n v="5724"/>
    <n v="857.33"/>
  </r>
  <r>
    <x v="829"/>
    <x v="4"/>
    <x v="1"/>
    <x v="3"/>
    <n v="3"/>
    <n v="312"/>
    <n v="74.8"/>
  </r>
  <r>
    <x v="698"/>
    <x v="9"/>
    <x v="2"/>
    <x v="1"/>
    <n v="3"/>
    <n v="1947"/>
    <n v="239.63"/>
  </r>
  <r>
    <x v="6"/>
    <x v="2"/>
    <x v="2"/>
    <x v="0"/>
    <n v="6"/>
    <n v="1128"/>
    <n v="207.97"/>
  </r>
  <r>
    <x v="617"/>
    <x v="9"/>
    <x v="2"/>
    <x v="1"/>
    <n v="9"/>
    <n v="4158"/>
    <n v="672.32"/>
  </r>
  <r>
    <x v="562"/>
    <x v="8"/>
    <x v="1"/>
    <x v="1"/>
    <n v="6"/>
    <n v="2670"/>
    <n v="782.28"/>
  </r>
  <r>
    <x v="678"/>
    <x v="4"/>
    <x v="1"/>
    <x v="1"/>
    <n v="1"/>
    <n v="85"/>
    <n v="17.71"/>
  </r>
  <r>
    <x v="103"/>
    <x v="1"/>
    <x v="1"/>
    <x v="1"/>
    <n v="8"/>
    <n v="4136"/>
    <n v="1056.54"/>
  </r>
  <r>
    <x v="829"/>
    <x v="2"/>
    <x v="2"/>
    <x v="0"/>
    <n v="6"/>
    <n v="4332"/>
    <n v="348.61"/>
  </r>
  <r>
    <x v="827"/>
    <x v="6"/>
    <x v="1"/>
    <x v="0"/>
    <n v="8"/>
    <n v="1600"/>
    <n v="305.3"/>
  </r>
  <r>
    <x v="780"/>
    <x v="2"/>
    <x v="2"/>
    <x v="1"/>
    <n v="7"/>
    <n v="5075"/>
    <n v="471.21"/>
  </r>
  <r>
    <x v="830"/>
    <x v="2"/>
    <x v="2"/>
    <x v="2"/>
    <n v="6"/>
    <n v="4152"/>
    <n v="1065.46"/>
  </r>
  <r>
    <x v="728"/>
    <x v="0"/>
    <x v="0"/>
    <x v="1"/>
    <n v="7"/>
    <n v="5635"/>
    <n v="1665.01"/>
  </r>
  <r>
    <x v="615"/>
    <x v="5"/>
    <x v="2"/>
    <x v="1"/>
    <n v="3"/>
    <n v="3108"/>
    <n v="220.97"/>
  </r>
  <r>
    <x v="781"/>
    <x v="5"/>
    <x v="2"/>
    <x v="2"/>
    <n v="7"/>
    <n v="4270"/>
    <n v="1197.44"/>
  </r>
  <r>
    <x v="831"/>
    <x v="6"/>
    <x v="1"/>
    <x v="3"/>
    <n v="5"/>
    <n v="1350"/>
    <n v="321.89999999999998"/>
  </r>
  <r>
    <x v="588"/>
    <x v="8"/>
    <x v="1"/>
    <x v="1"/>
    <n v="3"/>
    <n v="330"/>
    <n v="81.86"/>
  </r>
  <r>
    <x v="679"/>
    <x v="3"/>
    <x v="2"/>
    <x v="2"/>
    <n v="6"/>
    <n v="4260"/>
    <n v="504.82"/>
  </r>
  <r>
    <x v="462"/>
    <x v="4"/>
    <x v="1"/>
    <x v="0"/>
    <n v="3"/>
    <n v="2712"/>
    <n v="751.52"/>
  </r>
  <r>
    <x v="38"/>
    <x v="7"/>
    <x v="2"/>
    <x v="3"/>
    <n v="1"/>
    <n v="328"/>
    <n v="46.23"/>
  </r>
  <r>
    <x v="162"/>
    <x v="7"/>
    <x v="2"/>
    <x v="3"/>
    <n v="8"/>
    <n v="7776"/>
    <n v="498.6"/>
  </r>
  <r>
    <x v="176"/>
    <x v="9"/>
    <x v="2"/>
    <x v="1"/>
    <n v="4"/>
    <n v="2896"/>
    <n v="522.82000000000005"/>
  </r>
  <r>
    <x v="344"/>
    <x v="2"/>
    <x v="2"/>
    <x v="0"/>
    <n v="2"/>
    <n v="1902"/>
    <n v="388.83"/>
  </r>
  <r>
    <x v="196"/>
    <x v="5"/>
    <x v="2"/>
    <x v="0"/>
    <n v="7"/>
    <n v="3255"/>
    <n v="814.85"/>
  </r>
  <r>
    <x v="520"/>
    <x v="8"/>
    <x v="1"/>
    <x v="0"/>
    <n v="3"/>
    <n v="633"/>
    <n v="162.4"/>
  </r>
  <r>
    <x v="832"/>
    <x v="2"/>
    <x v="2"/>
    <x v="1"/>
    <n v="7"/>
    <n v="6209"/>
    <n v="402.78"/>
  </r>
  <r>
    <x v="175"/>
    <x v="5"/>
    <x v="2"/>
    <x v="1"/>
    <n v="9"/>
    <n v="4698"/>
    <n v="1167.9000000000001"/>
  </r>
  <r>
    <x v="325"/>
    <x v="7"/>
    <x v="2"/>
    <x v="3"/>
    <n v="8"/>
    <n v="7424"/>
    <n v="1878.07"/>
  </r>
  <r>
    <x v="833"/>
    <x v="0"/>
    <x v="0"/>
    <x v="1"/>
    <n v="1"/>
    <n v="498"/>
    <n v="58.3"/>
  </r>
  <r>
    <x v="614"/>
    <x v="4"/>
    <x v="1"/>
    <x v="1"/>
    <n v="1"/>
    <n v="111"/>
    <n v="27.91"/>
  </r>
  <r>
    <x v="641"/>
    <x v="9"/>
    <x v="2"/>
    <x v="0"/>
    <n v="8"/>
    <n v="7520"/>
    <n v="1201.4000000000001"/>
  </r>
  <r>
    <x v="70"/>
    <x v="3"/>
    <x v="2"/>
    <x v="2"/>
    <n v="1"/>
    <n v="182"/>
    <n v="30.97"/>
  </r>
  <r>
    <x v="337"/>
    <x v="1"/>
    <x v="1"/>
    <x v="3"/>
    <n v="5"/>
    <n v="5890"/>
    <n v="309"/>
  </r>
  <r>
    <x v="426"/>
    <x v="9"/>
    <x v="2"/>
    <x v="2"/>
    <n v="4"/>
    <n v="3244"/>
    <n v="357.55"/>
  </r>
  <r>
    <x v="395"/>
    <x v="7"/>
    <x v="2"/>
    <x v="2"/>
    <n v="7"/>
    <n v="5229"/>
    <n v="1058.26"/>
  </r>
  <r>
    <x v="834"/>
    <x v="5"/>
    <x v="2"/>
    <x v="0"/>
    <n v="9"/>
    <n v="5202"/>
    <n v="1271.47"/>
  </r>
  <r>
    <x v="532"/>
    <x v="8"/>
    <x v="1"/>
    <x v="3"/>
    <n v="3"/>
    <n v="438"/>
    <n v="67.430000000000007"/>
  </r>
  <r>
    <x v="835"/>
    <x v="8"/>
    <x v="1"/>
    <x v="1"/>
    <n v="6"/>
    <n v="6900"/>
    <n v="1109.73"/>
  </r>
  <r>
    <x v="37"/>
    <x v="2"/>
    <x v="2"/>
    <x v="1"/>
    <n v="3"/>
    <n v="369"/>
    <n v="36.07"/>
  </r>
  <r>
    <x v="607"/>
    <x v="9"/>
    <x v="2"/>
    <x v="3"/>
    <n v="4"/>
    <n v="4140"/>
    <n v="1229.8499999999999"/>
  </r>
  <r>
    <x v="631"/>
    <x v="0"/>
    <x v="0"/>
    <x v="2"/>
    <n v="3"/>
    <n v="1086"/>
    <n v="188.65"/>
  </r>
  <r>
    <x v="267"/>
    <x v="1"/>
    <x v="1"/>
    <x v="2"/>
    <n v="2"/>
    <n v="2134"/>
    <n v="269.52999999999997"/>
  </r>
  <r>
    <x v="467"/>
    <x v="9"/>
    <x v="2"/>
    <x v="0"/>
    <n v="6"/>
    <n v="5310"/>
    <n v="637.80999999999995"/>
  </r>
  <r>
    <x v="500"/>
    <x v="4"/>
    <x v="1"/>
    <x v="1"/>
    <n v="6"/>
    <n v="2748"/>
    <n v="682.8"/>
  </r>
  <r>
    <x v="314"/>
    <x v="0"/>
    <x v="0"/>
    <x v="2"/>
    <n v="9"/>
    <n v="3357"/>
    <n v="405.61"/>
  </r>
  <r>
    <x v="438"/>
    <x v="5"/>
    <x v="2"/>
    <x v="3"/>
    <n v="9"/>
    <n v="10206"/>
    <n v="592.77"/>
  </r>
  <r>
    <x v="836"/>
    <x v="7"/>
    <x v="2"/>
    <x v="2"/>
    <n v="6"/>
    <n v="2970"/>
    <n v="425.9"/>
  </r>
  <r>
    <x v="531"/>
    <x v="1"/>
    <x v="1"/>
    <x v="3"/>
    <n v="4"/>
    <n v="1208"/>
    <n v="351.47"/>
  </r>
  <r>
    <x v="534"/>
    <x v="5"/>
    <x v="2"/>
    <x v="2"/>
    <n v="3"/>
    <n v="945"/>
    <n v="135.59"/>
  </r>
  <r>
    <x v="837"/>
    <x v="6"/>
    <x v="1"/>
    <x v="1"/>
    <n v="8"/>
    <n v="7040"/>
    <n v="996.02"/>
  </r>
  <r>
    <x v="424"/>
    <x v="7"/>
    <x v="2"/>
    <x v="3"/>
    <n v="4"/>
    <n v="3684"/>
    <n v="1009.1"/>
  </r>
  <r>
    <x v="838"/>
    <x v="4"/>
    <x v="1"/>
    <x v="1"/>
    <n v="2"/>
    <n v="1262"/>
    <n v="190.02"/>
  </r>
  <r>
    <x v="839"/>
    <x v="1"/>
    <x v="1"/>
    <x v="2"/>
    <n v="3"/>
    <n v="3504"/>
    <n v="807.65"/>
  </r>
  <r>
    <x v="787"/>
    <x v="0"/>
    <x v="0"/>
    <x v="1"/>
    <n v="6"/>
    <n v="4464"/>
    <n v="1122.3699999999999"/>
  </r>
  <r>
    <x v="491"/>
    <x v="9"/>
    <x v="2"/>
    <x v="1"/>
    <n v="4"/>
    <n v="1324"/>
    <n v="227.2"/>
  </r>
  <r>
    <x v="466"/>
    <x v="3"/>
    <x v="2"/>
    <x v="1"/>
    <n v="6"/>
    <n v="4140"/>
    <n v="451.27"/>
  </r>
  <r>
    <x v="840"/>
    <x v="1"/>
    <x v="1"/>
    <x v="3"/>
    <n v="8"/>
    <n v="2384"/>
    <n v="120.28"/>
  </r>
  <r>
    <x v="658"/>
    <x v="9"/>
    <x v="2"/>
    <x v="3"/>
    <n v="8"/>
    <n v="4624"/>
    <n v="1313.36"/>
  </r>
  <r>
    <x v="841"/>
    <x v="5"/>
    <x v="2"/>
    <x v="3"/>
    <n v="6"/>
    <n v="4812"/>
    <n v="662.54"/>
  </r>
  <r>
    <x v="842"/>
    <x v="2"/>
    <x v="2"/>
    <x v="0"/>
    <n v="6"/>
    <n v="5640"/>
    <n v="856.44"/>
  </r>
  <r>
    <x v="482"/>
    <x v="5"/>
    <x v="2"/>
    <x v="3"/>
    <n v="5"/>
    <n v="1840"/>
    <n v="307.08999999999997"/>
  </r>
  <r>
    <x v="252"/>
    <x v="8"/>
    <x v="1"/>
    <x v="0"/>
    <n v="7"/>
    <n v="8071"/>
    <n v="435.51"/>
  </r>
  <r>
    <x v="757"/>
    <x v="8"/>
    <x v="1"/>
    <x v="0"/>
    <n v="3"/>
    <n v="2400"/>
    <n v="297.07"/>
  </r>
  <r>
    <x v="336"/>
    <x v="5"/>
    <x v="2"/>
    <x v="1"/>
    <n v="6"/>
    <n v="3570"/>
    <n v="265.62"/>
  </r>
  <r>
    <x v="743"/>
    <x v="9"/>
    <x v="2"/>
    <x v="1"/>
    <n v="3"/>
    <n v="1758"/>
    <n v="245.92"/>
  </r>
  <r>
    <x v="665"/>
    <x v="6"/>
    <x v="1"/>
    <x v="0"/>
    <n v="4"/>
    <n v="3072"/>
    <n v="394.2"/>
  </r>
  <r>
    <x v="173"/>
    <x v="1"/>
    <x v="1"/>
    <x v="2"/>
    <n v="5"/>
    <n v="2185"/>
    <n v="136.1"/>
  </r>
  <r>
    <x v="268"/>
    <x v="7"/>
    <x v="2"/>
    <x v="0"/>
    <n v="8"/>
    <n v="7664"/>
    <n v="1251.6500000000001"/>
  </r>
  <r>
    <x v="732"/>
    <x v="4"/>
    <x v="1"/>
    <x v="3"/>
    <n v="5"/>
    <n v="1710"/>
    <n v="338.1"/>
  </r>
  <r>
    <x v="571"/>
    <x v="0"/>
    <x v="0"/>
    <x v="2"/>
    <n v="2"/>
    <n v="1878"/>
    <n v="386.28"/>
  </r>
  <r>
    <x v="843"/>
    <x v="2"/>
    <x v="2"/>
    <x v="2"/>
    <n v="1"/>
    <n v="569"/>
    <n v="141.33000000000001"/>
  </r>
  <r>
    <x v="246"/>
    <x v="5"/>
    <x v="2"/>
    <x v="3"/>
    <n v="3"/>
    <n v="1488"/>
    <n v="296.36"/>
  </r>
  <r>
    <x v="341"/>
    <x v="1"/>
    <x v="1"/>
    <x v="3"/>
    <n v="9"/>
    <n v="9918"/>
    <n v="1956.17"/>
  </r>
  <r>
    <x v="768"/>
    <x v="5"/>
    <x v="2"/>
    <x v="2"/>
    <n v="3"/>
    <n v="432"/>
    <n v="36.840000000000003"/>
  </r>
  <r>
    <x v="796"/>
    <x v="2"/>
    <x v="2"/>
    <x v="1"/>
    <n v="9"/>
    <n v="9828"/>
    <n v="1300.68"/>
  </r>
  <r>
    <x v="66"/>
    <x v="5"/>
    <x v="2"/>
    <x v="0"/>
    <n v="5"/>
    <n v="3625"/>
    <n v="245.52"/>
  </r>
  <r>
    <x v="190"/>
    <x v="5"/>
    <x v="2"/>
    <x v="2"/>
    <n v="3"/>
    <n v="2187"/>
    <n v="491.13"/>
  </r>
  <r>
    <x v="126"/>
    <x v="6"/>
    <x v="1"/>
    <x v="2"/>
    <n v="5"/>
    <n v="5105"/>
    <n v="1003.4"/>
  </r>
  <r>
    <x v="677"/>
    <x v="4"/>
    <x v="1"/>
    <x v="2"/>
    <n v="3"/>
    <n v="1392"/>
    <n v="345.78"/>
  </r>
  <r>
    <x v="256"/>
    <x v="7"/>
    <x v="2"/>
    <x v="0"/>
    <n v="2"/>
    <n v="744"/>
    <n v="110.81"/>
  </r>
  <r>
    <x v="844"/>
    <x v="5"/>
    <x v="2"/>
    <x v="2"/>
    <n v="4"/>
    <n v="1724"/>
    <n v="233.21"/>
  </r>
  <r>
    <x v="845"/>
    <x v="1"/>
    <x v="1"/>
    <x v="3"/>
    <n v="5"/>
    <n v="1940"/>
    <n v="423.17"/>
  </r>
  <r>
    <x v="846"/>
    <x v="1"/>
    <x v="1"/>
    <x v="2"/>
    <n v="4"/>
    <n v="356"/>
    <n v="59.15"/>
  </r>
  <r>
    <x v="251"/>
    <x v="6"/>
    <x v="1"/>
    <x v="3"/>
    <n v="5"/>
    <n v="1095"/>
    <n v="269.87"/>
  </r>
  <r>
    <x v="847"/>
    <x v="2"/>
    <x v="2"/>
    <x v="0"/>
    <n v="8"/>
    <n v="4064"/>
    <n v="543.9"/>
  </r>
  <r>
    <x v="211"/>
    <x v="5"/>
    <x v="2"/>
    <x v="3"/>
    <n v="7"/>
    <n v="5453"/>
    <n v="1592.37"/>
  </r>
  <r>
    <x v="376"/>
    <x v="6"/>
    <x v="1"/>
    <x v="2"/>
    <n v="8"/>
    <n v="7104"/>
    <n v="529.35"/>
  </r>
  <r>
    <x v="57"/>
    <x v="8"/>
    <x v="1"/>
    <x v="1"/>
    <n v="9"/>
    <n v="2745"/>
    <n v="660.56"/>
  </r>
  <r>
    <x v="274"/>
    <x v="3"/>
    <x v="2"/>
    <x v="0"/>
    <n v="5"/>
    <n v="1030"/>
    <n v="64.81"/>
  </r>
  <r>
    <x v="848"/>
    <x v="2"/>
    <x v="2"/>
    <x v="0"/>
    <n v="9"/>
    <n v="8973"/>
    <n v="471.86"/>
  </r>
  <r>
    <x v="91"/>
    <x v="8"/>
    <x v="1"/>
    <x v="0"/>
    <n v="2"/>
    <n v="794"/>
    <n v="128.5"/>
  </r>
  <r>
    <x v="119"/>
    <x v="0"/>
    <x v="0"/>
    <x v="2"/>
    <n v="6"/>
    <n v="2142"/>
    <n v="476.19"/>
  </r>
  <r>
    <x v="533"/>
    <x v="4"/>
    <x v="1"/>
    <x v="1"/>
    <n v="2"/>
    <n v="414"/>
    <n v="51.1"/>
  </r>
  <r>
    <x v="242"/>
    <x v="2"/>
    <x v="2"/>
    <x v="0"/>
    <n v="3"/>
    <n v="1416"/>
    <n v="220.7"/>
  </r>
  <r>
    <x v="8"/>
    <x v="2"/>
    <x v="2"/>
    <x v="2"/>
    <n v="3"/>
    <n v="2103"/>
    <n v="541.35"/>
  </r>
  <r>
    <x v="295"/>
    <x v="3"/>
    <x v="2"/>
    <x v="3"/>
    <n v="3"/>
    <n v="861"/>
    <n v="173.49"/>
  </r>
  <r>
    <x v="849"/>
    <x v="4"/>
    <x v="1"/>
    <x v="3"/>
    <n v="3"/>
    <n v="2367"/>
    <n v="222.26"/>
  </r>
  <r>
    <x v="283"/>
    <x v="2"/>
    <x v="2"/>
    <x v="2"/>
    <n v="5"/>
    <n v="2435"/>
    <n v="688.82"/>
  </r>
  <r>
    <x v="344"/>
    <x v="0"/>
    <x v="0"/>
    <x v="2"/>
    <n v="4"/>
    <n v="2456"/>
    <n v="163.61000000000001"/>
  </r>
  <r>
    <x v="336"/>
    <x v="9"/>
    <x v="2"/>
    <x v="1"/>
    <n v="4"/>
    <n v="3216"/>
    <n v="962.49"/>
  </r>
  <r>
    <x v="619"/>
    <x v="5"/>
    <x v="2"/>
    <x v="1"/>
    <n v="4"/>
    <n v="4324"/>
    <n v="833.11"/>
  </r>
  <r>
    <x v="850"/>
    <x v="1"/>
    <x v="1"/>
    <x v="2"/>
    <n v="4"/>
    <n v="2628"/>
    <n v="727.87"/>
  </r>
  <r>
    <x v="212"/>
    <x v="8"/>
    <x v="1"/>
    <x v="3"/>
    <n v="8"/>
    <n v="8992"/>
    <n v="2018.64"/>
  </r>
  <r>
    <x v="751"/>
    <x v="9"/>
    <x v="2"/>
    <x v="3"/>
    <n v="6"/>
    <n v="360"/>
    <n v="22.16"/>
  </r>
  <r>
    <x v="530"/>
    <x v="2"/>
    <x v="2"/>
    <x v="2"/>
    <n v="3"/>
    <n v="2067"/>
    <n v="479.39"/>
  </r>
  <r>
    <x v="353"/>
    <x v="1"/>
    <x v="1"/>
    <x v="2"/>
    <n v="9"/>
    <n v="3573"/>
    <n v="550.44000000000005"/>
  </r>
  <r>
    <x v="625"/>
    <x v="9"/>
    <x v="2"/>
    <x v="2"/>
    <n v="8"/>
    <n v="1800"/>
    <n v="142.86000000000001"/>
  </r>
  <r>
    <x v="687"/>
    <x v="0"/>
    <x v="0"/>
    <x v="2"/>
    <n v="8"/>
    <n v="3912"/>
    <n v="334.1"/>
  </r>
  <r>
    <x v="474"/>
    <x v="4"/>
    <x v="1"/>
    <x v="0"/>
    <n v="8"/>
    <n v="5640"/>
    <n v="747.26"/>
  </r>
  <r>
    <x v="851"/>
    <x v="2"/>
    <x v="2"/>
    <x v="2"/>
    <n v="1"/>
    <n v="552"/>
    <n v="115.74"/>
  </r>
  <r>
    <x v="803"/>
    <x v="1"/>
    <x v="1"/>
    <x v="2"/>
    <n v="7"/>
    <n v="1428"/>
    <n v="289.64999999999998"/>
  </r>
  <r>
    <x v="187"/>
    <x v="0"/>
    <x v="0"/>
    <x v="3"/>
    <n v="1"/>
    <n v="349"/>
    <n v="42.05"/>
  </r>
  <r>
    <x v="822"/>
    <x v="2"/>
    <x v="2"/>
    <x v="0"/>
    <n v="6"/>
    <n v="6402"/>
    <n v="1366.28"/>
  </r>
  <r>
    <x v="636"/>
    <x v="6"/>
    <x v="1"/>
    <x v="1"/>
    <n v="9"/>
    <n v="657"/>
    <n v="185.95"/>
  </r>
  <r>
    <x v="616"/>
    <x v="1"/>
    <x v="1"/>
    <x v="3"/>
    <n v="7"/>
    <n v="5327"/>
    <n v="950.7"/>
  </r>
  <r>
    <x v="739"/>
    <x v="8"/>
    <x v="1"/>
    <x v="0"/>
    <n v="4"/>
    <n v="4196"/>
    <n v="1152.45"/>
  </r>
  <r>
    <x v="609"/>
    <x v="9"/>
    <x v="2"/>
    <x v="1"/>
    <n v="4"/>
    <n v="2892"/>
    <n v="863.47"/>
  </r>
  <r>
    <x v="852"/>
    <x v="9"/>
    <x v="2"/>
    <x v="3"/>
    <n v="9"/>
    <n v="2772"/>
    <n v="432.77"/>
  </r>
  <r>
    <x v="164"/>
    <x v="5"/>
    <x v="2"/>
    <x v="0"/>
    <n v="6"/>
    <n v="4692"/>
    <n v="1044.97"/>
  </r>
  <r>
    <x v="847"/>
    <x v="1"/>
    <x v="1"/>
    <x v="1"/>
    <n v="6"/>
    <n v="2742"/>
    <n v="334.48"/>
  </r>
  <r>
    <x v="283"/>
    <x v="7"/>
    <x v="2"/>
    <x v="0"/>
    <n v="8"/>
    <n v="8896"/>
    <n v="1154.96"/>
  </r>
  <r>
    <x v="853"/>
    <x v="1"/>
    <x v="1"/>
    <x v="0"/>
    <n v="2"/>
    <n v="2344"/>
    <n v="385.19"/>
  </r>
  <r>
    <x v="833"/>
    <x v="4"/>
    <x v="1"/>
    <x v="2"/>
    <n v="7"/>
    <n v="4186"/>
    <n v="655.53"/>
  </r>
  <r>
    <x v="583"/>
    <x v="2"/>
    <x v="2"/>
    <x v="1"/>
    <n v="9"/>
    <n v="5238"/>
    <n v="1152.42"/>
  </r>
  <r>
    <x v="199"/>
    <x v="1"/>
    <x v="1"/>
    <x v="0"/>
    <n v="3"/>
    <n v="2982"/>
    <n v="452.22"/>
  </r>
  <r>
    <x v="146"/>
    <x v="5"/>
    <x v="2"/>
    <x v="3"/>
    <n v="4"/>
    <n v="2580"/>
    <n v="602.5"/>
  </r>
  <r>
    <x v="607"/>
    <x v="8"/>
    <x v="1"/>
    <x v="3"/>
    <n v="5"/>
    <n v="2675"/>
    <n v="671.6"/>
  </r>
  <r>
    <x v="539"/>
    <x v="0"/>
    <x v="0"/>
    <x v="1"/>
    <n v="4"/>
    <n v="2396"/>
    <n v="608.5"/>
  </r>
  <r>
    <x v="58"/>
    <x v="9"/>
    <x v="2"/>
    <x v="3"/>
    <n v="5"/>
    <n v="1600"/>
    <n v="242.25"/>
  </r>
  <r>
    <x v="735"/>
    <x v="5"/>
    <x v="2"/>
    <x v="0"/>
    <n v="4"/>
    <n v="304"/>
    <n v="34.729999999999997"/>
  </r>
  <r>
    <x v="342"/>
    <x v="8"/>
    <x v="1"/>
    <x v="1"/>
    <n v="9"/>
    <n v="2070"/>
    <n v="457.39"/>
  </r>
  <r>
    <x v="854"/>
    <x v="0"/>
    <x v="0"/>
    <x v="0"/>
    <n v="5"/>
    <n v="1230"/>
    <n v="158.22999999999999"/>
  </r>
  <r>
    <x v="377"/>
    <x v="3"/>
    <x v="2"/>
    <x v="2"/>
    <n v="6"/>
    <n v="6234"/>
    <n v="758.78"/>
  </r>
  <r>
    <x v="739"/>
    <x v="4"/>
    <x v="1"/>
    <x v="2"/>
    <n v="2"/>
    <n v="396"/>
    <n v="46.33"/>
  </r>
  <r>
    <x v="191"/>
    <x v="1"/>
    <x v="1"/>
    <x v="1"/>
    <n v="9"/>
    <n v="2349"/>
    <n v="244.18"/>
  </r>
  <r>
    <x v="160"/>
    <x v="4"/>
    <x v="1"/>
    <x v="0"/>
    <n v="9"/>
    <n v="5949"/>
    <n v="626.91999999999996"/>
  </r>
  <r>
    <x v="147"/>
    <x v="0"/>
    <x v="0"/>
    <x v="1"/>
    <n v="7"/>
    <n v="5957"/>
    <n v="1433.85"/>
  </r>
  <r>
    <x v="436"/>
    <x v="4"/>
    <x v="1"/>
    <x v="1"/>
    <n v="3"/>
    <n v="1989"/>
    <n v="299.79000000000002"/>
  </r>
  <r>
    <x v="422"/>
    <x v="1"/>
    <x v="1"/>
    <x v="2"/>
    <n v="1"/>
    <n v="1138"/>
    <n v="243.36"/>
  </r>
  <r>
    <x v="102"/>
    <x v="2"/>
    <x v="2"/>
    <x v="3"/>
    <n v="9"/>
    <n v="3321"/>
    <n v="689.64"/>
  </r>
  <r>
    <x v="855"/>
    <x v="3"/>
    <x v="2"/>
    <x v="2"/>
    <n v="4"/>
    <n v="4480"/>
    <n v="592.82000000000005"/>
  </r>
  <r>
    <x v="835"/>
    <x v="5"/>
    <x v="2"/>
    <x v="1"/>
    <n v="3"/>
    <n v="1533"/>
    <n v="440.88"/>
  </r>
  <r>
    <x v="392"/>
    <x v="1"/>
    <x v="1"/>
    <x v="1"/>
    <n v="1"/>
    <n v="109"/>
    <n v="10.35"/>
  </r>
  <r>
    <x v="263"/>
    <x v="7"/>
    <x v="2"/>
    <x v="2"/>
    <n v="4"/>
    <n v="2380"/>
    <n v="594.86"/>
  </r>
  <r>
    <x v="326"/>
    <x v="0"/>
    <x v="0"/>
    <x v="2"/>
    <n v="8"/>
    <n v="2592"/>
    <n v="432.37"/>
  </r>
  <r>
    <x v="856"/>
    <x v="9"/>
    <x v="2"/>
    <x v="1"/>
    <n v="6"/>
    <n v="5112"/>
    <n v="1289.47"/>
  </r>
  <r>
    <x v="610"/>
    <x v="5"/>
    <x v="2"/>
    <x v="0"/>
    <n v="8"/>
    <n v="9392"/>
    <n v="1753.08"/>
  </r>
  <r>
    <x v="257"/>
    <x v="9"/>
    <x v="2"/>
    <x v="3"/>
    <n v="2"/>
    <n v="2386"/>
    <n v="381.83"/>
  </r>
  <r>
    <x v="353"/>
    <x v="5"/>
    <x v="2"/>
    <x v="2"/>
    <n v="5"/>
    <n v="465"/>
    <n v="71.23"/>
  </r>
  <r>
    <x v="704"/>
    <x v="7"/>
    <x v="2"/>
    <x v="3"/>
    <n v="2"/>
    <n v="604"/>
    <n v="102.52"/>
  </r>
  <r>
    <x v="186"/>
    <x v="5"/>
    <x v="2"/>
    <x v="1"/>
    <n v="2"/>
    <n v="2216"/>
    <n v="650.27"/>
  </r>
  <r>
    <x v="68"/>
    <x v="1"/>
    <x v="1"/>
    <x v="1"/>
    <n v="4"/>
    <n v="1168"/>
    <n v="220.22"/>
  </r>
  <r>
    <x v="833"/>
    <x v="6"/>
    <x v="1"/>
    <x v="2"/>
    <n v="7"/>
    <n v="4088"/>
    <n v="230.43"/>
  </r>
  <r>
    <x v="857"/>
    <x v="8"/>
    <x v="1"/>
    <x v="3"/>
    <n v="7"/>
    <n v="2597"/>
    <n v="152.09"/>
  </r>
  <r>
    <x v="858"/>
    <x v="5"/>
    <x v="2"/>
    <x v="3"/>
    <n v="3"/>
    <n v="2151"/>
    <n v="322.02999999999997"/>
  </r>
  <r>
    <x v="303"/>
    <x v="9"/>
    <x v="2"/>
    <x v="1"/>
    <n v="6"/>
    <n v="462"/>
    <n v="71.22"/>
  </r>
  <r>
    <x v="139"/>
    <x v="1"/>
    <x v="1"/>
    <x v="0"/>
    <n v="7"/>
    <n v="5957"/>
    <n v="1077.8599999999999"/>
  </r>
  <r>
    <x v="841"/>
    <x v="7"/>
    <x v="2"/>
    <x v="3"/>
    <n v="6"/>
    <n v="6978"/>
    <n v="2028.63"/>
  </r>
  <r>
    <x v="836"/>
    <x v="4"/>
    <x v="1"/>
    <x v="2"/>
    <n v="1"/>
    <n v="282"/>
    <n v="72.5"/>
  </r>
  <r>
    <x v="64"/>
    <x v="3"/>
    <x v="2"/>
    <x v="1"/>
    <n v="1"/>
    <n v="157"/>
    <n v="27.65"/>
  </r>
  <r>
    <x v="63"/>
    <x v="6"/>
    <x v="1"/>
    <x v="0"/>
    <n v="8"/>
    <n v="3304"/>
    <n v="404.33"/>
  </r>
  <r>
    <x v="516"/>
    <x v="4"/>
    <x v="1"/>
    <x v="0"/>
    <n v="3"/>
    <n v="3051"/>
    <n v="201.26"/>
  </r>
  <r>
    <x v="821"/>
    <x v="1"/>
    <x v="1"/>
    <x v="1"/>
    <n v="9"/>
    <n v="8082"/>
    <n v="1783.55"/>
  </r>
  <r>
    <x v="859"/>
    <x v="9"/>
    <x v="2"/>
    <x v="3"/>
    <n v="3"/>
    <n v="510"/>
    <n v="110.38"/>
  </r>
  <r>
    <x v="341"/>
    <x v="2"/>
    <x v="2"/>
    <x v="1"/>
    <n v="8"/>
    <n v="3976"/>
    <n v="1170.3599999999999"/>
  </r>
  <r>
    <x v="262"/>
    <x v="7"/>
    <x v="2"/>
    <x v="1"/>
    <n v="9"/>
    <n v="828"/>
    <n v="59.99"/>
  </r>
  <r>
    <x v="246"/>
    <x v="4"/>
    <x v="1"/>
    <x v="3"/>
    <n v="7"/>
    <n v="2457"/>
    <n v="388.11"/>
  </r>
  <r>
    <x v="786"/>
    <x v="3"/>
    <x v="2"/>
    <x v="0"/>
    <n v="4"/>
    <n v="3924"/>
    <n v="298.07"/>
  </r>
  <r>
    <x v="860"/>
    <x v="4"/>
    <x v="1"/>
    <x v="3"/>
    <n v="2"/>
    <n v="2018"/>
    <n v="227.75"/>
  </r>
  <r>
    <x v="303"/>
    <x v="6"/>
    <x v="1"/>
    <x v="3"/>
    <n v="3"/>
    <n v="2043"/>
    <n v="479.9"/>
  </r>
  <r>
    <x v="648"/>
    <x v="0"/>
    <x v="0"/>
    <x v="3"/>
    <n v="5"/>
    <n v="1035"/>
    <n v="187.12"/>
  </r>
  <r>
    <x v="212"/>
    <x v="5"/>
    <x v="2"/>
    <x v="0"/>
    <n v="6"/>
    <n v="2724"/>
    <n v="675.53"/>
  </r>
  <r>
    <x v="772"/>
    <x v="3"/>
    <x v="2"/>
    <x v="1"/>
    <n v="1"/>
    <n v="1120"/>
    <n v="127.32"/>
  </r>
  <r>
    <x v="756"/>
    <x v="6"/>
    <x v="1"/>
    <x v="0"/>
    <n v="6"/>
    <n v="3438"/>
    <n v="631.95000000000005"/>
  </r>
  <r>
    <x v="11"/>
    <x v="5"/>
    <x v="2"/>
    <x v="3"/>
    <n v="5"/>
    <n v="3170"/>
    <n v="379.27"/>
  </r>
  <r>
    <x v="22"/>
    <x v="5"/>
    <x v="2"/>
    <x v="1"/>
    <n v="4"/>
    <n v="660"/>
    <n v="83.96"/>
  </r>
  <r>
    <x v="861"/>
    <x v="2"/>
    <x v="2"/>
    <x v="1"/>
    <n v="7"/>
    <n v="4669"/>
    <n v="1088.1500000000001"/>
  </r>
  <r>
    <x v="209"/>
    <x v="5"/>
    <x v="2"/>
    <x v="3"/>
    <n v="5"/>
    <n v="1045"/>
    <n v="89"/>
  </r>
  <r>
    <x v="558"/>
    <x v="8"/>
    <x v="1"/>
    <x v="0"/>
    <n v="4"/>
    <n v="2724"/>
    <n v="229.47"/>
  </r>
  <r>
    <x v="496"/>
    <x v="4"/>
    <x v="1"/>
    <x v="3"/>
    <n v="8"/>
    <n v="5312"/>
    <n v="1583"/>
  </r>
  <r>
    <x v="862"/>
    <x v="2"/>
    <x v="2"/>
    <x v="3"/>
    <n v="4"/>
    <n v="4252"/>
    <n v="445.18"/>
  </r>
  <r>
    <x v="62"/>
    <x v="0"/>
    <x v="0"/>
    <x v="1"/>
    <n v="7"/>
    <n v="8057"/>
    <n v="1652.27"/>
  </r>
  <r>
    <x v="657"/>
    <x v="8"/>
    <x v="1"/>
    <x v="2"/>
    <n v="7"/>
    <n v="2023"/>
    <n v="274.25"/>
  </r>
  <r>
    <x v="3"/>
    <x v="6"/>
    <x v="1"/>
    <x v="2"/>
    <n v="8"/>
    <n v="9416"/>
    <n v="2125.54"/>
  </r>
  <r>
    <x v="412"/>
    <x v="6"/>
    <x v="1"/>
    <x v="1"/>
    <n v="8"/>
    <n v="7560"/>
    <n v="494.34"/>
  </r>
  <r>
    <x v="690"/>
    <x v="6"/>
    <x v="1"/>
    <x v="3"/>
    <n v="2"/>
    <n v="828"/>
    <n v="50.07"/>
  </r>
  <r>
    <x v="863"/>
    <x v="1"/>
    <x v="1"/>
    <x v="3"/>
    <n v="1"/>
    <n v="527"/>
    <n v="27.45"/>
  </r>
  <r>
    <x v="37"/>
    <x v="8"/>
    <x v="1"/>
    <x v="0"/>
    <n v="2"/>
    <n v="1160"/>
    <n v="206.49"/>
  </r>
  <r>
    <x v="540"/>
    <x v="1"/>
    <x v="1"/>
    <x v="3"/>
    <n v="5"/>
    <n v="5430"/>
    <n v="310.86"/>
  </r>
  <r>
    <x v="864"/>
    <x v="2"/>
    <x v="2"/>
    <x v="2"/>
    <n v="7"/>
    <n v="6874"/>
    <n v="454.53"/>
  </r>
  <r>
    <x v="865"/>
    <x v="0"/>
    <x v="0"/>
    <x v="1"/>
    <n v="8"/>
    <n v="8952"/>
    <n v="1825.37"/>
  </r>
  <r>
    <x v="437"/>
    <x v="1"/>
    <x v="1"/>
    <x v="1"/>
    <n v="8"/>
    <n v="416"/>
    <n v="67.81"/>
  </r>
  <r>
    <x v="249"/>
    <x v="7"/>
    <x v="2"/>
    <x v="2"/>
    <n v="3"/>
    <n v="1680"/>
    <n v="140.27000000000001"/>
  </r>
  <r>
    <x v="866"/>
    <x v="1"/>
    <x v="1"/>
    <x v="2"/>
    <n v="7"/>
    <n v="4340"/>
    <n v="383.9"/>
  </r>
  <r>
    <x v="714"/>
    <x v="9"/>
    <x v="2"/>
    <x v="3"/>
    <n v="9"/>
    <n v="7650"/>
    <n v="2130.8200000000002"/>
  </r>
  <r>
    <x v="840"/>
    <x v="5"/>
    <x v="2"/>
    <x v="3"/>
    <n v="8"/>
    <n v="6328"/>
    <n v="412.76"/>
  </r>
  <r>
    <x v="688"/>
    <x v="8"/>
    <x v="1"/>
    <x v="3"/>
    <n v="2"/>
    <n v="1312"/>
    <n v="344"/>
  </r>
  <r>
    <x v="633"/>
    <x v="3"/>
    <x v="2"/>
    <x v="1"/>
    <n v="9"/>
    <n v="8055"/>
    <n v="2300.17"/>
  </r>
  <r>
    <x v="120"/>
    <x v="3"/>
    <x v="2"/>
    <x v="2"/>
    <n v="2"/>
    <n v="840"/>
    <n v="153.61000000000001"/>
  </r>
  <r>
    <x v="867"/>
    <x v="2"/>
    <x v="2"/>
    <x v="2"/>
    <n v="9"/>
    <n v="9423"/>
    <n v="2794.89"/>
  </r>
  <r>
    <x v="80"/>
    <x v="6"/>
    <x v="1"/>
    <x v="0"/>
    <n v="8"/>
    <n v="6520"/>
    <n v="1113.1199999999999"/>
  </r>
  <r>
    <x v="199"/>
    <x v="9"/>
    <x v="2"/>
    <x v="0"/>
    <n v="3"/>
    <n v="1950"/>
    <n v="116.12"/>
  </r>
  <r>
    <x v="868"/>
    <x v="3"/>
    <x v="2"/>
    <x v="2"/>
    <n v="6"/>
    <n v="5928"/>
    <n v="1177.2"/>
  </r>
  <r>
    <x v="587"/>
    <x v="3"/>
    <x v="2"/>
    <x v="2"/>
    <n v="7"/>
    <n v="4809"/>
    <n v="1418.72"/>
  </r>
  <r>
    <x v="388"/>
    <x v="7"/>
    <x v="2"/>
    <x v="3"/>
    <n v="4"/>
    <n v="356"/>
    <n v="23.4"/>
  </r>
  <r>
    <x v="869"/>
    <x v="9"/>
    <x v="2"/>
    <x v="2"/>
    <n v="2"/>
    <n v="570"/>
    <n v="94.39"/>
  </r>
  <r>
    <x v="728"/>
    <x v="6"/>
    <x v="1"/>
    <x v="1"/>
    <n v="7"/>
    <n v="7791"/>
    <n v="907.96"/>
  </r>
  <r>
    <x v="870"/>
    <x v="5"/>
    <x v="2"/>
    <x v="1"/>
    <n v="4"/>
    <n v="4168"/>
    <n v="494.48"/>
  </r>
  <r>
    <x v="445"/>
    <x v="2"/>
    <x v="2"/>
    <x v="0"/>
    <n v="2"/>
    <n v="684"/>
    <n v="183.85"/>
  </r>
  <r>
    <x v="638"/>
    <x v="7"/>
    <x v="2"/>
    <x v="1"/>
    <n v="7"/>
    <n v="3857"/>
    <n v="447.99"/>
  </r>
  <r>
    <x v="189"/>
    <x v="3"/>
    <x v="2"/>
    <x v="0"/>
    <n v="5"/>
    <n v="3250"/>
    <n v="699.99"/>
  </r>
  <r>
    <x v="871"/>
    <x v="0"/>
    <x v="0"/>
    <x v="0"/>
    <n v="6"/>
    <n v="1194"/>
    <n v="79.62"/>
  </r>
  <r>
    <x v="344"/>
    <x v="9"/>
    <x v="2"/>
    <x v="3"/>
    <n v="6"/>
    <n v="3486"/>
    <n v="320.91000000000003"/>
  </r>
  <r>
    <x v="87"/>
    <x v="6"/>
    <x v="1"/>
    <x v="3"/>
    <n v="7"/>
    <n v="1554"/>
    <n v="370.97"/>
  </r>
  <r>
    <x v="292"/>
    <x v="5"/>
    <x v="2"/>
    <x v="0"/>
    <n v="3"/>
    <n v="2601"/>
    <n v="463.36"/>
  </r>
  <r>
    <x v="872"/>
    <x v="4"/>
    <x v="1"/>
    <x v="3"/>
    <n v="4"/>
    <n v="3616"/>
    <n v="745.75"/>
  </r>
  <r>
    <x v="73"/>
    <x v="1"/>
    <x v="1"/>
    <x v="3"/>
    <n v="5"/>
    <n v="3350"/>
    <n v="986.33"/>
  </r>
  <r>
    <x v="119"/>
    <x v="5"/>
    <x v="2"/>
    <x v="2"/>
    <n v="5"/>
    <n v="2545"/>
    <n v="588.47"/>
  </r>
  <r>
    <x v="873"/>
    <x v="6"/>
    <x v="1"/>
    <x v="1"/>
    <n v="1"/>
    <n v="545"/>
    <n v="68.28"/>
  </r>
  <r>
    <x v="453"/>
    <x v="1"/>
    <x v="1"/>
    <x v="0"/>
    <n v="7"/>
    <n v="1470"/>
    <n v="178.85"/>
  </r>
  <r>
    <x v="554"/>
    <x v="3"/>
    <x v="2"/>
    <x v="2"/>
    <n v="3"/>
    <n v="3126"/>
    <n v="870.95"/>
  </r>
  <r>
    <x v="874"/>
    <x v="9"/>
    <x v="2"/>
    <x v="3"/>
    <n v="3"/>
    <n v="1368"/>
    <n v="302.29000000000002"/>
  </r>
  <r>
    <x v="378"/>
    <x v="4"/>
    <x v="1"/>
    <x v="1"/>
    <n v="9"/>
    <n v="7083"/>
    <n v="1353.39"/>
  </r>
  <r>
    <x v="551"/>
    <x v="0"/>
    <x v="0"/>
    <x v="1"/>
    <n v="2"/>
    <n v="1994"/>
    <n v="453.74"/>
  </r>
  <r>
    <x v="52"/>
    <x v="3"/>
    <x v="2"/>
    <x v="0"/>
    <n v="4"/>
    <n v="4716"/>
    <n v="1084.1600000000001"/>
  </r>
  <r>
    <x v="544"/>
    <x v="6"/>
    <x v="1"/>
    <x v="2"/>
    <n v="1"/>
    <n v="975"/>
    <n v="125.85"/>
  </r>
  <r>
    <x v="364"/>
    <x v="7"/>
    <x v="2"/>
    <x v="3"/>
    <n v="9"/>
    <n v="9891"/>
    <n v="1774.03"/>
  </r>
  <r>
    <x v="342"/>
    <x v="5"/>
    <x v="2"/>
    <x v="2"/>
    <n v="2"/>
    <n v="626"/>
    <n v="159.49"/>
  </r>
  <r>
    <x v="849"/>
    <x v="6"/>
    <x v="1"/>
    <x v="1"/>
    <n v="8"/>
    <n v="5632"/>
    <n v="1620.04"/>
  </r>
  <r>
    <x v="112"/>
    <x v="0"/>
    <x v="0"/>
    <x v="3"/>
    <n v="3"/>
    <n v="2568"/>
    <n v="734.6"/>
  </r>
  <r>
    <x v="250"/>
    <x v="2"/>
    <x v="2"/>
    <x v="1"/>
    <n v="7"/>
    <n v="5285"/>
    <n v="629.07000000000005"/>
  </r>
  <r>
    <x v="826"/>
    <x v="3"/>
    <x v="2"/>
    <x v="1"/>
    <n v="2"/>
    <n v="516"/>
    <n v="122.77"/>
  </r>
  <r>
    <x v="169"/>
    <x v="6"/>
    <x v="1"/>
    <x v="1"/>
    <n v="3"/>
    <n v="2139"/>
    <n v="503.08"/>
  </r>
  <r>
    <x v="875"/>
    <x v="9"/>
    <x v="2"/>
    <x v="1"/>
    <n v="9"/>
    <n v="8136"/>
    <n v="1923.89"/>
  </r>
  <r>
    <x v="876"/>
    <x v="9"/>
    <x v="2"/>
    <x v="3"/>
    <n v="5"/>
    <n v="2130"/>
    <n v="318.99"/>
  </r>
  <r>
    <x v="330"/>
    <x v="4"/>
    <x v="1"/>
    <x v="2"/>
    <n v="5"/>
    <n v="3445"/>
    <n v="202.15"/>
  </r>
  <r>
    <x v="877"/>
    <x v="2"/>
    <x v="2"/>
    <x v="1"/>
    <n v="8"/>
    <n v="5376"/>
    <n v="429.84"/>
  </r>
  <r>
    <x v="613"/>
    <x v="0"/>
    <x v="0"/>
    <x v="3"/>
    <n v="6"/>
    <n v="3006"/>
    <n v="730.14"/>
  </r>
  <r>
    <x v="403"/>
    <x v="4"/>
    <x v="1"/>
    <x v="0"/>
    <n v="7"/>
    <n v="3941"/>
    <n v="1113.8499999999999"/>
  </r>
  <r>
    <x v="563"/>
    <x v="6"/>
    <x v="1"/>
    <x v="0"/>
    <n v="5"/>
    <n v="3350"/>
    <n v="389.95"/>
  </r>
  <r>
    <x v="387"/>
    <x v="0"/>
    <x v="0"/>
    <x v="2"/>
    <n v="3"/>
    <n v="2019"/>
    <n v="265.44"/>
  </r>
  <r>
    <x v="317"/>
    <x v="4"/>
    <x v="1"/>
    <x v="0"/>
    <n v="8"/>
    <n v="2416"/>
    <n v="403.38"/>
  </r>
  <r>
    <x v="728"/>
    <x v="6"/>
    <x v="1"/>
    <x v="3"/>
    <n v="8"/>
    <n v="6160"/>
    <n v="684.71"/>
  </r>
  <r>
    <x v="709"/>
    <x v="0"/>
    <x v="0"/>
    <x v="1"/>
    <n v="4"/>
    <n v="2796"/>
    <n v="682.65"/>
  </r>
  <r>
    <x v="221"/>
    <x v="5"/>
    <x v="2"/>
    <x v="2"/>
    <n v="7"/>
    <n v="7700"/>
    <n v="1573.41"/>
  </r>
  <r>
    <x v="373"/>
    <x v="5"/>
    <x v="2"/>
    <x v="3"/>
    <n v="5"/>
    <n v="2095"/>
    <n v="193.93"/>
  </r>
  <r>
    <x v="407"/>
    <x v="3"/>
    <x v="2"/>
    <x v="0"/>
    <n v="5"/>
    <n v="5990"/>
    <n v="1548.62"/>
  </r>
  <r>
    <x v="874"/>
    <x v="5"/>
    <x v="2"/>
    <x v="0"/>
    <n v="2"/>
    <n v="1206"/>
    <n v="307.02"/>
  </r>
  <r>
    <x v="878"/>
    <x v="5"/>
    <x v="2"/>
    <x v="2"/>
    <n v="5"/>
    <n v="1330"/>
    <n v="285.77999999999997"/>
  </r>
  <r>
    <x v="879"/>
    <x v="3"/>
    <x v="2"/>
    <x v="3"/>
    <n v="6"/>
    <n v="2706"/>
    <n v="766.68"/>
  </r>
  <r>
    <x v="485"/>
    <x v="9"/>
    <x v="2"/>
    <x v="1"/>
    <n v="3"/>
    <n v="426"/>
    <n v="50.8"/>
  </r>
  <r>
    <x v="880"/>
    <x v="2"/>
    <x v="2"/>
    <x v="3"/>
    <n v="1"/>
    <n v="414"/>
    <n v="50.26"/>
  </r>
  <r>
    <x v="136"/>
    <x v="9"/>
    <x v="2"/>
    <x v="1"/>
    <n v="5"/>
    <n v="5465"/>
    <n v="546.33000000000004"/>
  </r>
  <r>
    <x v="79"/>
    <x v="2"/>
    <x v="2"/>
    <x v="2"/>
    <n v="3"/>
    <n v="726"/>
    <n v="71.06"/>
  </r>
  <r>
    <x v="881"/>
    <x v="5"/>
    <x v="2"/>
    <x v="1"/>
    <n v="1"/>
    <n v="1001"/>
    <n v="225.75"/>
  </r>
  <r>
    <x v="93"/>
    <x v="1"/>
    <x v="1"/>
    <x v="3"/>
    <n v="9"/>
    <n v="7362"/>
    <n v="1866.65"/>
  </r>
  <r>
    <x v="92"/>
    <x v="8"/>
    <x v="1"/>
    <x v="1"/>
    <n v="4"/>
    <n v="2284"/>
    <n v="576.59"/>
  </r>
  <r>
    <x v="527"/>
    <x v="2"/>
    <x v="2"/>
    <x v="1"/>
    <n v="4"/>
    <n v="2940"/>
    <n v="566.36"/>
  </r>
  <r>
    <x v="663"/>
    <x v="0"/>
    <x v="0"/>
    <x v="2"/>
    <n v="4"/>
    <n v="3068"/>
    <n v="868.89"/>
  </r>
  <r>
    <x v="852"/>
    <x v="7"/>
    <x v="2"/>
    <x v="0"/>
    <n v="3"/>
    <n v="3477"/>
    <n v="862.21"/>
  </r>
  <r>
    <x v="218"/>
    <x v="5"/>
    <x v="2"/>
    <x v="3"/>
    <n v="9"/>
    <n v="4014"/>
    <n v="204.48"/>
  </r>
  <r>
    <x v="852"/>
    <x v="6"/>
    <x v="1"/>
    <x v="0"/>
    <n v="8"/>
    <n v="7200"/>
    <n v="804.53"/>
  </r>
  <r>
    <x v="840"/>
    <x v="5"/>
    <x v="2"/>
    <x v="3"/>
    <n v="3"/>
    <n v="735"/>
    <n v="134.53"/>
  </r>
  <r>
    <x v="171"/>
    <x v="6"/>
    <x v="1"/>
    <x v="1"/>
    <n v="3"/>
    <n v="2964"/>
    <n v="446.54"/>
  </r>
  <r>
    <x v="219"/>
    <x v="3"/>
    <x v="2"/>
    <x v="3"/>
    <n v="9"/>
    <n v="3699"/>
    <n v="276.07"/>
  </r>
  <r>
    <x v="92"/>
    <x v="0"/>
    <x v="0"/>
    <x v="3"/>
    <n v="3"/>
    <n v="1563"/>
    <n v="221.62"/>
  </r>
  <r>
    <x v="442"/>
    <x v="1"/>
    <x v="1"/>
    <x v="2"/>
    <n v="2"/>
    <n v="124"/>
    <n v="32.270000000000003"/>
  </r>
  <r>
    <x v="237"/>
    <x v="1"/>
    <x v="1"/>
    <x v="0"/>
    <n v="2"/>
    <n v="416"/>
    <n v="71.680000000000007"/>
  </r>
  <r>
    <x v="401"/>
    <x v="3"/>
    <x v="2"/>
    <x v="2"/>
    <n v="8"/>
    <n v="2624"/>
    <n v="294.24"/>
  </r>
  <r>
    <x v="143"/>
    <x v="4"/>
    <x v="1"/>
    <x v="1"/>
    <n v="4"/>
    <n v="1636"/>
    <n v="134.85"/>
  </r>
  <r>
    <x v="161"/>
    <x v="4"/>
    <x v="1"/>
    <x v="1"/>
    <n v="8"/>
    <n v="8200"/>
    <n v="1978.93"/>
  </r>
  <r>
    <x v="149"/>
    <x v="1"/>
    <x v="1"/>
    <x v="1"/>
    <n v="5"/>
    <n v="5615"/>
    <n v="715.58"/>
  </r>
  <r>
    <x v="365"/>
    <x v="0"/>
    <x v="0"/>
    <x v="1"/>
    <n v="5"/>
    <n v="3085"/>
    <n v="413.52"/>
  </r>
  <r>
    <x v="820"/>
    <x v="8"/>
    <x v="1"/>
    <x v="2"/>
    <n v="6"/>
    <n v="3198"/>
    <n v="913.76"/>
  </r>
  <r>
    <x v="516"/>
    <x v="3"/>
    <x v="2"/>
    <x v="3"/>
    <n v="4"/>
    <n v="1848"/>
    <n v="374.66"/>
  </r>
  <r>
    <x v="832"/>
    <x v="5"/>
    <x v="2"/>
    <x v="0"/>
    <n v="4"/>
    <n v="652"/>
    <n v="116.06"/>
  </r>
  <r>
    <x v="601"/>
    <x v="1"/>
    <x v="1"/>
    <x v="2"/>
    <n v="6"/>
    <n v="2940"/>
    <n v="609.99"/>
  </r>
  <r>
    <x v="282"/>
    <x v="4"/>
    <x v="1"/>
    <x v="1"/>
    <n v="4"/>
    <n v="3912"/>
    <n v="454.89"/>
  </r>
  <r>
    <x v="672"/>
    <x v="2"/>
    <x v="2"/>
    <x v="2"/>
    <n v="8"/>
    <n v="9392"/>
    <n v="891.07"/>
  </r>
  <r>
    <x v="30"/>
    <x v="6"/>
    <x v="1"/>
    <x v="3"/>
    <n v="1"/>
    <n v="312"/>
    <n v="43.01"/>
  </r>
  <r>
    <x v="661"/>
    <x v="9"/>
    <x v="2"/>
    <x v="1"/>
    <n v="9"/>
    <n v="7731"/>
    <n v="1459.74"/>
  </r>
  <r>
    <x v="882"/>
    <x v="2"/>
    <x v="2"/>
    <x v="3"/>
    <n v="1"/>
    <n v="1081"/>
    <n v="229.32"/>
  </r>
  <r>
    <x v="173"/>
    <x v="7"/>
    <x v="2"/>
    <x v="3"/>
    <n v="6"/>
    <n v="1926"/>
    <n v="393.01"/>
  </r>
  <r>
    <x v="530"/>
    <x v="6"/>
    <x v="1"/>
    <x v="1"/>
    <n v="3"/>
    <n v="936"/>
    <n v="88.51"/>
  </r>
  <r>
    <x v="343"/>
    <x v="9"/>
    <x v="2"/>
    <x v="2"/>
    <n v="9"/>
    <n v="8550"/>
    <n v="1970.98"/>
  </r>
  <r>
    <x v="354"/>
    <x v="6"/>
    <x v="1"/>
    <x v="0"/>
    <n v="4"/>
    <n v="2468"/>
    <n v="457.51"/>
  </r>
  <r>
    <x v="339"/>
    <x v="2"/>
    <x v="2"/>
    <x v="3"/>
    <n v="3"/>
    <n v="801"/>
    <n v="90.34"/>
  </r>
  <r>
    <x v="564"/>
    <x v="9"/>
    <x v="2"/>
    <x v="1"/>
    <n v="9"/>
    <n v="2655"/>
    <n v="701.11"/>
  </r>
  <r>
    <x v="554"/>
    <x v="5"/>
    <x v="2"/>
    <x v="3"/>
    <n v="8"/>
    <n v="3928"/>
    <n v="700.38"/>
  </r>
  <r>
    <x v="325"/>
    <x v="6"/>
    <x v="1"/>
    <x v="1"/>
    <n v="8"/>
    <n v="6488"/>
    <n v="1438.34"/>
  </r>
  <r>
    <x v="13"/>
    <x v="4"/>
    <x v="1"/>
    <x v="3"/>
    <n v="9"/>
    <n v="7695"/>
    <n v="1749.26"/>
  </r>
  <r>
    <x v="431"/>
    <x v="4"/>
    <x v="1"/>
    <x v="3"/>
    <n v="2"/>
    <n v="1856"/>
    <n v="468.19"/>
  </r>
  <r>
    <x v="406"/>
    <x v="5"/>
    <x v="2"/>
    <x v="0"/>
    <n v="7"/>
    <n v="1519"/>
    <n v="403.63"/>
  </r>
  <r>
    <x v="385"/>
    <x v="2"/>
    <x v="2"/>
    <x v="3"/>
    <n v="3"/>
    <n v="3549"/>
    <n v="996.05"/>
  </r>
  <r>
    <x v="393"/>
    <x v="9"/>
    <x v="2"/>
    <x v="1"/>
    <n v="3"/>
    <n v="1656"/>
    <n v="378.84"/>
  </r>
  <r>
    <x v="715"/>
    <x v="8"/>
    <x v="1"/>
    <x v="0"/>
    <n v="7"/>
    <n v="812"/>
    <n v="175.55"/>
  </r>
  <r>
    <x v="793"/>
    <x v="1"/>
    <x v="1"/>
    <x v="0"/>
    <n v="5"/>
    <n v="3730"/>
    <n v="864.41"/>
  </r>
  <r>
    <x v="161"/>
    <x v="6"/>
    <x v="1"/>
    <x v="2"/>
    <n v="1"/>
    <n v="1161"/>
    <n v="210.87"/>
  </r>
  <r>
    <x v="531"/>
    <x v="4"/>
    <x v="1"/>
    <x v="0"/>
    <n v="3"/>
    <n v="2256"/>
    <n v="282.52"/>
  </r>
  <r>
    <x v="505"/>
    <x v="6"/>
    <x v="1"/>
    <x v="1"/>
    <n v="1"/>
    <n v="359"/>
    <n v="78.17"/>
  </r>
  <r>
    <x v="628"/>
    <x v="4"/>
    <x v="1"/>
    <x v="1"/>
    <n v="2"/>
    <n v="130"/>
    <n v="11.1"/>
  </r>
  <r>
    <x v="60"/>
    <x v="1"/>
    <x v="1"/>
    <x v="2"/>
    <n v="8"/>
    <n v="4248"/>
    <n v="831.54"/>
  </r>
  <r>
    <x v="883"/>
    <x v="3"/>
    <x v="2"/>
    <x v="2"/>
    <n v="5"/>
    <n v="1825"/>
    <n v="221.47"/>
  </r>
  <r>
    <x v="407"/>
    <x v="8"/>
    <x v="1"/>
    <x v="1"/>
    <n v="2"/>
    <n v="876"/>
    <n v="224.01"/>
  </r>
  <r>
    <x v="564"/>
    <x v="3"/>
    <x v="2"/>
    <x v="0"/>
    <n v="9"/>
    <n v="9180"/>
    <n v="2752.84"/>
  </r>
  <r>
    <x v="38"/>
    <x v="6"/>
    <x v="1"/>
    <x v="3"/>
    <n v="5"/>
    <n v="1765"/>
    <n v="160.88999999999999"/>
  </r>
  <r>
    <x v="789"/>
    <x v="6"/>
    <x v="1"/>
    <x v="2"/>
    <n v="2"/>
    <n v="1504"/>
    <n v="164.51"/>
  </r>
  <r>
    <x v="718"/>
    <x v="8"/>
    <x v="1"/>
    <x v="2"/>
    <n v="9"/>
    <n v="1881"/>
    <n v="430.78"/>
  </r>
  <r>
    <x v="714"/>
    <x v="8"/>
    <x v="1"/>
    <x v="1"/>
    <n v="9"/>
    <n v="7425"/>
    <n v="1533.72"/>
  </r>
  <r>
    <x v="15"/>
    <x v="2"/>
    <x v="2"/>
    <x v="1"/>
    <n v="9"/>
    <n v="720"/>
    <n v="192.83"/>
  </r>
  <r>
    <x v="517"/>
    <x v="7"/>
    <x v="2"/>
    <x v="3"/>
    <n v="5"/>
    <n v="2985"/>
    <n v="698.22"/>
  </r>
  <r>
    <x v="814"/>
    <x v="9"/>
    <x v="2"/>
    <x v="0"/>
    <n v="9"/>
    <n v="711"/>
    <n v="200.11"/>
  </r>
  <r>
    <x v="884"/>
    <x v="0"/>
    <x v="0"/>
    <x v="2"/>
    <n v="6"/>
    <n v="6276"/>
    <n v="1396.25"/>
  </r>
  <r>
    <x v="616"/>
    <x v="1"/>
    <x v="1"/>
    <x v="1"/>
    <n v="7"/>
    <n v="7966"/>
    <n v="955.8"/>
  </r>
  <r>
    <x v="107"/>
    <x v="4"/>
    <x v="1"/>
    <x v="1"/>
    <n v="8"/>
    <n v="4200"/>
    <n v="854.89"/>
  </r>
  <r>
    <x v="432"/>
    <x v="9"/>
    <x v="2"/>
    <x v="1"/>
    <n v="7"/>
    <n v="455"/>
    <n v="80"/>
  </r>
  <r>
    <x v="478"/>
    <x v="8"/>
    <x v="1"/>
    <x v="2"/>
    <n v="8"/>
    <n v="5040"/>
    <n v="465.36"/>
  </r>
  <r>
    <x v="513"/>
    <x v="1"/>
    <x v="1"/>
    <x v="1"/>
    <n v="1"/>
    <n v="856"/>
    <n v="87.69"/>
  </r>
  <r>
    <x v="50"/>
    <x v="6"/>
    <x v="1"/>
    <x v="3"/>
    <n v="5"/>
    <n v="5230"/>
    <n v="385.77"/>
  </r>
  <r>
    <x v="120"/>
    <x v="9"/>
    <x v="2"/>
    <x v="2"/>
    <n v="5"/>
    <n v="4635"/>
    <n v="769.03"/>
  </r>
  <r>
    <x v="820"/>
    <x v="9"/>
    <x v="2"/>
    <x v="1"/>
    <n v="6"/>
    <n v="5508"/>
    <n v="360.28"/>
  </r>
  <r>
    <x v="68"/>
    <x v="7"/>
    <x v="2"/>
    <x v="0"/>
    <n v="1"/>
    <n v="258"/>
    <n v="27.01"/>
  </r>
  <r>
    <x v="442"/>
    <x v="7"/>
    <x v="2"/>
    <x v="1"/>
    <n v="1"/>
    <n v="677"/>
    <n v="88.41"/>
  </r>
  <r>
    <x v="749"/>
    <x v="6"/>
    <x v="1"/>
    <x v="3"/>
    <n v="5"/>
    <n v="4545"/>
    <n v="755.05"/>
  </r>
  <r>
    <x v="299"/>
    <x v="7"/>
    <x v="2"/>
    <x v="2"/>
    <n v="5"/>
    <n v="4370"/>
    <n v="1255.3599999999999"/>
  </r>
  <r>
    <x v="519"/>
    <x v="8"/>
    <x v="1"/>
    <x v="1"/>
    <n v="3"/>
    <n v="372"/>
    <n v="57.51"/>
  </r>
  <r>
    <x v="640"/>
    <x v="3"/>
    <x v="2"/>
    <x v="3"/>
    <n v="9"/>
    <n v="3177"/>
    <n v="629.96"/>
  </r>
  <r>
    <x v="704"/>
    <x v="0"/>
    <x v="0"/>
    <x v="2"/>
    <n v="7"/>
    <n v="1659"/>
    <n v="127.48"/>
  </r>
  <r>
    <x v="157"/>
    <x v="2"/>
    <x v="2"/>
    <x v="2"/>
    <n v="3"/>
    <n v="3360"/>
    <n v="759.31"/>
  </r>
  <r>
    <x v="885"/>
    <x v="7"/>
    <x v="2"/>
    <x v="3"/>
    <n v="2"/>
    <n v="1132"/>
    <n v="290.56"/>
  </r>
  <r>
    <x v="220"/>
    <x v="5"/>
    <x v="2"/>
    <x v="1"/>
    <n v="5"/>
    <n v="1815"/>
    <n v="468.62"/>
  </r>
  <r>
    <x v="734"/>
    <x v="1"/>
    <x v="1"/>
    <x v="0"/>
    <n v="1"/>
    <n v="459"/>
    <n v="125.19"/>
  </r>
  <r>
    <x v="886"/>
    <x v="7"/>
    <x v="2"/>
    <x v="3"/>
    <n v="1"/>
    <n v="1128"/>
    <n v="73.739999999999995"/>
  </r>
  <r>
    <x v="421"/>
    <x v="6"/>
    <x v="1"/>
    <x v="1"/>
    <n v="6"/>
    <n v="1170"/>
    <n v="104.63"/>
  </r>
  <r>
    <x v="306"/>
    <x v="5"/>
    <x v="2"/>
    <x v="0"/>
    <n v="5"/>
    <n v="4420"/>
    <n v="380.69"/>
  </r>
  <r>
    <x v="544"/>
    <x v="7"/>
    <x v="2"/>
    <x v="3"/>
    <n v="6"/>
    <n v="456"/>
    <n v="69.150000000000006"/>
  </r>
  <r>
    <x v="400"/>
    <x v="2"/>
    <x v="2"/>
    <x v="0"/>
    <n v="2"/>
    <n v="1458"/>
    <n v="154.79"/>
  </r>
  <r>
    <x v="887"/>
    <x v="6"/>
    <x v="1"/>
    <x v="3"/>
    <n v="7"/>
    <n v="2989"/>
    <n v="197.58"/>
  </r>
  <r>
    <x v="888"/>
    <x v="3"/>
    <x v="2"/>
    <x v="0"/>
    <n v="4"/>
    <n v="3424"/>
    <n v="845.68"/>
  </r>
  <r>
    <x v="859"/>
    <x v="1"/>
    <x v="1"/>
    <x v="3"/>
    <n v="2"/>
    <n v="1226"/>
    <n v="124.25"/>
  </r>
  <r>
    <x v="419"/>
    <x v="9"/>
    <x v="2"/>
    <x v="0"/>
    <n v="8"/>
    <n v="6760"/>
    <n v="1097.6300000000001"/>
  </r>
  <r>
    <x v="889"/>
    <x v="7"/>
    <x v="2"/>
    <x v="3"/>
    <n v="1"/>
    <n v="111"/>
    <n v="13.61"/>
  </r>
  <r>
    <x v="636"/>
    <x v="0"/>
    <x v="0"/>
    <x v="0"/>
    <n v="5"/>
    <n v="3275"/>
    <n v="222.29"/>
  </r>
  <r>
    <x v="303"/>
    <x v="4"/>
    <x v="1"/>
    <x v="0"/>
    <n v="3"/>
    <n v="2508"/>
    <n v="498.69"/>
  </r>
  <r>
    <x v="207"/>
    <x v="8"/>
    <x v="1"/>
    <x v="2"/>
    <n v="8"/>
    <n v="904"/>
    <n v="202.35"/>
  </r>
  <r>
    <x v="640"/>
    <x v="0"/>
    <x v="0"/>
    <x v="3"/>
    <n v="3"/>
    <n v="1506"/>
    <n v="427.84"/>
  </r>
  <r>
    <x v="139"/>
    <x v="7"/>
    <x v="2"/>
    <x v="2"/>
    <n v="3"/>
    <n v="987"/>
    <n v="97.01"/>
  </r>
  <r>
    <x v="196"/>
    <x v="7"/>
    <x v="2"/>
    <x v="1"/>
    <n v="7"/>
    <n v="2968"/>
    <n v="728.94"/>
  </r>
  <r>
    <x v="81"/>
    <x v="1"/>
    <x v="1"/>
    <x v="2"/>
    <n v="5"/>
    <n v="4200"/>
    <n v="746.86"/>
  </r>
  <r>
    <x v="750"/>
    <x v="5"/>
    <x v="2"/>
    <x v="0"/>
    <n v="5"/>
    <n v="1645"/>
    <n v="313.66000000000003"/>
  </r>
  <r>
    <x v="890"/>
    <x v="0"/>
    <x v="0"/>
    <x v="1"/>
    <n v="3"/>
    <n v="3282"/>
    <n v="492.59"/>
  </r>
  <r>
    <x v="516"/>
    <x v="4"/>
    <x v="1"/>
    <x v="1"/>
    <n v="9"/>
    <n v="4914"/>
    <n v="1160.45"/>
  </r>
  <r>
    <x v="367"/>
    <x v="9"/>
    <x v="2"/>
    <x v="0"/>
    <n v="6"/>
    <n v="3924"/>
    <n v="762.96"/>
  </r>
  <r>
    <x v="250"/>
    <x v="4"/>
    <x v="1"/>
    <x v="2"/>
    <n v="6"/>
    <n v="420"/>
    <n v="65.62"/>
  </r>
  <r>
    <x v="168"/>
    <x v="0"/>
    <x v="0"/>
    <x v="3"/>
    <n v="4"/>
    <n v="1544"/>
    <n v="106.02"/>
  </r>
  <r>
    <x v="891"/>
    <x v="4"/>
    <x v="1"/>
    <x v="1"/>
    <n v="2"/>
    <n v="2046"/>
    <n v="233.47"/>
  </r>
  <r>
    <x v="424"/>
    <x v="4"/>
    <x v="1"/>
    <x v="3"/>
    <n v="2"/>
    <n v="1548"/>
    <n v="157.47999999999999"/>
  </r>
  <r>
    <x v="253"/>
    <x v="8"/>
    <x v="1"/>
    <x v="0"/>
    <n v="4"/>
    <n v="3184"/>
    <n v="478.27"/>
  </r>
  <r>
    <x v="892"/>
    <x v="0"/>
    <x v="0"/>
    <x v="2"/>
    <n v="5"/>
    <n v="3385"/>
    <n v="774.86"/>
  </r>
  <r>
    <x v="893"/>
    <x v="6"/>
    <x v="1"/>
    <x v="0"/>
    <n v="1"/>
    <n v="59"/>
    <n v="10.32"/>
  </r>
  <r>
    <x v="463"/>
    <x v="6"/>
    <x v="1"/>
    <x v="2"/>
    <n v="8"/>
    <n v="5976"/>
    <n v="1016.99"/>
  </r>
  <r>
    <x v="894"/>
    <x v="1"/>
    <x v="1"/>
    <x v="3"/>
    <n v="3"/>
    <n v="1791"/>
    <n v="122.5"/>
  </r>
  <r>
    <x v="616"/>
    <x v="5"/>
    <x v="2"/>
    <x v="3"/>
    <n v="2"/>
    <n v="1644"/>
    <n v="189.32"/>
  </r>
  <r>
    <x v="432"/>
    <x v="2"/>
    <x v="2"/>
    <x v="3"/>
    <n v="8"/>
    <n v="6584"/>
    <n v="544.62"/>
  </r>
  <r>
    <x v="474"/>
    <x v="4"/>
    <x v="1"/>
    <x v="1"/>
    <n v="5"/>
    <n v="1620"/>
    <n v="325.87"/>
  </r>
  <r>
    <x v="895"/>
    <x v="1"/>
    <x v="1"/>
    <x v="3"/>
    <n v="9"/>
    <n v="2736"/>
    <n v="407.22"/>
  </r>
  <r>
    <x v="896"/>
    <x v="6"/>
    <x v="1"/>
    <x v="2"/>
    <n v="4"/>
    <n v="1064"/>
    <n v="274.47000000000003"/>
  </r>
  <r>
    <x v="113"/>
    <x v="3"/>
    <x v="2"/>
    <x v="2"/>
    <n v="7"/>
    <n v="2667"/>
    <n v="363.5"/>
  </r>
  <r>
    <x v="897"/>
    <x v="4"/>
    <x v="1"/>
    <x v="2"/>
    <n v="3"/>
    <n v="735"/>
    <n v="217.79"/>
  </r>
  <r>
    <x v="643"/>
    <x v="9"/>
    <x v="2"/>
    <x v="1"/>
    <n v="1"/>
    <n v="58"/>
    <n v="11.25"/>
  </r>
  <r>
    <x v="526"/>
    <x v="3"/>
    <x v="2"/>
    <x v="2"/>
    <n v="7"/>
    <n v="3136"/>
    <n v="850.3"/>
  </r>
  <r>
    <x v="652"/>
    <x v="1"/>
    <x v="1"/>
    <x v="1"/>
    <n v="4"/>
    <n v="3936"/>
    <n v="374.34"/>
  </r>
  <r>
    <x v="457"/>
    <x v="7"/>
    <x v="2"/>
    <x v="1"/>
    <n v="9"/>
    <n v="6102"/>
    <n v="947.91"/>
  </r>
  <r>
    <x v="432"/>
    <x v="7"/>
    <x v="2"/>
    <x v="0"/>
    <n v="8"/>
    <n v="9408"/>
    <n v="552.44000000000005"/>
  </r>
  <r>
    <x v="91"/>
    <x v="1"/>
    <x v="1"/>
    <x v="2"/>
    <n v="9"/>
    <n v="7875"/>
    <n v="1243.56"/>
  </r>
  <r>
    <x v="224"/>
    <x v="8"/>
    <x v="1"/>
    <x v="0"/>
    <n v="9"/>
    <n v="9900"/>
    <n v="576.79999999999995"/>
  </r>
  <r>
    <x v="898"/>
    <x v="8"/>
    <x v="1"/>
    <x v="0"/>
    <n v="2"/>
    <n v="430"/>
    <n v="114.91"/>
  </r>
  <r>
    <x v="796"/>
    <x v="1"/>
    <x v="1"/>
    <x v="2"/>
    <n v="3"/>
    <n v="813"/>
    <n v="238.1"/>
  </r>
  <r>
    <x v="644"/>
    <x v="3"/>
    <x v="2"/>
    <x v="2"/>
    <n v="4"/>
    <n v="4176"/>
    <n v="980.11"/>
  </r>
  <r>
    <x v="368"/>
    <x v="3"/>
    <x v="2"/>
    <x v="2"/>
    <n v="4"/>
    <n v="3084"/>
    <n v="348.38"/>
  </r>
  <r>
    <x v="133"/>
    <x v="1"/>
    <x v="1"/>
    <x v="3"/>
    <n v="7"/>
    <n v="8008"/>
    <n v="1593.65"/>
  </r>
  <r>
    <x v="585"/>
    <x v="5"/>
    <x v="2"/>
    <x v="2"/>
    <n v="4"/>
    <n v="4608"/>
    <n v="963.5"/>
  </r>
  <r>
    <x v="821"/>
    <x v="4"/>
    <x v="1"/>
    <x v="3"/>
    <n v="4"/>
    <n v="4356"/>
    <n v="614.62"/>
  </r>
  <r>
    <x v="339"/>
    <x v="0"/>
    <x v="0"/>
    <x v="2"/>
    <n v="1"/>
    <n v="566"/>
    <n v="169.17"/>
  </r>
  <r>
    <x v="899"/>
    <x v="9"/>
    <x v="2"/>
    <x v="1"/>
    <n v="7"/>
    <n v="945"/>
    <n v="75.209999999999994"/>
  </r>
  <r>
    <x v="900"/>
    <x v="5"/>
    <x v="2"/>
    <x v="0"/>
    <n v="4"/>
    <n v="2200"/>
    <n v="484.33"/>
  </r>
  <r>
    <x v="773"/>
    <x v="1"/>
    <x v="1"/>
    <x v="0"/>
    <n v="1"/>
    <n v="746"/>
    <n v="131.25"/>
  </r>
  <r>
    <x v="486"/>
    <x v="6"/>
    <x v="1"/>
    <x v="1"/>
    <n v="5"/>
    <n v="3505"/>
    <n v="678.18"/>
  </r>
  <r>
    <x v="603"/>
    <x v="6"/>
    <x v="1"/>
    <x v="1"/>
    <n v="5"/>
    <n v="4795"/>
    <n v="819.12"/>
  </r>
  <r>
    <x v="836"/>
    <x v="6"/>
    <x v="1"/>
    <x v="0"/>
    <n v="5"/>
    <n v="4590"/>
    <n v="650.04999999999995"/>
  </r>
  <r>
    <x v="34"/>
    <x v="6"/>
    <x v="1"/>
    <x v="0"/>
    <n v="4"/>
    <n v="2092"/>
    <n v="467.02"/>
  </r>
  <r>
    <x v="321"/>
    <x v="1"/>
    <x v="1"/>
    <x v="2"/>
    <n v="8"/>
    <n v="3568"/>
    <n v="334.13"/>
  </r>
  <r>
    <x v="863"/>
    <x v="7"/>
    <x v="2"/>
    <x v="3"/>
    <n v="9"/>
    <n v="10404"/>
    <n v="2028.21"/>
  </r>
  <r>
    <x v="901"/>
    <x v="0"/>
    <x v="0"/>
    <x v="2"/>
    <n v="9"/>
    <n v="7029"/>
    <n v="1005.58"/>
  </r>
  <r>
    <x v="853"/>
    <x v="9"/>
    <x v="2"/>
    <x v="3"/>
    <n v="8"/>
    <n v="664"/>
    <n v="126.6"/>
  </r>
  <r>
    <x v="211"/>
    <x v="2"/>
    <x v="2"/>
    <x v="3"/>
    <n v="3"/>
    <n v="1923"/>
    <n v="274"/>
  </r>
  <r>
    <x v="860"/>
    <x v="0"/>
    <x v="0"/>
    <x v="3"/>
    <n v="7"/>
    <n v="2471"/>
    <n v="566.51"/>
  </r>
  <r>
    <x v="456"/>
    <x v="7"/>
    <x v="2"/>
    <x v="0"/>
    <n v="2"/>
    <n v="258"/>
    <n v="64.12"/>
  </r>
  <r>
    <x v="774"/>
    <x v="5"/>
    <x v="2"/>
    <x v="1"/>
    <n v="9"/>
    <n v="1134"/>
    <n v="267.26"/>
  </r>
  <r>
    <x v="902"/>
    <x v="4"/>
    <x v="1"/>
    <x v="1"/>
    <n v="5"/>
    <n v="855"/>
    <n v="238.83"/>
  </r>
  <r>
    <x v="549"/>
    <x v="5"/>
    <x v="2"/>
    <x v="3"/>
    <n v="9"/>
    <n v="3231"/>
    <n v="670.85"/>
  </r>
  <r>
    <x v="640"/>
    <x v="2"/>
    <x v="2"/>
    <x v="2"/>
    <n v="7"/>
    <n v="3591"/>
    <n v="266.58999999999997"/>
  </r>
  <r>
    <x v="13"/>
    <x v="3"/>
    <x v="2"/>
    <x v="1"/>
    <n v="2"/>
    <n v="254"/>
    <n v="20.48"/>
  </r>
  <r>
    <x v="278"/>
    <x v="7"/>
    <x v="2"/>
    <x v="2"/>
    <n v="5"/>
    <n v="5930"/>
    <n v="1193.32"/>
  </r>
  <r>
    <x v="903"/>
    <x v="4"/>
    <x v="1"/>
    <x v="3"/>
    <n v="2"/>
    <n v="1344"/>
    <n v="297.99"/>
  </r>
  <r>
    <x v="904"/>
    <x v="9"/>
    <x v="2"/>
    <x v="1"/>
    <n v="1"/>
    <n v="920"/>
    <n v="98.31"/>
  </r>
  <r>
    <x v="905"/>
    <x v="0"/>
    <x v="0"/>
    <x v="0"/>
    <n v="9"/>
    <n v="5454"/>
    <n v="385.51"/>
  </r>
  <r>
    <x v="906"/>
    <x v="9"/>
    <x v="2"/>
    <x v="3"/>
    <n v="8"/>
    <n v="9512"/>
    <n v="663.23"/>
  </r>
  <r>
    <x v="304"/>
    <x v="1"/>
    <x v="1"/>
    <x v="0"/>
    <n v="4"/>
    <n v="2972"/>
    <n v="827.46"/>
  </r>
  <r>
    <x v="324"/>
    <x v="5"/>
    <x v="2"/>
    <x v="3"/>
    <n v="3"/>
    <n v="3360"/>
    <n v="465.02"/>
  </r>
  <r>
    <x v="781"/>
    <x v="2"/>
    <x v="2"/>
    <x v="3"/>
    <n v="4"/>
    <n v="1004"/>
    <n v="240.13"/>
  </r>
  <r>
    <x v="366"/>
    <x v="4"/>
    <x v="1"/>
    <x v="3"/>
    <n v="2"/>
    <n v="1944"/>
    <n v="332.55"/>
  </r>
  <r>
    <x v="796"/>
    <x v="6"/>
    <x v="1"/>
    <x v="1"/>
    <n v="5"/>
    <n v="5055"/>
    <n v="1200.0899999999999"/>
  </r>
  <r>
    <x v="222"/>
    <x v="5"/>
    <x v="2"/>
    <x v="3"/>
    <n v="2"/>
    <n v="128"/>
    <n v="8.33"/>
  </r>
  <r>
    <x v="811"/>
    <x v="7"/>
    <x v="2"/>
    <x v="1"/>
    <n v="3"/>
    <n v="633"/>
    <n v="163.03"/>
  </r>
  <r>
    <x v="91"/>
    <x v="0"/>
    <x v="0"/>
    <x v="2"/>
    <n v="3"/>
    <n v="2523"/>
    <n v="506.7"/>
  </r>
  <r>
    <x v="577"/>
    <x v="0"/>
    <x v="0"/>
    <x v="3"/>
    <n v="1"/>
    <n v="196"/>
    <n v="39.6"/>
  </r>
  <r>
    <x v="691"/>
    <x v="0"/>
    <x v="0"/>
    <x v="1"/>
    <n v="9"/>
    <n v="4212"/>
    <n v="552.96"/>
  </r>
  <r>
    <x v="594"/>
    <x v="6"/>
    <x v="1"/>
    <x v="0"/>
    <n v="1"/>
    <n v="63"/>
    <n v="17.29"/>
  </r>
  <r>
    <x v="907"/>
    <x v="1"/>
    <x v="1"/>
    <x v="2"/>
    <n v="8"/>
    <n v="2752"/>
    <n v="394.66"/>
  </r>
  <r>
    <x v="599"/>
    <x v="1"/>
    <x v="1"/>
    <x v="3"/>
    <n v="3"/>
    <n v="1989"/>
    <n v="419.61"/>
  </r>
  <r>
    <x v="811"/>
    <x v="9"/>
    <x v="2"/>
    <x v="1"/>
    <n v="8"/>
    <n v="8032"/>
    <n v="466.19"/>
  </r>
  <r>
    <x v="633"/>
    <x v="2"/>
    <x v="2"/>
    <x v="2"/>
    <n v="6"/>
    <n v="3702"/>
    <n v="407.34"/>
  </r>
  <r>
    <x v="461"/>
    <x v="5"/>
    <x v="2"/>
    <x v="1"/>
    <n v="8"/>
    <n v="456"/>
    <n v="90.24"/>
  </r>
  <r>
    <x v="291"/>
    <x v="3"/>
    <x v="2"/>
    <x v="3"/>
    <n v="7"/>
    <n v="5355"/>
    <n v="1143.1600000000001"/>
  </r>
  <r>
    <x v="117"/>
    <x v="3"/>
    <x v="2"/>
    <x v="3"/>
    <n v="1"/>
    <n v="972"/>
    <n v="261.91000000000003"/>
  </r>
  <r>
    <x v="449"/>
    <x v="4"/>
    <x v="1"/>
    <x v="2"/>
    <n v="5"/>
    <n v="3290"/>
    <n v="797.82"/>
  </r>
  <r>
    <x v="167"/>
    <x v="9"/>
    <x v="2"/>
    <x v="1"/>
    <n v="1"/>
    <n v="735"/>
    <n v="139.31"/>
  </r>
  <r>
    <x v="908"/>
    <x v="2"/>
    <x v="2"/>
    <x v="0"/>
    <n v="3"/>
    <n v="3336"/>
    <n v="798.26"/>
  </r>
  <r>
    <x v="716"/>
    <x v="8"/>
    <x v="1"/>
    <x v="3"/>
    <n v="3"/>
    <n v="2082"/>
    <n v="346.53"/>
  </r>
  <r>
    <x v="361"/>
    <x v="8"/>
    <x v="1"/>
    <x v="1"/>
    <n v="2"/>
    <n v="1340"/>
    <n v="129.88999999999999"/>
  </r>
  <r>
    <x v="576"/>
    <x v="9"/>
    <x v="2"/>
    <x v="1"/>
    <n v="5"/>
    <n v="1160"/>
    <n v="227.13"/>
  </r>
  <r>
    <x v="769"/>
    <x v="6"/>
    <x v="1"/>
    <x v="1"/>
    <n v="4"/>
    <n v="1272"/>
    <n v="299.83999999999997"/>
  </r>
  <r>
    <x v="7"/>
    <x v="0"/>
    <x v="0"/>
    <x v="3"/>
    <n v="3"/>
    <n v="2817"/>
    <n v="588.47"/>
  </r>
  <r>
    <x v="20"/>
    <x v="6"/>
    <x v="1"/>
    <x v="1"/>
    <n v="3"/>
    <n v="1464"/>
    <n v="264.67"/>
  </r>
  <r>
    <x v="694"/>
    <x v="4"/>
    <x v="1"/>
    <x v="3"/>
    <n v="1"/>
    <n v="307"/>
    <n v="60.51"/>
  </r>
  <r>
    <x v="430"/>
    <x v="2"/>
    <x v="2"/>
    <x v="3"/>
    <n v="6"/>
    <n v="5706"/>
    <n v="1306.92"/>
  </r>
  <r>
    <x v="538"/>
    <x v="4"/>
    <x v="1"/>
    <x v="0"/>
    <n v="1"/>
    <n v="1112"/>
    <n v="100.47"/>
  </r>
  <r>
    <x v="160"/>
    <x v="8"/>
    <x v="1"/>
    <x v="3"/>
    <n v="1"/>
    <n v="1147"/>
    <n v="133.47999999999999"/>
  </r>
  <r>
    <x v="17"/>
    <x v="9"/>
    <x v="2"/>
    <x v="0"/>
    <n v="2"/>
    <n v="330"/>
    <n v="66.569999999999993"/>
  </r>
  <r>
    <x v="865"/>
    <x v="6"/>
    <x v="1"/>
    <x v="0"/>
    <n v="4"/>
    <n v="2176"/>
    <n v="250.89"/>
  </r>
  <r>
    <x v="120"/>
    <x v="4"/>
    <x v="1"/>
    <x v="2"/>
    <n v="7"/>
    <n v="7616"/>
    <n v="1317.79"/>
  </r>
  <r>
    <x v="909"/>
    <x v="0"/>
    <x v="0"/>
    <x v="0"/>
    <n v="1"/>
    <n v="1091"/>
    <n v="258.3"/>
  </r>
  <r>
    <x v="840"/>
    <x v="2"/>
    <x v="2"/>
    <x v="1"/>
    <n v="2"/>
    <n v="1026"/>
    <n v="279.76"/>
  </r>
  <r>
    <x v="686"/>
    <x v="2"/>
    <x v="2"/>
    <x v="3"/>
    <n v="2"/>
    <n v="210"/>
    <n v="42.04"/>
  </r>
  <r>
    <x v="816"/>
    <x v="0"/>
    <x v="0"/>
    <x v="0"/>
    <n v="2"/>
    <n v="180"/>
    <n v="10.78"/>
  </r>
  <r>
    <x v="393"/>
    <x v="2"/>
    <x v="2"/>
    <x v="0"/>
    <n v="4"/>
    <n v="380"/>
    <n v="72.88"/>
  </r>
  <r>
    <x v="162"/>
    <x v="6"/>
    <x v="1"/>
    <x v="3"/>
    <n v="8"/>
    <n v="7664"/>
    <n v="1580.55"/>
  </r>
  <r>
    <x v="418"/>
    <x v="7"/>
    <x v="2"/>
    <x v="1"/>
    <n v="8"/>
    <n v="6056"/>
    <n v="1029.9000000000001"/>
  </r>
  <r>
    <x v="245"/>
    <x v="1"/>
    <x v="1"/>
    <x v="0"/>
    <n v="6"/>
    <n v="606"/>
    <n v="104.52"/>
  </r>
  <r>
    <x v="301"/>
    <x v="6"/>
    <x v="1"/>
    <x v="0"/>
    <n v="3"/>
    <n v="750"/>
    <n v="193.86"/>
  </r>
  <r>
    <x v="731"/>
    <x v="0"/>
    <x v="0"/>
    <x v="1"/>
    <n v="2"/>
    <n v="1218"/>
    <n v="218.88"/>
  </r>
  <r>
    <x v="99"/>
    <x v="9"/>
    <x v="2"/>
    <x v="3"/>
    <n v="2"/>
    <n v="2162"/>
    <n v="355.45"/>
  </r>
  <r>
    <x v="420"/>
    <x v="4"/>
    <x v="1"/>
    <x v="1"/>
    <n v="9"/>
    <n v="2223"/>
    <n v="347.01"/>
  </r>
  <r>
    <x v="910"/>
    <x v="7"/>
    <x v="2"/>
    <x v="3"/>
    <n v="7"/>
    <n v="4452"/>
    <n v="920.05"/>
  </r>
  <r>
    <x v="89"/>
    <x v="0"/>
    <x v="0"/>
    <x v="3"/>
    <n v="1"/>
    <n v="184"/>
    <n v="50.19"/>
  </r>
  <r>
    <x v="911"/>
    <x v="4"/>
    <x v="1"/>
    <x v="0"/>
    <n v="3"/>
    <n v="288"/>
    <n v="77.38"/>
  </r>
  <r>
    <x v="450"/>
    <x v="3"/>
    <x v="2"/>
    <x v="3"/>
    <n v="2"/>
    <n v="834"/>
    <n v="150.12"/>
  </r>
  <r>
    <x v="500"/>
    <x v="8"/>
    <x v="1"/>
    <x v="1"/>
    <n v="5"/>
    <n v="4025"/>
    <n v="923.17"/>
  </r>
  <r>
    <x v="912"/>
    <x v="4"/>
    <x v="1"/>
    <x v="3"/>
    <n v="7"/>
    <n v="4732"/>
    <n v="1084.28"/>
  </r>
  <r>
    <x v="913"/>
    <x v="4"/>
    <x v="1"/>
    <x v="3"/>
    <n v="5"/>
    <n v="4025"/>
    <n v="407.72"/>
  </r>
  <r>
    <x v="160"/>
    <x v="0"/>
    <x v="0"/>
    <x v="2"/>
    <n v="8"/>
    <n v="2416"/>
    <n v="500.93"/>
  </r>
  <r>
    <x v="3"/>
    <x v="2"/>
    <x v="2"/>
    <x v="0"/>
    <n v="7"/>
    <n v="1897"/>
    <n v="524.69000000000005"/>
  </r>
  <r>
    <x v="812"/>
    <x v="1"/>
    <x v="1"/>
    <x v="1"/>
    <n v="4"/>
    <n v="840"/>
    <n v="190.13"/>
  </r>
  <r>
    <x v="270"/>
    <x v="1"/>
    <x v="1"/>
    <x v="0"/>
    <n v="8"/>
    <n v="6600"/>
    <n v="360.45"/>
  </r>
  <r>
    <x v="199"/>
    <x v="9"/>
    <x v="2"/>
    <x v="3"/>
    <n v="2"/>
    <n v="2362"/>
    <n v="342.27"/>
  </r>
  <r>
    <x v="649"/>
    <x v="4"/>
    <x v="1"/>
    <x v="2"/>
    <n v="6"/>
    <n v="2958"/>
    <n v="577.27"/>
  </r>
  <r>
    <x v="122"/>
    <x v="2"/>
    <x v="2"/>
    <x v="1"/>
    <n v="1"/>
    <n v="477"/>
    <n v="56.49"/>
  </r>
  <r>
    <x v="824"/>
    <x v="8"/>
    <x v="1"/>
    <x v="0"/>
    <n v="3"/>
    <n v="942"/>
    <n v="84.8"/>
  </r>
  <r>
    <x v="304"/>
    <x v="3"/>
    <x v="2"/>
    <x v="1"/>
    <n v="2"/>
    <n v="2084"/>
    <n v="586.72"/>
  </r>
  <r>
    <x v="173"/>
    <x v="2"/>
    <x v="2"/>
    <x v="3"/>
    <n v="6"/>
    <n v="4584"/>
    <n v="473.37"/>
  </r>
  <r>
    <x v="670"/>
    <x v="0"/>
    <x v="0"/>
    <x v="1"/>
    <n v="1"/>
    <n v="1118"/>
    <n v="319.27999999999997"/>
  </r>
  <r>
    <x v="261"/>
    <x v="1"/>
    <x v="1"/>
    <x v="0"/>
    <n v="9"/>
    <n v="4005"/>
    <n v="652.15"/>
  </r>
  <r>
    <x v="117"/>
    <x v="5"/>
    <x v="2"/>
    <x v="1"/>
    <n v="5"/>
    <n v="4610"/>
    <n v="1293.3699999999999"/>
  </r>
  <r>
    <x v="859"/>
    <x v="8"/>
    <x v="1"/>
    <x v="2"/>
    <n v="1"/>
    <n v="551"/>
    <n v="86.84"/>
  </r>
  <r>
    <x v="87"/>
    <x v="0"/>
    <x v="0"/>
    <x v="3"/>
    <n v="1"/>
    <n v="75"/>
    <n v="19.29"/>
  </r>
  <r>
    <x v="453"/>
    <x v="1"/>
    <x v="1"/>
    <x v="2"/>
    <n v="6"/>
    <n v="6576"/>
    <n v="1899.67"/>
  </r>
  <r>
    <x v="99"/>
    <x v="0"/>
    <x v="0"/>
    <x v="0"/>
    <n v="6"/>
    <n v="6432"/>
    <n v="1410.52"/>
  </r>
  <r>
    <x v="358"/>
    <x v="4"/>
    <x v="1"/>
    <x v="2"/>
    <n v="7"/>
    <n v="7763"/>
    <n v="1444.27"/>
  </r>
  <r>
    <x v="578"/>
    <x v="6"/>
    <x v="1"/>
    <x v="1"/>
    <n v="7"/>
    <n v="2240"/>
    <n v="622.29"/>
  </r>
  <r>
    <x v="41"/>
    <x v="4"/>
    <x v="1"/>
    <x v="1"/>
    <n v="6"/>
    <n v="5298"/>
    <n v="1209.8800000000001"/>
  </r>
  <r>
    <x v="160"/>
    <x v="5"/>
    <x v="2"/>
    <x v="0"/>
    <n v="2"/>
    <n v="116"/>
    <n v="32.270000000000003"/>
  </r>
  <r>
    <x v="914"/>
    <x v="2"/>
    <x v="2"/>
    <x v="1"/>
    <n v="8"/>
    <n v="6728"/>
    <n v="1140.19"/>
  </r>
  <r>
    <x v="899"/>
    <x v="6"/>
    <x v="1"/>
    <x v="0"/>
    <n v="5"/>
    <n v="490"/>
    <n v="55.59"/>
  </r>
  <r>
    <x v="611"/>
    <x v="6"/>
    <x v="1"/>
    <x v="0"/>
    <n v="7"/>
    <n v="2765"/>
    <n v="699.86"/>
  </r>
  <r>
    <x v="915"/>
    <x v="7"/>
    <x v="2"/>
    <x v="3"/>
    <n v="8"/>
    <n v="2680"/>
    <n v="598.97"/>
  </r>
  <r>
    <x v="372"/>
    <x v="3"/>
    <x v="2"/>
    <x v="1"/>
    <n v="2"/>
    <n v="2174"/>
    <n v="335.37"/>
  </r>
  <r>
    <x v="896"/>
    <x v="6"/>
    <x v="1"/>
    <x v="0"/>
    <n v="9"/>
    <n v="5562"/>
    <n v="1258.1199999999999"/>
  </r>
  <r>
    <x v="11"/>
    <x v="7"/>
    <x v="2"/>
    <x v="1"/>
    <n v="8"/>
    <n v="9208"/>
    <n v="2595.33"/>
  </r>
  <r>
    <x v="557"/>
    <x v="7"/>
    <x v="2"/>
    <x v="3"/>
    <n v="4"/>
    <n v="4512"/>
    <n v="546.71"/>
  </r>
  <r>
    <x v="117"/>
    <x v="3"/>
    <x v="2"/>
    <x v="3"/>
    <n v="9"/>
    <n v="7974"/>
    <n v="1965.96"/>
  </r>
  <r>
    <x v="881"/>
    <x v="6"/>
    <x v="1"/>
    <x v="1"/>
    <n v="6"/>
    <n v="4944"/>
    <n v="1335.04"/>
  </r>
  <r>
    <x v="120"/>
    <x v="0"/>
    <x v="0"/>
    <x v="2"/>
    <n v="3"/>
    <n v="1611"/>
    <n v="234.84"/>
  </r>
  <r>
    <x v="528"/>
    <x v="5"/>
    <x v="2"/>
    <x v="3"/>
    <n v="9"/>
    <n v="4599"/>
    <n v="618.89"/>
  </r>
  <r>
    <x v="726"/>
    <x v="9"/>
    <x v="2"/>
    <x v="1"/>
    <n v="6"/>
    <n v="4380"/>
    <n v="419.3"/>
  </r>
  <r>
    <x v="836"/>
    <x v="4"/>
    <x v="1"/>
    <x v="2"/>
    <n v="2"/>
    <n v="2376"/>
    <n v="580.26"/>
  </r>
  <r>
    <x v="564"/>
    <x v="6"/>
    <x v="1"/>
    <x v="2"/>
    <n v="9"/>
    <n v="6588"/>
    <n v="1800.9"/>
  </r>
  <r>
    <x v="443"/>
    <x v="1"/>
    <x v="1"/>
    <x v="1"/>
    <n v="5"/>
    <n v="3745"/>
    <n v="720.08"/>
  </r>
  <r>
    <x v="316"/>
    <x v="3"/>
    <x v="2"/>
    <x v="0"/>
    <n v="5"/>
    <n v="5305"/>
    <n v="1389.25"/>
  </r>
  <r>
    <x v="130"/>
    <x v="2"/>
    <x v="2"/>
    <x v="0"/>
    <n v="8"/>
    <n v="1608"/>
    <n v="332.12"/>
  </r>
  <r>
    <x v="361"/>
    <x v="6"/>
    <x v="1"/>
    <x v="1"/>
    <n v="9"/>
    <n v="4977"/>
    <n v="745.81"/>
  </r>
  <r>
    <x v="460"/>
    <x v="7"/>
    <x v="2"/>
    <x v="1"/>
    <n v="7"/>
    <n v="4529"/>
    <n v="273.97000000000003"/>
  </r>
  <r>
    <x v="404"/>
    <x v="3"/>
    <x v="2"/>
    <x v="3"/>
    <n v="7"/>
    <n v="4690"/>
    <n v="319.42"/>
  </r>
  <r>
    <x v="916"/>
    <x v="8"/>
    <x v="1"/>
    <x v="1"/>
    <n v="4"/>
    <n v="2424"/>
    <n v="544.07000000000005"/>
  </r>
  <r>
    <x v="492"/>
    <x v="8"/>
    <x v="1"/>
    <x v="0"/>
    <n v="6"/>
    <n v="3594"/>
    <n v="610.77"/>
  </r>
  <r>
    <x v="806"/>
    <x v="8"/>
    <x v="1"/>
    <x v="0"/>
    <n v="7"/>
    <n v="3962"/>
    <n v="491.9"/>
  </r>
  <r>
    <x v="685"/>
    <x v="3"/>
    <x v="2"/>
    <x v="1"/>
    <n v="2"/>
    <n v="944"/>
    <n v="149.38"/>
  </r>
  <r>
    <x v="917"/>
    <x v="5"/>
    <x v="2"/>
    <x v="3"/>
    <n v="6"/>
    <n v="6792"/>
    <n v="1787.97"/>
  </r>
  <r>
    <x v="536"/>
    <x v="2"/>
    <x v="2"/>
    <x v="0"/>
    <n v="7"/>
    <n v="6804"/>
    <n v="1383.81"/>
  </r>
  <r>
    <x v="775"/>
    <x v="3"/>
    <x v="2"/>
    <x v="2"/>
    <n v="6"/>
    <n v="816"/>
    <n v="98.75"/>
  </r>
  <r>
    <x v="637"/>
    <x v="6"/>
    <x v="1"/>
    <x v="0"/>
    <n v="6"/>
    <n v="5916"/>
    <n v="544.59"/>
  </r>
  <r>
    <x v="669"/>
    <x v="1"/>
    <x v="1"/>
    <x v="2"/>
    <n v="5"/>
    <n v="5730"/>
    <n v="310.58"/>
  </r>
  <r>
    <x v="468"/>
    <x v="4"/>
    <x v="1"/>
    <x v="1"/>
    <n v="7"/>
    <n v="8288"/>
    <n v="785.54"/>
  </r>
  <r>
    <x v="839"/>
    <x v="4"/>
    <x v="1"/>
    <x v="2"/>
    <n v="2"/>
    <n v="2046"/>
    <n v="394.93"/>
  </r>
  <r>
    <x v="918"/>
    <x v="2"/>
    <x v="2"/>
    <x v="1"/>
    <n v="9"/>
    <n v="5031"/>
    <n v="1149.48"/>
  </r>
  <r>
    <x v="149"/>
    <x v="8"/>
    <x v="1"/>
    <x v="2"/>
    <n v="9"/>
    <n v="1764"/>
    <n v="417.95"/>
  </r>
  <r>
    <x v="692"/>
    <x v="9"/>
    <x v="2"/>
    <x v="2"/>
    <n v="8"/>
    <n v="1880"/>
    <n v="486.88"/>
  </r>
  <r>
    <x v="132"/>
    <x v="5"/>
    <x v="2"/>
    <x v="3"/>
    <n v="2"/>
    <n v="200"/>
    <n v="10.45"/>
  </r>
  <r>
    <x v="789"/>
    <x v="1"/>
    <x v="1"/>
    <x v="1"/>
    <n v="3"/>
    <n v="2688"/>
    <n v="476.77"/>
  </r>
  <r>
    <x v="622"/>
    <x v="9"/>
    <x v="2"/>
    <x v="3"/>
    <n v="4"/>
    <n v="3216"/>
    <n v="213.81"/>
  </r>
  <r>
    <x v="12"/>
    <x v="3"/>
    <x v="2"/>
    <x v="1"/>
    <n v="8"/>
    <n v="8440"/>
    <n v="1504.18"/>
  </r>
  <r>
    <x v="395"/>
    <x v="2"/>
    <x v="2"/>
    <x v="1"/>
    <n v="7"/>
    <n v="1582"/>
    <n v="208.42"/>
  </r>
  <r>
    <x v="681"/>
    <x v="9"/>
    <x v="2"/>
    <x v="0"/>
    <n v="1"/>
    <n v="58"/>
    <n v="10.79"/>
  </r>
  <r>
    <x v="627"/>
    <x v="5"/>
    <x v="2"/>
    <x v="3"/>
    <n v="8"/>
    <n v="608"/>
    <n v="163.18"/>
  </r>
  <r>
    <x v="422"/>
    <x v="7"/>
    <x v="2"/>
    <x v="0"/>
    <n v="3"/>
    <n v="183"/>
    <n v="41.82"/>
  </r>
  <r>
    <x v="766"/>
    <x v="6"/>
    <x v="1"/>
    <x v="3"/>
    <n v="5"/>
    <n v="3105"/>
    <n v="744.26"/>
  </r>
  <r>
    <x v="129"/>
    <x v="6"/>
    <x v="1"/>
    <x v="0"/>
    <n v="5"/>
    <n v="2450"/>
    <n v="485.18"/>
  </r>
  <r>
    <x v="86"/>
    <x v="9"/>
    <x v="2"/>
    <x v="0"/>
    <n v="3"/>
    <n v="3024"/>
    <n v="622.29"/>
  </r>
  <r>
    <x v="157"/>
    <x v="0"/>
    <x v="0"/>
    <x v="1"/>
    <n v="4"/>
    <n v="3856"/>
    <n v="747.79"/>
  </r>
  <r>
    <x v="919"/>
    <x v="8"/>
    <x v="1"/>
    <x v="3"/>
    <n v="7"/>
    <n v="532"/>
    <n v="121.03"/>
  </r>
  <r>
    <x v="817"/>
    <x v="7"/>
    <x v="2"/>
    <x v="2"/>
    <n v="4"/>
    <n v="3152"/>
    <n v="307.62"/>
  </r>
  <r>
    <x v="10"/>
    <x v="6"/>
    <x v="1"/>
    <x v="1"/>
    <n v="9"/>
    <n v="8586"/>
    <n v="1555.82"/>
  </r>
  <r>
    <x v="30"/>
    <x v="6"/>
    <x v="1"/>
    <x v="2"/>
    <n v="2"/>
    <n v="1046"/>
    <n v="273.38"/>
  </r>
  <r>
    <x v="483"/>
    <x v="2"/>
    <x v="2"/>
    <x v="3"/>
    <n v="4"/>
    <n v="3452"/>
    <n v="560.30999999999995"/>
  </r>
  <r>
    <x v="655"/>
    <x v="6"/>
    <x v="1"/>
    <x v="3"/>
    <n v="4"/>
    <n v="2368"/>
    <n v="361.02"/>
  </r>
  <r>
    <x v="199"/>
    <x v="3"/>
    <x v="2"/>
    <x v="2"/>
    <n v="2"/>
    <n v="1924"/>
    <n v="422.25"/>
  </r>
  <r>
    <x v="399"/>
    <x v="9"/>
    <x v="2"/>
    <x v="3"/>
    <n v="5"/>
    <n v="4580"/>
    <n v="1148.06"/>
  </r>
  <r>
    <x v="795"/>
    <x v="4"/>
    <x v="1"/>
    <x v="1"/>
    <n v="5"/>
    <n v="3735"/>
    <n v="423.94"/>
  </r>
  <r>
    <x v="920"/>
    <x v="6"/>
    <x v="1"/>
    <x v="0"/>
    <n v="4"/>
    <n v="2476"/>
    <n v="417.16"/>
  </r>
  <r>
    <x v="442"/>
    <x v="9"/>
    <x v="2"/>
    <x v="2"/>
    <n v="2"/>
    <n v="162"/>
    <n v="16.510000000000002"/>
  </r>
  <r>
    <x v="509"/>
    <x v="0"/>
    <x v="0"/>
    <x v="3"/>
    <n v="3"/>
    <n v="258"/>
    <n v="38.03"/>
  </r>
  <r>
    <x v="120"/>
    <x v="8"/>
    <x v="1"/>
    <x v="1"/>
    <n v="4"/>
    <n v="3524"/>
    <n v="998.29"/>
  </r>
  <r>
    <x v="748"/>
    <x v="5"/>
    <x v="2"/>
    <x v="2"/>
    <n v="8"/>
    <n v="6184"/>
    <n v="1796.9"/>
  </r>
  <r>
    <x v="401"/>
    <x v="6"/>
    <x v="1"/>
    <x v="3"/>
    <n v="6"/>
    <n v="3750"/>
    <n v="645.69000000000005"/>
  </r>
  <r>
    <x v="102"/>
    <x v="1"/>
    <x v="1"/>
    <x v="2"/>
    <n v="5"/>
    <n v="1465"/>
    <n v="424.64"/>
  </r>
  <r>
    <x v="594"/>
    <x v="3"/>
    <x v="2"/>
    <x v="0"/>
    <n v="4"/>
    <n v="4480"/>
    <n v="412.05"/>
  </r>
  <r>
    <x v="544"/>
    <x v="9"/>
    <x v="2"/>
    <x v="0"/>
    <n v="8"/>
    <n v="1544"/>
    <n v="281.22000000000003"/>
  </r>
  <r>
    <x v="184"/>
    <x v="4"/>
    <x v="1"/>
    <x v="0"/>
    <n v="9"/>
    <n v="7974"/>
    <n v="1181.04"/>
  </r>
  <r>
    <x v="301"/>
    <x v="0"/>
    <x v="0"/>
    <x v="1"/>
    <n v="5"/>
    <n v="5920"/>
    <n v="1679.15"/>
  </r>
  <r>
    <x v="710"/>
    <x v="5"/>
    <x v="2"/>
    <x v="2"/>
    <n v="8"/>
    <n v="8792"/>
    <n v="2045.54"/>
  </r>
  <r>
    <x v="700"/>
    <x v="5"/>
    <x v="2"/>
    <x v="1"/>
    <n v="1"/>
    <n v="294"/>
    <n v="52.37"/>
  </r>
  <r>
    <x v="150"/>
    <x v="3"/>
    <x v="2"/>
    <x v="1"/>
    <n v="7"/>
    <n v="1169"/>
    <n v="264.37"/>
  </r>
  <r>
    <x v="921"/>
    <x v="3"/>
    <x v="2"/>
    <x v="3"/>
    <n v="8"/>
    <n v="9232"/>
    <n v="880.52"/>
  </r>
  <r>
    <x v="6"/>
    <x v="4"/>
    <x v="1"/>
    <x v="2"/>
    <n v="4"/>
    <n v="1396"/>
    <n v="135.47999999999999"/>
  </r>
  <r>
    <x v="203"/>
    <x v="3"/>
    <x v="2"/>
    <x v="0"/>
    <n v="9"/>
    <n v="10188"/>
    <n v="1408.18"/>
  </r>
  <r>
    <x v="922"/>
    <x v="6"/>
    <x v="1"/>
    <x v="3"/>
    <n v="2"/>
    <n v="222"/>
    <n v="23.65"/>
  </r>
  <r>
    <x v="840"/>
    <x v="6"/>
    <x v="1"/>
    <x v="3"/>
    <n v="2"/>
    <n v="1328"/>
    <n v="358.07"/>
  </r>
  <r>
    <x v="177"/>
    <x v="0"/>
    <x v="0"/>
    <x v="1"/>
    <n v="9"/>
    <n v="5085"/>
    <n v="488.63"/>
  </r>
  <r>
    <x v="923"/>
    <x v="1"/>
    <x v="1"/>
    <x v="3"/>
    <n v="3"/>
    <n v="1245"/>
    <n v="229.73"/>
  </r>
  <r>
    <x v="480"/>
    <x v="2"/>
    <x v="2"/>
    <x v="2"/>
    <n v="2"/>
    <n v="960"/>
    <n v="124.02"/>
  </r>
  <r>
    <x v="293"/>
    <x v="7"/>
    <x v="2"/>
    <x v="3"/>
    <n v="9"/>
    <n v="5553"/>
    <n v="329.79"/>
  </r>
  <r>
    <x v="593"/>
    <x v="8"/>
    <x v="1"/>
    <x v="0"/>
    <n v="2"/>
    <n v="1790"/>
    <n v="236.76"/>
  </r>
  <r>
    <x v="325"/>
    <x v="8"/>
    <x v="1"/>
    <x v="3"/>
    <n v="8"/>
    <n v="2712"/>
    <n v="247.84"/>
  </r>
  <r>
    <x v="274"/>
    <x v="9"/>
    <x v="2"/>
    <x v="0"/>
    <n v="1"/>
    <n v="632"/>
    <n v="89.14"/>
  </r>
  <r>
    <x v="555"/>
    <x v="4"/>
    <x v="1"/>
    <x v="2"/>
    <n v="8"/>
    <n v="4904"/>
    <n v="520.74"/>
  </r>
  <r>
    <x v="86"/>
    <x v="8"/>
    <x v="1"/>
    <x v="2"/>
    <n v="1"/>
    <n v="361"/>
    <n v="58.8"/>
  </r>
  <r>
    <x v="691"/>
    <x v="0"/>
    <x v="0"/>
    <x v="3"/>
    <n v="9"/>
    <n v="7290"/>
    <n v="841.07"/>
  </r>
  <r>
    <x v="729"/>
    <x v="5"/>
    <x v="2"/>
    <x v="2"/>
    <n v="4"/>
    <n v="2052"/>
    <n v="181.64"/>
  </r>
  <r>
    <x v="765"/>
    <x v="1"/>
    <x v="1"/>
    <x v="0"/>
    <n v="3"/>
    <n v="1842"/>
    <n v="112.85"/>
  </r>
  <r>
    <x v="216"/>
    <x v="1"/>
    <x v="1"/>
    <x v="0"/>
    <n v="9"/>
    <n v="10593"/>
    <n v="2488.69"/>
  </r>
  <r>
    <x v="905"/>
    <x v="3"/>
    <x v="2"/>
    <x v="2"/>
    <n v="6"/>
    <n v="1218"/>
    <n v="129.36000000000001"/>
  </r>
  <r>
    <x v="359"/>
    <x v="1"/>
    <x v="1"/>
    <x v="2"/>
    <n v="5"/>
    <n v="4240"/>
    <n v="426.41"/>
  </r>
  <r>
    <x v="774"/>
    <x v="8"/>
    <x v="1"/>
    <x v="1"/>
    <n v="2"/>
    <n v="226"/>
    <n v="38.520000000000003"/>
  </r>
  <r>
    <x v="219"/>
    <x v="3"/>
    <x v="2"/>
    <x v="1"/>
    <n v="6"/>
    <n v="5154"/>
    <n v="1072.8"/>
  </r>
  <r>
    <x v="924"/>
    <x v="1"/>
    <x v="1"/>
    <x v="0"/>
    <n v="6"/>
    <n v="1236"/>
    <n v="304.88"/>
  </r>
  <r>
    <x v="137"/>
    <x v="2"/>
    <x v="2"/>
    <x v="2"/>
    <n v="1"/>
    <n v="1179"/>
    <n v="159.41999999999999"/>
  </r>
  <r>
    <x v="343"/>
    <x v="0"/>
    <x v="0"/>
    <x v="3"/>
    <n v="5"/>
    <n v="2275"/>
    <n v="313.5"/>
  </r>
  <r>
    <x v="722"/>
    <x v="5"/>
    <x v="2"/>
    <x v="0"/>
    <n v="7"/>
    <n v="6188"/>
    <n v="1231.3"/>
  </r>
  <r>
    <x v="309"/>
    <x v="4"/>
    <x v="1"/>
    <x v="3"/>
    <n v="3"/>
    <n v="2946"/>
    <n v="666.99"/>
  </r>
  <r>
    <x v="593"/>
    <x v="4"/>
    <x v="1"/>
    <x v="2"/>
    <n v="5"/>
    <n v="5085"/>
    <n v="1172.1199999999999"/>
  </r>
  <r>
    <x v="658"/>
    <x v="8"/>
    <x v="1"/>
    <x v="0"/>
    <n v="2"/>
    <n v="712"/>
    <n v="205.53"/>
  </r>
  <r>
    <x v="268"/>
    <x v="5"/>
    <x v="2"/>
    <x v="1"/>
    <n v="6"/>
    <n v="648"/>
    <n v="62.25"/>
  </r>
  <r>
    <x v="374"/>
    <x v="1"/>
    <x v="1"/>
    <x v="0"/>
    <n v="5"/>
    <n v="2735"/>
    <n v="483.2"/>
  </r>
  <r>
    <x v="570"/>
    <x v="0"/>
    <x v="0"/>
    <x v="0"/>
    <n v="6"/>
    <n v="2910"/>
    <n v="173.45"/>
  </r>
  <r>
    <x v="16"/>
    <x v="5"/>
    <x v="2"/>
    <x v="2"/>
    <n v="1"/>
    <n v="263"/>
    <n v="69.39"/>
  </r>
  <r>
    <x v="64"/>
    <x v="7"/>
    <x v="2"/>
    <x v="0"/>
    <n v="2"/>
    <n v="876"/>
    <n v="66.680000000000007"/>
  </r>
  <r>
    <x v="572"/>
    <x v="1"/>
    <x v="1"/>
    <x v="3"/>
    <n v="1"/>
    <n v="913"/>
    <n v="162.24"/>
  </r>
  <r>
    <x v="224"/>
    <x v="9"/>
    <x v="2"/>
    <x v="2"/>
    <n v="9"/>
    <n v="594"/>
    <n v="93.92"/>
  </r>
  <r>
    <x v="558"/>
    <x v="4"/>
    <x v="1"/>
    <x v="2"/>
    <n v="2"/>
    <n v="956"/>
    <n v="202.14"/>
  </r>
  <r>
    <x v="373"/>
    <x v="9"/>
    <x v="2"/>
    <x v="1"/>
    <n v="7"/>
    <n v="7301"/>
    <n v="2026.43"/>
  </r>
  <r>
    <x v="654"/>
    <x v="4"/>
    <x v="1"/>
    <x v="2"/>
    <n v="6"/>
    <n v="5754"/>
    <n v="1628.61"/>
  </r>
  <r>
    <x v="925"/>
    <x v="4"/>
    <x v="1"/>
    <x v="1"/>
    <n v="4"/>
    <n v="1372"/>
    <n v="274.47000000000003"/>
  </r>
  <r>
    <x v="926"/>
    <x v="4"/>
    <x v="1"/>
    <x v="0"/>
    <n v="8"/>
    <n v="920"/>
    <n v="214.27"/>
  </r>
  <r>
    <x v="927"/>
    <x v="7"/>
    <x v="2"/>
    <x v="0"/>
    <n v="3"/>
    <n v="885"/>
    <n v="150.79"/>
  </r>
  <r>
    <x v="773"/>
    <x v="3"/>
    <x v="2"/>
    <x v="0"/>
    <n v="1"/>
    <n v="379"/>
    <n v="39.409999999999997"/>
  </r>
  <r>
    <x v="299"/>
    <x v="4"/>
    <x v="1"/>
    <x v="3"/>
    <n v="8"/>
    <n v="1024"/>
    <n v="201.92"/>
  </r>
  <r>
    <x v="28"/>
    <x v="8"/>
    <x v="1"/>
    <x v="3"/>
    <n v="4"/>
    <n v="4312"/>
    <n v="388.48"/>
  </r>
  <r>
    <x v="68"/>
    <x v="1"/>
    <x v="1"/>
    <x v="1"/>
    <n v="5"/>
    <n v="5030"/>
    <n v="540.73"/>
  </r>
  <r>
    <x v="429"/>
    <x v="7"/>
    <x v="2"/>
    <x v="3"/>
    <n v="2"/>
    <n v="1438"/>
    <n v="315.83"/>
  </r>
  <r>
    <x v="709"/>
    <x v="8"/>
    <x v="1"/>
    <x v="2"/>
    <n v="1"/>
    <n v="419"/>
    <n v="108.36"/>
  </r>
  <r>
    <x v="857"/>
    <x v="4"/>
    <x v="1"/>
    <x v="1"/>
    <n v="3"/>
    <n v="3519"/>
    <n v="935.72"/>
  </r>
  <r>
    <x v="384"/>
    <x v="2"/>
    <x v="2"/>
    <x v="1"/>
    <n v="8"/>
    <n v="2912"/>
    <n v="451.97"/>
  </r>
  <r>
    <x v="507"/>
    <x v="7"/>
    <x v="2"/>
    <x v="0"/>
    <n v="5"/>
    <n v="4005"/>
    <n v="226.09"/>
  </r>
  <r>
    <x v="858"/>
    <x v="5"/>
    <x v="2"/>
    <x v="2"/>
    <n v="5"/>
    <n v="2075"/>
    <n v="271.70999999999998"/>
  </r>
  <r>
    <x v="626"/>
    <x v="9"/>
    <x v="2"/>
    <x v="2"/>
    <n v="2"/>
    <n v="120"/>
    <n v="7.74"/>
  </r>
  <r>
    <x v="518"/>
    <x v="3"/>
    <x v="2"/>
    <x v="0"/>
    <n v="4"/>
    <n v="564"/>
    <n v="32.799999999999997"/>
  </r>
  <r>
    <x v="487"/>
    <x v="5"/>
    <x v="2"/>
    <x v="1"/>
    <n v="2"/>
    <n v="486"/>
    <n v="62.58"/>
  </r>
  <r>
    <x v="269"/>
    <x v="5"/>
    <x v="2"/>
    <x v="1"/>
    <n v="2"/>
    <n v="1488"/>
    <n v="342.87"/>
  </r>
  <r>
    <x v="144"/>
    <x v="9"/>
    <x v="2"/>
    <x v="3"/>
    <n v="6"/>
    <n v="3096"/>
    <n v="277.68"/>
  </r>
  <r>
    <x v="254"/>
    <x v="5"/>
    <x v="2"/>
    <x v="3"/>
    <n v="8"/>
    <n v="6488"/>
    <n v="1845.07"/>
  </r>
  <r>
    <x v="896"/>
    <x v="5"/>
    <x v="2"/>
    <x v="3"/>
    <n v="4"/>
    <n v="4284"/>
    <n v="848.44"/>
  </r>
  <r>
    <x v="782"/>
    <x v="5"/>
    <x v="2"/>
    <x v="0"/>
    <n v="8"/>
    <n v="1864"/>
    <n v="110.81"/>
  </r>
  <r>
    <x v="111"/>
    <x v="3"/>
    <x v="2"/>
    <x v="3"/>
    <n v="5"/>
    <n v="4435"/>
    <n v="954.12"/>
  </r>
  <r>
    <x v="141"/>
    <x v="3"/>
    <x v="2"/>
    <x v="1"/>
    <n v="4"/>
    <n v="3296"/>
    <n v="460.98"/>
  </r>
  <r>
    <x v="345"/>
    <x v="1"/>
    <x v="1"/>
    <x v="1"/>
    <n v="3"/>
    <n v="780"/>
    <n v="217.92"/>
  </r>
  <r>
    <x v="928"/>
    <x v="5"/>
    <x v="2"/>
    <x v="1"/>
    <n v="7"/>
    <n v="4396"/>
    <n v="962.61"/>
  </r>
  <r>
    <x v="772"/>
    <x v="8"/>
    <x v="1"/>
    <x v="2"/>
    <n v="6"/>
    <n v="1362"/>
    <n v="202.68"/>
  </r>
  <r>
    <x v="555"/>
    <x v="1"/>
    <x v="1"/>
    <x v="1"/>
    <n v="7"/>
    <n v="3843"/>
    <n v="378.03"/>
  </r>
  <r>
    <x v="693"/>
    <x v="0"/>
    <x v="0"/>
    <x v="1"/>
    <n v="2"/>
    <n v="2080"/>
    <n v="450.24"/>
  </r>
  <r>
    <x v="709"/>
    <x v="1"/>
    <x v="1"/>
    <x v="2"/>
    <n v="5"/>
    <n v="1210"/>
    <n v="201.45"/>
  </r>
  <r>
    <x v="886"/>
    <x v="0"/>
    <x v="0"/>
    <x v="3"/>
    <n v="3"/>
    <n v="2316"/>
    <n v="356.5"/>
  </r>
  <r>
    <x v="21"/>
    <x v="6"/>
    <x v="1"/>
    <x v="3"/>
    <n v="6"/>
    <n v="3366"/>
    <n v="614.22"/>
  </r>
  <r>
    <x v="648"/>
    <x v="2"/>
    <x v="2"/>
    <x v="3"/>
    <n v="9"/>
    <n v="6507"/>
    <n v="1075.51"/>
  </r>
  <r>
    <x v="146"/>
    <x v="1"/>
    <x v="1"/>
    <x v="2"/>
    <n v="1"/>
    <n v="384"/>
    <n v="35.36"/>
  </r>
  <r>
    <x v="443"/>
    <x v="9"/>
    <x v="2"/>
    <x v="2"/>
    <n v="5"/>
    <n v="3625"/>
    <n v="563.95000000000005"/>
  </r>
  <r>
    <x v="91"/>
    <x v="2"/>
    <x v="2"/>
    <x v="2"/>
    <n v="1"/>
    <n v="400"/>
    <n v="45.16"/>
  </r>
  <r>
    <x v="752"/>
    <x v="6"/>
    <x v="1"/>
    <x v="0"/>
    <n v="5"/>
    <n v="2880"/>
    <n v="209.58"/>
  </r>
  <r>
    <x v="470"/>
    <x v="0"/>
    <x v="0"/>
    <x v="3"/>
    <n v="6"/>
    <n v="1608"/>
    <n v="302.32"/>
  </r>
  <r>
    <x v="929"/>
    <x v="4"/>
    <x v="1"/>
    <x v="2"/>
    <n v="2"/>
    <n v="1574"/>
    <n v="196.84"/>
  </r>
  <r>
    <x v="602"/>
    <x v="8"/>
    <x v="1"/>
    <x v="1"/>
    <n v="3"/>
    <n v="2478"/>
    <n v="584.37"/>
  </r>
  <r>
    <x v="775"/>
    <x v="4"/>
    <x v="1"/>
    <x v="1"/>
    <n v="8"/>
    <n v="8872"/>
    <n v="1486.58"/>
  </r>
  <r>
    <x v="153"/>
    <x v="0"/>
    <x v="0"/>
    <x v="1"/>
    <n v="8"/>
    <n v="2320"/>
    <n v="668.63"/>
  </r>
  <r>
    <x v="587"/>
    <x v="4"/>
    <x v="1"/>
    <x v="3"/>
    <n v="3"/>
    <n v="171"/>
    <n v="9.02"/>
  </r>
  <r>
    <x v="211"/>
    <x v="8"/>
    <x v="1"/>
    <x v="2"/>
    <n v="8"/>
    <n v="4536"/>
    <n v="627.13"/>
  </r>
  <r>
    <x v="83"/>
    <x v="4"/>
    <x v="1"/>
    <x v="2"/>
    <n v="3"/>
    <n v="1308"/>
    <n v="73.28"/>
  </r>
  <r>
    <x v="930"/>
    <x v="9"/>
    <x v="2"/>
    <x v="0"/>
    <n v="4"/>
    <n v="4048"/>
    <n v="641.23"/>
  </r>
  <r>
    <x v="282"/>
    <x v="2"/>
    <x v="2"/>
    <x v="1"/>
    <n v="9"/>
    <n v="4041"/>
    <n v="963.58"/>
  </r>
  <r>
    <x v="342"/>
    <x v="4"/>
    <x v="1"/>
    <x v="2"/>
    <n v="5"/>
    <n v="5665"/>
    <n v="332.46"/>
  </r>
  <r>
    <x v="639"/>
    <x v="1"/>
    <x v="1"/>
    <x v="2"/>
    <n v="6"/>
    <n v="6876"/>
    <n v="1029.92"/>
  </r>
  <r>
    <x v="885"/>
    <x v="6"/>
    <x v="1"/>
    <x v="2"/>
    <n v="1"/>
    <n v="617"/>
    <n v="145.37"/>
  </r>
  <r>
    <x v="481"/>
    <x v="6"/>
    <x v="1"/>
    <x v="2"/>
    <n v="6"/>
    <n v="1440"/>
    <n v="130.4"/>
  </r>
  <r>
    <x v="57"/>
    <x v="5"/>
    <x v="2"/>
    <x v="1"/>
    <n v="8"/>
    <n v="472"/>
    <n v="116.36"/>
  </r>
  <r>
    <x v="308"/>
    <x v="9"/>
    <x v="2"/>
    <x v="0"/>
    <n v="5"/>
    <n v="5640"/>
    <n v="1227.77"/>
  </r>
  <r>
    <x v="931"/>
    <x v="4"/>
    <x v="1"/>
    <x v="3"/>
    <n v="6"/>
    <n v="2640"/>
    <n v="668.12"/>
  </r>
  <r>
    <x v="164"/>
    <x v="7"/>
    <x v="2"/>
    <x v="2"/>
    <n v="3"/>
    <n v="768"/>
    <n v="72.67"/>
  </r>
  <r>
    <x v="932"/>
    <x v="8"/>
    <x v="1"/>
    <x v="2"/>
    <n v="1"/>
    <n v="725"/>
    <n v="81.96"/>
  </r>
  <r>
    <x v="74"/>
    <x v="4"/>
    <x v="1"/>
    <x v="0"/>
    <n v="8"/>
    <n v="1080"/>
    <n v="210.69"/>
  </r>
  <r>
    <x v="421"/>
    <x v="4"/>
    <x v="1"/>
    <x v="2"/>
    <n v="1"/>
    <n v="393"/>
    <n v="40.340000000000003"/>
  </r>
  <r>
    <x v="525"/>
    <x v="5"/>
    <x v="2"/>
    <x v="0"/>
    <n v="4"/>
    <n v="1264"/>
    <n v="371.92"/>
  </r>
  <r>
    <x v="52"/>
    <x v="4"/>
    <x v="1"/>
    <x v="2"/>
    <n v="9"/>
    <n v="4797"/>
    <n v="1193.95"/>
  </r>
  <r>
    <x v="743"/>
    <x v="2"/>
    <x v="2"/>
    <x v="1"/>
    <n v="8"/>
    <n v="2080"/>
    <n v="151.13999999999999"/>
  </r>
  <r>
    <x v="93"/>
    <x v="3"/>
    <x v="2"/>
    <x v="3"/>
    <n v="4"/>
    <n v="3812"/>
    <n v="312.8"/>
  </r>
  <r>
    <x v="400"/>
    <x v="1"/>
    <x v="1"/>
    <x v="3"/>
    <n v="5"/>
    <n v="3695"/>
    <n v="463.57"/>
  </r>
  <r>
    <x v="429"/>
    <x v="1"/>
    <x v="1"/>
    <x v="2"/>
    <n v="1"/>
    <n v="1159"/>
    <n v="344.22"/>
  </r>
  <r>
    <x v="933"/>
    <x v="2"/>
    <x v="2"/>
    <x v="3"/>
    <n v="9"/>
    <n v="4149"/>
    <n v="605.52"/>
  </r>
  <r>
    <x v="64"/>
    <x v="8"/>
    <x v="1"/>
    <x v="1"/>
    <n v="2"/>
    <n v="1446"/>
    <n v="171.73"/>
  </r>
  <r>
    <x v="751"/>
    <x v="9"/>
    <x v="2"/>
    <x v="2"/>
    <n v="1"/>
    <n v="225"/>
    <n v="48.82"/>
  </r>
  <r>
    <x v="677"/>
    <x v="4"/>
    <x v="1"/>
    <x v="2"/>
    <n v="1"/>
    <n v="355"/>
    <n v="26.8"/>
  </r>
  <r>
    <x v="124"/>
    <x v="2"/>
    <x v="2"/>
    <x v="3"/>
    <n v="7"/>
    <n v="3164"/>
    <n v="166.4"/>
  </r>
  <r>
    <x v="934"/>
    <x v="5"/>
    <x v="2"/>
    <x v="1"/>
    <n v="1"/>
    <n v="498"/>
    <n v="38.67"/>
  </r>
  <r>
    <x v="869"/>
    <x v="4"/>
    <x v="1"/>
    <x v="2"/>
    <n v="5"/>
    <n v="1315"/>
    <n v="217.79"/>
  </r>
  <r>
    <x v="602"/>
    <x v="4"/>
    <x v="1"/>
    <x v="0"/>
    <n v="5"/>
    <n v="2805"/>
    <n v="438.89"/>
  </r>
  <r>
    <x v="506"/>
    <x v="6"/>
    <x v="1"/>
    <x v="1"/>
    <n v="5"/>
    <n v="5180"/>
    <n v="726.62"/>
  </r>
  <r>
    <x v="935"/>
    <x v="3"/>
    <x v="2"/>
    <x v="0"/>
    <n v="5"/>
    <n v="4045"/>
    <n v="203.35"/>
  </r>
  <r>
    <x v="936"/>
    <x v="9"/>
    <x v="2"/>
    <x v="0"/>
    <n v="9"/>
    <n v="8793"/>
    <n v="2262.4299999999998"/>
  </r>
  <r>
    <x v="145"/>
    <x v="4"/>
    <x v="1"/>
    <x v="2"/>
    <n v="8"/>
    <n v="2592"/>
    <n v="526.38"/>
  </r>
  <r>
    <x v="89"/>
    <x v="8"/>
    <x v="1"/>
    <x v="1"/>
    <n v="7"/>
    <n v="7819"/>
    <n v="1708.84"/>
  </r>
  <r>
    <x v="325"/>
    <x v="5"/>
    <x v="2"/>
    <x v="0"/>
    <n v="7"/>
    <n v="2919"/>
    <n v="325.35000000000002"/>
  </r>
  <r>
    <x v="937"/>
    <x v="0"/>
    <x v="0"/>
    <x v="2"/>
    <n v="3"/>
    <n v="768"/>
    <n v="85.37"/>
  </r>
  <r>
    <x v="938"/>
    <x v="7"/>
    <x v="2"/>
    <x v="3"/>
    <n v="2"/>
    <n v="1736"/>
    <n v="388.09"/>
  </r>
  <r>
    <x v="21"/>
    <x v="5"/>
    <x v="2"/>
    <x v="2"/>
    <n v="7"/>
    <n v="6293"/>
    <n v="389.22"/>
  </r>
  <r>
    <x v="726"/>
    <x v="4"/>
    <x v="1"/>
    <x v="2"/>
    <n v="6"/>
    <n v="3684"/>
    <n v="477.02"/>
  </r>
  <r>
    <x v="413"/>
    <x v="0"/>
    <x v="0"/>
    <x v="2"/>
    <n v="9"/>
    <n v="8370"/>
    <n v="1064.6500000000001"/>
  </r>
  <r>
    <x v="354"/>
    <x v="8"/>
    <x v="1"/>
    <x v="2"/>
    <n v="4"/>
    <n v="3788"/>
    <n v="875.54"/>
  </r>
  <r>
    <x v="858"/>
    <x v="9"/>
    <x v="2"/>
    <x v="3"/>
    <n v="8"/>
    <n v="8296"/>
    <n v="1884.18"/>
  </r>
  <r>
    <x v="645"/>
    <x v="2"/>
    <x v="2"/>
    <x v="3"/>
    <n v="5"/>
    <n v="325"/>
    <n v="21.01"/>
  </r>
  <r>
    <x v="797"/>
    <x v="3"/>
    <x v="2"/>
    <x v="0"/>
    <n v="2"/>
    <n v="2216"/>
    <n v="444.36"/>
  </r>
  <r>
    <x v="429"/>
    <x v="9"/>
    <x v="2"/>
    <x v="0"/>
    <n v="8"/>
    <n v="7064"/>
    <n v="1873.02"/>
  </r>
  <r>
    <x v="145"/>
    <x v="1"/>
    <x v="1"/>
    <x v="1"/>
    <n v="9"/>
    <n v="2538"/>
    <n v="575.41"/>
  </r>
  <r>
    <x v="732"/>
    <x v="4"/>
    <x v="1"/>
    <x v="0"/>
    <n v="1"/>
    <n v="1151"/>
    <n v="77.22"/>
  </r>
  <r>
    <x v="842"/>
    <x v="8"/>
    <x v="1"/>
    <x v="1"/>
    <n v="1"/>
    <n v="717"/>
    <n v="137.27000000000001"/>
  </r>
  <r>
    <x v="187"/>
    <x v="5"/>
    <x v="2"/>
    <x v="1"/>
    <n v="8"/>
    <n v="3048"/>
    <n v="444.3"/>
  </r>
  <r>
    <x v="674"/>
    <x v="8"/>
    <x v="1"/>
    <x v="2"/>
    <n v="3"/>
    <n v="2070"/>
    <n v="163.22999999999999"/>
  </r>
  <r>
    <x v="939"/>
    <x v="3"/>
    <x v="2"/>
    <x v="1"/>
    <n v="5"/>
    <n v="3630"/>
    <n v="537.92999999999995"/>
  </r>
  <r>
    <x v="110"/>
    <x v="2"/>
    <x v="2"/>
    <x v="1"/>
    <n v="7"/>
    <n v="896"/>
    <n v="219.98"/>
  </r>
  <r>
    <x v="544"/>
    <x v="2"/>
    <x v="2"/>
    <x v="1"/>
    <n v="7"/>
    <n v="1981"/>
    <n v="311.44"/>
  </r>
  <r>
    <x v="940"/>
    <x v="4"/>
    <x v="1"/>
    <x v="3"/>
    <n v="6"/>
    <n v="7140"/>
    <n v="605.22"/>
  </r>
  <r>
    <x v="129"/>
    <x v="6"/>
    <x v="1"/>
    <x v="0"/>
    <n v="5"/>
    <n v="1015"/>
    <n v="85.06"/>
  </r>
  <r>
    <x v="518"/>
    <x v="4"/>
    <x v="1"/>
    <x v="0"/>
    <n v="4"/>
    <n v="524"/>
    <n v="52.31"/>
  </r>
  <r>
    <x v="431"/>
    <x v="5"/>
    <x v="2"/>
    <x v="0"/>
    <n v="2"/>
    <n v="1678"/>
    <n v="372.78"/>
  </r>
  <r>
    <x v="251"/>
    <x v="2"/>
    <x v="2"/>
    <x v="2"/>
    <n v="4"/>
    <n v="3260"/>
    <n v="969.76"/>
  </r>
  <r>
    <x v="941"/>
    <x v="4"/>
    <x v="1"/>
    <x v="2"/>
    <n v="5"/>
    <n v="720"/>
    <n v="214.31"/>
  </r>
  <r>
    <x v="28"/>
    <x v="0"/>
    <x v="0"/>
    <x v="3"/>
    <n v="4"/>
    <n v="1792"/>
    <n v="417.99"/>
  </r>
  <r>
    <x v="316"/>
    <x v="2"/>
    <x v="2"/>
    <x v="2"/>
    <n v="9"/>
    <n v="3096"/>
    <n v="505.08"/>
  </r>
  <r>
    <x v="942"/>
    <x v="8"/>
    <x v="1"/>
    <x v="2"/>
    <n v="5"/>
    <n v="1400"/>
    <n v="273.39"/>
  </r>
  <r>
    <x v="43"/>
    <x v="5"/>
    <x v="2"/>
    <x v="0"/>
    <n v="4"/>
    <n v="508"/>
    <n v="37.94"/>
  </r>
  <r>
    <x v="615"/>
    <x v="2"/>
    <x v="2"/>
    <x v="1"/>
    <n v="7"/>
    <n v="2646"/>
    <n v="380.83"/>
  </r>
  <r>
    <x v="588"/>
    <x v="1"/>
    <x v="1"/>
    <x v="1"/>
    <n v="1"/>
    <n v="357"/>
    <n v="79.86"/>
  </r>
  <r>
    <x v="55"/>
    <x v="2"/>
    <x v="2"/>
    <x v="0"/>
    <n v="1"/>
    <n v="373"/>
    <n v="53.15"/>
  </r>
  <r>
    <x v="650"/>
    <x v="7"/>
    <x v="2"/>
    <x v="1"/>
    <n v="1"/>
    <n v="266"/>
    <n v="55.52"/>
  </r>
  <r>
    <x v="943"/>
    <x v="7"/>
    <x v="2"/>
    <x v="0"/>
    <n v="4"/>
    <n v="344"/>
    <n v="25.7"/>
  </r>
  <r>
    <x v="373"/>
    <x v="7"/>
    <x v="2"/>
    <x v="0"/>
    <n v="7"/>
    <n v="1806"/>
    <n v="308.92"/>
  </r>
  <r>
    <x v="563"/>
    <x v="0"/>
    <x v="0"/>
    <x v="0"/>
    <n v="9"/>
    <n v="7281"/>
    <n v="396.28"/>
  </r>
  <r>
    <x v="168"/>
    <x v="5"/>
    <x v="2"/>
    <x v="3"/>
    <n v="7"/>
    <n v="3094"/>
    <n v="463.72"/>
  </r>
  <r>
    <x v="59"/>
    <x v="8"/>
    <x v="1"/>
    <x v="1"/>
    <n v="2"/>
    <n v="252"/>
    <n v="67.37"/>
  </r>
  <r>
    <x v="944"/>
    <x v="3"/>
    <x v="2"/>
    <x v="1"/>
    <n v="9"/>
    <n v="2691"/>
    <n v="761.16"/>
  </r>
  <r>
    <x v="395"/>
    <x v="0"/>
    <x v="0"/>
    <x v="3"/>
    <n v="6"/>
    <n v="990"/>
    <n v="102.83"/>
  </r>
  <r>
    <x v="918"/>
    <x v="5"/>
    <x v="2"/>
    <x v="2"/>
    <n v="4"/>
    <n v="3236"/>
    <n v="655.17999999999995"/>
  </r>
  <r>
    <x v="944"/>
    <x v="9"/>
    <x v="2"/>
    <x v="1"/>
    <n v="4"/>
    <n v="1076"/>
    <n v="124.56"/>
  </r>
  <r>
    <x v="612"/>
    <x v="2"/>
    <x v="2"/>
    <x v="0"/>
    <n v="4"/>
    <n v="1428"/>
    <n v="160.54"/>
  </r>
  <r>
    <x v="802"/>
    <x v="8"/>
    <x v="1"/>
    <x v="1"/>
    <n v="5"/>
    <n v="1000"/>
    <n v="292.04000000000002"/>
  </r>
  <r>
    <x v="42"/>
    <x v="5"/>
    <x v="2"/>
    <x v="2"/>
    <n v="9"/>
    <n v="3429"/>
    <n v="998.82"/>
  </r>
  <r>
    <x v="391"/>
    <x v="6"/>
    <x v="1"/>
    <x v="3"/>
    <n v="5"/>
    <n v="4730"/>
    <n v="1416.1"/>
  </r>
  <r>
    <x v="609"/>
    <x v="6"/>
    <x v="1"/>
    <x v="2"/>
    <n v="6"/>
    <n v="6630"/>
    <n v="512.6"/>
  </r>
  <r>
    <x v="9"/>
    <x v="3"/>
    <x v="2"/>
    <x v="2"/>
    <n v="7"/>
    <n v="2296"/>
    <n v="138.93"/>
  </r>
  <r>
    <x v="945"/>
    <x v="6"/>
    <x v="1"/>
    <x v="1"/>
    <n v="7"/>
    <n v="7420"/>
    <n v="1107.31"/>
  </r>
  <r>
    <x v="472"/>
    <x v="0"/>
    <x v="0"/>
    <x v="2"/>
    <n v="7"/>
    <n v="2338"/>
    <n v="531.5"/>
  </r>
  <r>
    <x v="165"/>
    <x v="8"/>
    <x v="1"/>
    <x v="2"/>
    <n v="7"/>
    <n v="4039"/>
    <n v="420.29"/>
  </r>
  <r>
    <x v="130"/>
    <x v="9"/>
    <x v="2"/>
    <x v="1"/>
    <n v="2"/>
    <n v="990"/>
    <n v="76.87"/>
  </r>
  <r>
    <x v="613"/>
    <x v="9"/>
    <x v="2"/>
    <x v="3"/>
    <n v="1"/>
    <n v="733"/>
    <n v="54.11"/>
  </r>
  <r>
    <x v="450"/>
    <x v="7"/>
    <x v="2"/>
    <x v="1"/>
    <n v="3"/>
    <n v="2421"/>
    <n v="334.61"/>
  </r>
  <r>
    <x v="685"/>
    <x v="8"/>
    <x v="1"/>
    <x v="1"/>
    <n v="8"/>
    <n v="832"/>
    <n v="214.81"/>
  </r>
  <r>
    <x v="728"/>
    <x v="5"/>
    <x v="2"/>
    <x v="1"/>
    <n v="1"/>
    <n v="483"/>
    <n v="98.15"/>
  </r>
  <r>
    <x v="946"/>
    <x v="8"/>
    <x v="1"/>
    <x v="0"/>
    <n v="6"/>
    <n v="2508"/>
    <n v="480.48"/>
  </r>
  <r>
    <x v="487"/>
    <x v="8"/>
    <x v="1"/>
    <x v="0"/>
    <n v="7"/>
    <n v="4032"/>
    <n v="426.13"/>
  </r>
  <r>
    <x v="102"/>
    <x v="8"/>
    <x v="1"/>
    <x v="1"/>
    <n v="8"/>
    <n v="3208"/>
    <n v="840.97"/>
  </r>
  <r>
    <x v="870"/>
    <x v="5"/>
    <x v="2"/>
    <x v="2"/>
    <n v="6"/>
    <n v="3402"/>
    <n v="857.61"/>
  </r>
  <r>
    <x v="486"/>
    <x v="4"/>
    <x v="1"/>
    <x v="0"/>
    <n v="1"/>
    <n v="541"/>
    <n v="52.5"/>
  </r>
  <r>
    <x v="89"/>
    <x v="5"/>
    <x v="2"/>
    <x v="3"/>
    <n v="7"/>
    <n v="1806"/>
    <n v="129.6"/>
  </r>
  <r>
    <x v="444"/>
    <x v="4"/>
    <x v="1"/>
    <x v="2"/>
    <n v="3"/>
    <n v="2433"/>
    <n v="515.28"/>
  </r>
  <r>
    <x v="396"/>
    <x v="8"/>
    <x v="1"/>
    <x v="1"/>
    <n v="6"/>
    <n v="5880"/>
    <n v="454.19"/>
  </r>
  <r>
    <x v="947"/>
    <x v="1"/>
    <x v="1"/>
    <x v="3"/>
    <n v="3"/>
    <n v="3375"/>
    <n v="451.5"/>
  </r>
  <r>
    <x v="410"/>
    <x v="2"/>
    <x v="2"/>
    <x v="0"/>
    <n v="8"/>
    <n v="6960"/>
    <n v="1913.58"/>
  </r>
  <r>
    <x v="933"/>
    <x v="8"/>
    <x v="1"/>
    <x v="3"/>
    <n v="4"/>
    <n v="316"/>
    <n v="32.79"/>
  </r>
  <r>
    <x v="645"/>
    <x v="2"/>
    <x v="2"/>
    <x v="0"/>
    <n v="9"/>
    <n v="1404"/>
    <n v="89.43"/>
  </r>
  <r>
    <x v="729"/>
    <x v="8"/>
    <x v="1"/>
    <x v="0"/>
    <n v="9"/>
    <n v="5823"/>
    <n v="478.22"/>
  </r>
  <r>
    <x v="948"/>
    <x v="4"/>
    <x v="1"/>
    <x v="2"/>
    <n v="6"/>
    <n v="2790"/>
    <n v="719.15"/>
  </r>
  <r>
    <x v="678"/>
    <x v="2"/>
    <x v="2"/>
    <x v="3"/>
    <n v="7"/>
    <n v="1169"/>
    <n v="69.41"/>
  </r>
  <r>
    <x v="845"/>
    <x v="0"/>
    <x v="0"/>
    <x v="1"/>
    <n v="8"/>
    <n v="6016"/>
    <n v="406.13"/>
  </r>
  <r>
    <x v="591"/>
    <x v="5"/>
    <x v="2"/>
    <x v="0"/>
    <n v="7"/>
    <n v="7154"/>
    <n v="1177.51"/>
  </r>
  <r>
    <x v="778"/>
    <x v="8"/>
    <x v="1"/>
    <x v="3"/>
    <n v="2"/>
    <n v="370"/>
    <n v="102.74"/>
  </r>
  <r>
    <x v="3"/>
    <x v="6"/>
    <x v="1"/>
    <x v="3"/>
    <n v="1"/>
    <n v="430"/>
    <n v="113.57"/>
  </r>
  <r>
    <x v="503"/>
    <x v="5"/>
    <x v="2"/>
    <x v="3"/>
    <n v="1"/>
    <n v="946"/>
    <n v="280.52999999999997"/>
  </r>
  <r>
    <x v="229"/>
    <x v="2"/>
    <x v="2"/>
    <x v="2"/>
    <n v="8"/>
    <n v="984"/>
    <n v="73.84"/>
  </r>
  <r>
    <x v="818"/>
    <x v="8"/>
    <x v="1"/>
    <x v="1"/>
    <n v="9"/>
    <n v="1467"/>
    <n v="372.17"/>
  </r>
  <r>
    <x v="173"/>
    <x v="7"/>
    <x v="2"/>
    <x v="2"/>
    <n v="4"/>
    <n v="2444"/>
    <n v="155.41999999999999"/>
  </r>
  <r>
    <x v="949"/>
    <x v="1"/>
    <x v="1"/>
    <x v="0"/>
    <n v="9"/>
    <n v="8640"/>
    <n v="1254.3"/>
  </r>
  <r>
    <x v="466"/>
    <x v="5"/>
    <x v="2"/>
    <x v="3"/>
    <n v="9"/>
    <n v="3861"/>
    <n v="536.04"/>
  </r>
  <r>
    <x v="798"/>
    <x v="8"/>
    <x v="1"/>
    <x v="0"/>
    <n v="1"/>
    <n v="868"/>
    <n v="60.12"/>
  </r>
  <r>
    <x v="327"/>
    <x v="9"/>
    <x v="2"/>
    <x v="2"/>
    <n v="9"/>
    <n v="1746"/>
    <n v="260.5"/>
  </r>
  <r>
    <x v="315"/>
    <x v="0"/>
    <x v="0"/>
    <x v="2"/>
    <n v="1"/>
    <n v="915"/>
    <n v="129.08000000000001"/>
  </r>
  <r>
    <x v="767"/>
    <x v="5"/>
    <x v="2"/>
    <x v="1"/>
    <n v="9"/>
    <n v="3591"/>
    <n v="423"/>
  </r>
  <r>
    <x v="438"/>
    <x v="3"/>
    <x v="2"/>
    <x v="1"/>
    <n v="6"/>
    <n v="2562"/>
    <n v="612.36"/>
  </r>
  <r>
    <x v="380"/>
    <x v="5"/>
    <x v="2"/>
    <x v="3"/>
    <n v="9"/>
    <n v="5382"/>
    <n v="1037.04"/>
  </r>
  <r>
    <x v="723"/>
    <x v="5"/>
    <x v="2"/>
    <x v="1"/>
    <n v="4"/>
    <n v="2792"/>
    <n v="170.96"/>
  </r>
  <r>
    <x v="472"/>
    <x v="4"/>
    <x v="1"/>
    <x v="1"/>
    <n v="4"/>
    <n v="2160"/>
    <n v="631.9"/>
  </r>
  <r>
    <x v="632"/>
    <x v="6"/>
    <x v="1"/>
    <x v="3"/>
    <n v="7"/>
    <n v="6377"/>
    <n v="1332.86"/>
  </r>
  <r>
    <x v="432"/>
    <x v="7"/>
    <x v="2"/>
    <x v="1"/>
    <n v="8"/>
    <n v="5264"/>
    <n v="1051.5"/>
  </r>
  <r>
    <x v="700"/>
    <x v="9"/>
    <x v="2"/>
    <x v="0"/>
    <n v="2"/>
    <n v="1346"/>
    <n v="196.5"/>
  </r>
  <r>
    <x v="372"/>
    <x v="3"/>
    <x v="2"/>
    <x v="2"/>
    <n v="7"/>
    <n v="7301"/>
    <n v="1311.65"/>
  </r>
  <r>
    <x v="157"/>
    <x v="8"/>
    <x v="1"/>
    <x v="2"/>
    <n v="2"/>
    <n v="2016"/>
    <n v="198.26"/>
  </r>
  <r>
    <x v="718"/>
    <x v="9"/>
    <x v="2"/>
    <x v="0"/>
    <n v="6"/>
    <n v="1266"/>
    <n v="220.5"/>
  </r>
  <r>
    <x v="832"/>
    <x v="1"/>
    <x v="1"/>
    <x v="3"/>
    <n v="2"/>
    <n v="140"/>
    <n v="35.18"/>
  </r>
  <r>
    <x v="950"/>
    <x v="3"/>
    <x v="2"/>
    <x v="1"/>
    <n v="8"/>
    <n v="6520"/>
    <n v="1073.6199999999999"/>
  </r>
  <r>
    <x v="273"/>
    <x v="8"/>
    <x v="1"/>
    <x v="1"/>
    <n v="1"/>
    <n v="582"/>
    <n v="29.91"/>
  </r>
  <r>
    <x v="951"/>
    <x v="0"/>
    <x v="0"/>
    <x v="3"/>
    <n v="1"/>
    <n v="245"/>
    <n v="14.5"/>
  </r>
  <r>
    <x v="448"/>
    <x v="1"/>
    <x v="1"/>
    <x v="2"/>
    <n v="1"/>
    <n v="504"/>
    <n v="143.12"/>
  </r>
  <r>
    <x v="789"/>
    <x v="6"/>
    <x v="1"/>
    <x v="2"/>
    <n v="6"/>
    <n v="6834"/>
    <n v="1211.75"/>
  </r>
  <r>
    <x v="430"/>
    <x v="4"/>
    <x v="1"/>
    <x v="3"/>
    <n v="8"/>
    <n v="5712"/>
    <n v="1191.02"/>
  </r>
  <r>
    <x v="175"/>
    <x v="9"/>
    <x v="2"/>
    <x v="2"/>
    <n v="5"/>
    <n v="4485"/>
    <n v="347.99"/>
  </r>
  <r>
    <x v="59"/>
    <x v="4"/>
    <x v="1"/>
    <x v="3"/>
    <n v="8"/>
    <n v="2304"/>
    <n v="291.45999999999998"/>
  </r>
  <r>
    <x v="172"/>
    <x v="1"/>
    <x v="1"/>
    <x v="0"/>
    <n v="6"/>
    <n v="6576"/>
    <n v="815.56"/>
  </r>
  <r>
    <x v="724"/>
    <x v="8"/>
    <x v="1"/>
    <x v="2"/>
    <n v="9"/>
    <n v="10629"/>
    <n v="2843.54"/>
  </r>
  <r>
    <x v="655"/>
    <x v="3"/>
    <x v="2"/>
    <x v="1"/>
    <n v="1"/>
    <n v="706"/>
    <n v="153.59"/>
  </r>
  <r>
    <x v="812"/>
    <x v="4"/>
    <x v="1"/>
    <x v="2"/>
    <n v="1"/>
    <n v="977"/>
    <n v="103.82"/>
  </r>
  <r>
    <x v="498"/>
    <x v="5"/>
    <x v="2"/>
    <x v="2"/>
    <n v="4"/>
    <n v="776"/>
    <n v="73.16"/>
  </r>
  <r>
    <x v="808"/>
    <x v="2"/>
    <x v="2"/>
    <x v="3"/>
    <n v="4"/>
    <n v="3932"/>
    <n v="309.43"/>
  </r>
  <r>
    <x v="952"/>
    <x v="8"/>
    <x v="1"/>
    <x v="1"/>
    <n v="3"/>
    <n v="1263"/>
    <n v="368.46"/>
  </r>
  <r>
    <x v="306"/>
    <x v="8"/>
    <x v="1"/>
    <x v="1"/>
    <n v="8"/>
    <n v="7064"/>
    <n v="745.24"/>
  </r>
  <r>
    <x v="157"/>
    <x v="8"/>
    <x v="1"/>
    <x v="3"/>
    <n v="4"/>
    <n v="4740"/>
    <n v="746.77"/>
  </r>
  <r>
    <x v="170"/>
    <x v="0"/>
    <x v="0"/>
    <x v="2"/>
    <n v="7"/>
    <n v="4522"/>
    <n v="1137.23"/>
  </r>
  <r>
    <x v="55"/>
    <x v="2"/>
    <x v="2"/>
    <x v="2"/>
    <n v="7"/>
    <n v="2009"/>
    <n v="183.19"/>
  </r>
  <r>
    <x v="705"/>
    <x v="7"/>
    <x v="2"/>
    <x v="1"/>
    <n v="2"/>
    <n v="2110"/>
    <n v="548.12"/>
  </r>
  <r>
    <x v="469"/>
    <x v="1"/>
    <x v="1"/>
    <x v="3"/>
    <n v="1"/>
    <n v="95"/>
    <n v="6.97"/>
  </r>
  <r>
    <x v="359"/>
    <x v="5"/>
    <x v="2"/>
    <x v="1"/>
    <n v="1"/>
    <n v="384"/>
    <n v="83.58"/>
  </r>
  <r>
    <x v="590"/>
    <x v="2"/>
    <x v="2"/>
    <x v="0"/>
    <n v="3"/>
    <n v="3471"/>
    <n v="200.08"/>
  </r>
  <r>
    <x v="657"/>
    <x v="2"/>
    <x v="2"/>
    <x v="3"/>
    <n v="4"/>
    <n v="2048"/>
    <n v="507.01"/>
  </r>
  <r>
    <x v="87"/>
    <x v="6"/>
    <x v="1"/>
    <x v="2"/>
    <n v="8"/>
    <n v="9296"/>
    <n v="2581.06"/>
  </r>
  <r>
    <x v="670"/>
    <x v="9"/>
    <x v="2"/>
    <x v="3"/>
    <n v="8"/>
    <n v="5272"/>
    <n v="1188.1600000000001"/>
  </r>
  <r>
    <x v="927"/>
    <x v="4"/>
    <x v="1"/>
    <x v="1"/>
    <n v="1"/>
    <n v="619"/>
    <n v="127.58"/>
  </r>
  <r>
    <x v="185"/>
    <x v="9"/>
    <x v="2"/>
    <x v="0"/>
    <n v="1"/>
    <n v="448"/>
    <n v="53.2"/>
  </r>
  <r>
    <x v="42"/>
    <x v="8"/>
    <x v="1"/>
    <x v="0"/>
    <n v="9"/>
    <n v="5004"/>
    <n v="1313.13"/>
  </r>
  <r>
    <x v="64"/>
    <x v="8"/>
    <x v="1"/>
    <x v="0"/>
    <n v="4"/>
    <n v="4716"/>
    <n v="704.99"/>
  </r>
  <r>
    <x v="2"/>
    <x v="0"/>
    <x v="0"/>
    <x v="3"/>
    <n v="9"/>
    <n v="7506"/>
    <n v="827.17"/>
  </r>
  <r>
    <x v="953"/>
    <x v="8"/>
    <x v="1"/>
    <x v="0"/>
    <n v="7"/>
    <n v="4095"/>
    <n v="883.56"/>
  </r>
  <r>
    <x v="363"/>
    <x v="5"/>
    <x v="2"/>
    <x v="0"/>
    <n v="7"/>
    <n v="4459"/>
    <n v="1037.27"/>
  </r>
  <r>
    <x v="266"/>
    <x v="2"/>
    <x v="2"/>
    <x v="2"/>
    <n v="5"/>
    <n v="620"/>
    <n v="62.49"/>
  </r>
  <r>
    <x v="653"/>
    <x v="5"/>
    <x v="2"/>
    <x v="3"/>
    <n v="2"/>
    <n v="2362"/>
    <n v="185.89"/>
  </r>
  <r>
    <x v="312"/>
    <x v="0"/>
    <x v="0"/>
    <x v="0"/>
    <n v="2"/>
    <n v="606"/>
    <n v="154.99"/>
  </r>
  <r>
    <x v="501"/>
    <x v="3"/>
    <x v="2"/>
    <x v="1"/>
    <n v="4"/>
    <n v="1084"/>
    <n v="134.41999999999999"/>
  </r>
  <r>
    <x v="954"/>
    <x v="9"/>
    <x v="2"/>
    <x v="0"/>
    <n v="8"/>
    <n v="2880"/>
    <n v="315.87"/>
  </r>
  <r>
    <x v="157"/>
    <x v="9"/>
    <x v="2"/>
    <x v="3"/>
    <n v="8"/>
    <n v="4544"/>
    <n v="727.05"/>
  </r>
  <r>
    <x v="303"/>
    <x v="1"/>
    <x v="1"/>
    <x v="3"/>
    <n v="4"/>
    <n v="556"/>
    <n v="85.63"/>
  </r>
  <r>
    <x v="554"/>
    <x v="9"/>
    <x v="2"/>
    <x v="0"/>
    <n v="5"/>
    <n v="505"/>
    <n v="71.97"/>
  </r>
  <r>
    <x v="267"/>
    <x v="2"/>
    <x v="2"/>
    <x v="3"/>
    <n v="5"/>
    <n v="2595"/>
    <n v="774.2"/>
  </r>
  <r>
    <x v="955"/>
    <x v="4"/>
    <x v="1"/>
    <x v="2"/>
    <n v="5"/>
    <n v="2820"/>
    <n v="737.68"/>
  </r>
  <r>
    <x v="115"/>
    <x v="8"/>
    <x v="1"/>
    <x v="1"/>
    <n v="2"/>
    <n v="1018"/>
    <n v="297.20999999999998"/>
  </r>
  <r>
    <x v="956"/>
    <x v="9"/>
    <x v="2"/>
    <x v="1"/>
    <n v="4"/>
    <n v="944"/>
    <n v="176.56"/>
  </r>
  <r>
    <x v="614"/>
    <x v="2"/>
    <x v="2"/>
    <x v="1"/>
    <n v="1"/>
    <n v="610"/>
    <n v="44.99"/>
  </r>
  <r>
    <x v="538"/>
    <x v="3"/>
    <x v="2"/>
    <x v="2"/>
    <n v="4"/>
    <n v="912"/>
    <n v="81.650000000000006"/>
  </r>
  <r>
    <x v="610"/>
    <x v="6"/>
    <x v="1"/>
    <x v="3"/>
    <n v="9"/>
    <n v="10413"/>
    <n v="1738.63"/>
  </r>
  <r>
    <x v="346"/>
    <x v="0"/>
    <x v="0"/>
    <x v="3"/>
    <n v="8"/>
    <n v="2176"/>
    <n v="398.29"/>
  </r>
  <r>
    <x v="814"/>
    <x v="0"/>
    <x v="0"/>
    <x v="1"/>
    <n v="6"/>
    <n v="6108"/>
    <n v="1488.4"/>
  </r>
  <r>
    <x v="921"/>
    <x v="1"/>
    <x v="1"/>
    <x v="3"/>
    <n v="2"/>
    <n v="1148"/>
    <n v="173.89"/>
  </r>
  <r>
    <x v="957"/>
    <x v="6"/>
    <x v="1"/>
    <x v="1"/>
    <n v="8"/>
    <n v="8824"/>
    <n v="597.1"/>
  </r>
  <r>
    <x v="669"/>
    <x v="4"/>
    <x v="1"/>
    <x v="0"/>
    <n v="5"/>
    <n v="2240"/>
    <n v="159.58000000000001"/>
  </r>
  <r>
    <x v="958"/>
    <x v="3"/>
    <x v="2"/>
    <x v="0"/>
    <n v="2"/>
    <n v="1312"/>
    <n v="386.79"/>
  </r>
  <r>
    <x v="374"/>
    <x v="9"/>
    <x v="2"/>
    <x v="2"/>
    <n v="9"/>
    <n v="10620"/>
    <n v="2946.93"/>
  </r>
  <r>
    <x v="58"/>
    <x v="2"/>
    <x v="2"/>
    <x v="1"/>
    <n v="2"/>
    <n v="2178"/>
    <n v="574.4"/>
  </r>
  <r>
    <x v="446"/>
    <x v="6"/>
    <x v="1"/>
    <x v="1"/>
    <n v="3"/>
    <n v="1671"/>
    <n v="94.52"/>
  </r>
  <r>
    <x v="311"/>
    <x v="6"/>
    <x v="1"/>
    <x v="1"/>
    <n v="3"/>
    <n v="2025"/>
    <n v="355.59"/>
  </r>
  <r>
    <x v="252"/>
    <x v="1"/>
    <x v="1"/>
    <x v="1"/>
    <n v="6"/>
    <n v="2886"/>
    <n v="355.32"/>
  </r>
  <r>
    <x v="624"/>
    <x v="0"/>
    <x v="0"/>
    <x v="1"/>
    <n v="2"/>
    <n v="1868"/>
    <n v="307.32"/>
  </r>
  <r>
    <x v="690"/>
    <x v="4"/>
    <x v="1"/>
    <x v="1"/>
    <n v="4"/>
    <n v="3280"/>
    <n v="826.94"/>
  </r>
  <r>
    <x v="531"/>
    <x v="2"/>
    <x v="2"/>
    <x v="3"/>
    <n v="2"/>
    <n v="1768"/>
    <n v="375.86"/>
  </r>
  <r>
    <x v="768"/>
    <x v="3"/>
    <x v="2"/>
    <x v="3"/>
    <n v="7"/>
    <n v="6937"/>
    <n v="1753.02"/>
  </r>
  <r>
    <x v="769"/>
    <x v="5"/>
    <x v="2"/>
    <x v="0"/>
    <n v="6"/>
    <n v="3012"/>
    <n v="307.47000000000003"/>
  </r>
  <r>
    <x v="49"/>
    <x v="4"/>
    <x v="1"/>
    <x v="2"/>
    <n v="3"/>
    <n v="777"/>
    <n v="147.93"/>
  </r>
  <r>
    <x v="959"/>
    <x v="7"/>
    <x v="2"/>
    <x v="1"/>
    <n v="6"/>
    <n v="4056"/>
    <n v="452.14"/>
  </r>
  <r>
    <x v="960"/>
    <x v="0"/>
    <x v="0"/>
    <x v="2"/>
    <n v="4"/>
    <n v="3212"/>
    <n v="514.91999999999996"/>
  </r>
  <r>
    <x v="444"/>
    <x v="5"/>
    <x v="2"/>
    <x v="3"/>
    <n v="1"/>
    <n v="952"/>
    <n v="179.4"/>
  </r>
  <r>
    <x v="282"/>
    <x v="7"/>
    <x v="2"/>
    <x v="0"/>
    <n v="3"/>
    <n v="1674"/>
    <n v="106.24"/>
  </r>
  <r>
    <x v="792"/>
    <x v="5"/>
    <x v="2"/>
    <x v="1"/>
    <n v="5"/>
    <n v="4315"/>
    <n v="1019.91"/>
  </r>
  <r>
    <x v="228"/>
    <x v="1"/>
    <x v="1"/>
    <x v="0"/>
    <n v="7"/>
    <n v="1722"/>
    <n v="162.38999999999999"/>
  </r>
  <r>
    <x v="415"/>
    <x v="8"/>
    <x v="1"/>
    <x v="2"/>
    <n v="5"/>
    <n v="2895"/>
    <n v="334.35"/>
  </r>
  <r>
    <x v="846"/>
    <x v="2"/>
    <x v="2"/>
    <x v="0"/>
    <n v="2"/>
    <n v="1280"/>
    <n v="335.22"/>
  </r>
  <r>
    <x v="243"/>
    <x v="4"/>
    <x v="1"/>
    <x v="1"/>
    <n v="5"/>
    <n v="4295"/>
    <n v="414.42"/>
  </r>
  <r>
    <x v="659"/>
    <x v="0"/>
    <x v="0"/>
    <x v="2"/>
    <n v="6"/>
    <n v="4434"/>
    <n v="306.63"/>
  </r>
  <r>
    <x v="24"/>
    <x v="8"/>
    <x v="1"/>
    <x v="0"/>
    <n v="6"/>
    <n v="3816"/>
    <n v="623.78"/>
  </r>
  <r>
    <x v="549"/>
    <x v="4"/>
    <x v="1"/>
    <x v="1"/>
    <n v="7"/>
    <n v="6335"/>
    <n v="1137.08"/>
  </r>
  <r>
    <x v="599"/>
    <x v="1"/>
    <x v="1"/>
    <x v="3"/>
    <n v="3"/>
    <n v="315"/>
    <n v="78.41"/>
  </r>
  <r>
    <x v="492"/>
    <x v="3"/>
    <x v="2"/>
    <x v="1"/>
    <n v="2"/>
    <n v="626"/>
    <n v="168.82"/>
  </r>
  <r>
    <x v="324"/>
    <x v="5"/>
    <x v="2"/>
    <x v="2"/>
    <n v="1"/>
    <n v="1140"/>
    <n v="85.75"/>
  </r>
  <r>
    <x v="724"/>
    <x v="7"/>
    <x v="2"/>
    <x v="0"/>
    <n v="5"/>
    <n v="590"/>
    <n v="52.55"/>
  </r>
  <r>
    <x v="915"/>
    <x v="2"/>
    <x v="2"/>
    <x v="1"/>
    <n v="1"/>
    <n v="631"/>
    <n v="99.31"/>
  </r>
  <r>
    <x v="235"/>
    <x v="6"/>
    <x v="1"/>
    <x v="2"/>
    <n v="8"/>
    <n v="1944"/>
    <n v="134.94"/>
  </r>
  <r>
    <x v="153"/>
    <x v="7"/>
    <x v="2"/>
    <x v="0"/>
    <n v="6"/>
    <n v="5100"/>
    <n v="1461.79"/>
  </r>
  <r>
    <x v="902"/>
    <x v="8"/>
    <x v="1"/>
    <x v="2"/>
    <n v="6"/>
    <n v="1092"/>
    <n v="176.52"/>
  </r>
  <r>
    <x v="212"/>
    <x v="6"/>
    <x v="1"/>
    <x v="3"/>
    <n v="7"/>
    <n v="4662"/>
    <n v="1007.43"/>
  </r>
  <r>
    <x v="961"/>
    <x v="4"/>
    <x v="1"/>
    <x v="3"/>
    <n v="7"/>
    <n v="4312"/>
    <n v="1088.3399999999999"/>
  </r>
  <r>
    <x v="199"/>
    <x v="1"/>
    <x v="1"/>
    <x v="0"/>
    <n v="6"/>
    <n v="4056"/>
    <n v="815.1"/>
  </r>
  <r>
    <x v="962"/>
    <x v="4"/>
    <x v="1"/>
    <x v="0"/>
    <n v="3"/>
    <n v="534"/>
    <n v="120.53"/>
  </r>
  <r>
    <x v="70"/>
    <x v="0"/>
    <x v="0"/>
    <x v="2"/>
    <n v="5"/>
    <n v="3475"/>
    <n v="991.47"/>
  </r>
  <r>
    <x v="398"/>
    <x v="2"/>
    <x v="2"/>
    <x v="2"/>
    <n v="5"/>
    <n v="4880"/>
    <n v="829.03"/>
  </r>
  <r>
    <x v="876"/>
    <x v="2"/>
    <x v="2"/>
    <x v="3"/>
    <n v="8"/>
    <n v="8336"/>
    <n v="782.8"/>
  </r>
  <r>
    <x v="194"/>
    <x v="1"/>
    <x v="1"/>
    <x v="0"/>
    <n v="8"/>
    <n v="9232"/>
    <n v="490.66"/>
  </r>
  <r>
    <x v="804"/>
    <x v="7"/>
    <x v="2"/>
    <x v="2"/>
    <n v="3"/>
    <n v="2031"/>
    <n v="466.25"/>
  </r>
  <r>
    <x v="135"/>
    <x v="5"/>
    <x v="2"/>
    <x v="0"/>
    <n v="3"/>
    <n v="2412"/>
    <n v="640.35"/>
  </r>
  <r>
    <x v="963"/>
    <x v="7"/>
    <x v="2"/>
    <x v="1"/>
    <n v="1"/>
    <n v="1039"/>
    <n v="137.24"/>
  </r>
  <r>
    <x v="564"/>
    <x v="3"/>
    <x v="2"/>
    <x v="3"/>
    <n v="6"/>
    <n v="696"/>
    <n v="100.78"/>
  </r>
  <r>
    <x v="697"/>
    <x v="9"/>
    <x v="2"/>
    <x v="0"/>
    <n v="8"/>
    <n v="6160"/>
    <n v="1617.32"/>
  </r>
  <r>
    <x v="787"/>
    <x v="3"/>
    <x v="2"/>
    <x v="1"/>
    <n v="3"/>
    <n v="447"/>
    <n v="58.4"/>
  </r>
  <r>
    <x v="964"/>
    <x v="8"/>
    <x v="1"/>
    <x v="3"/>
    <n v="6"/>
    <n v="6102"/>
    <n v="364.82"/>
  </r>
  <r>
    <x v="840"/>
    <x v="3"/>
    <x v="2"/>
    <x v="2"/>
    <n v="9"/>
    <n v="5085"/>
    <n v="1372.83"/>
  </r>
  <r>
    <x v="797"/>
    <x v="9"/>
    <x v="2"/>
    <x v="0"/>
    <n v="7"/>
    <n v="3038"/>
    <n v="158.82"/>
  </r>
  <r>
    <x v="919"/>
    <x v="4"/>
    <x v="1"/>
    <x v="3"/>
    <n v="1"/>
    <n v="882"/>
    <n v="215.24"/>
  </r>
  <r>
    <x v="745"/>
    <x v="6"/>
    <x v="1"/>
    <x v="3"/>
    <n v="6"/>
    <n v="2490"/>
    <n v="720.06"/>
  </r>
  <r>
    <x v="965"/>
    <x v="3"/>
    <x v="2"/>
    <x v="0"/>
    <n v="1"/>
    <n v="635"/>
    <n v="101.09"/>
  </r>
  <r>
    <x v="528"/>
    <x v="9"/>
    <x v="2"/>
    <x v="1"/>
    <n v="1"/>
    <n v="1083"/>
    <n v="152.5"/>
  </r>
  <r>
    <x v="966"/>
    <x v="8"/>
    <x v="1"/>
    <x v="3"/>
    <n v="6"/>
    <n v="720"/>
    <n v="144.26"/>
  </r>
  <r>
    <x v="816"/>
    <x v="0"/>
    <x v="0"/>
    <x v="3"/>
    <n v="3"/>
    <n v="3111"/>
    <n v="382.52"/>
  </r>
  <r>
    <x v="584"/>
    <x v="5"/>
    <x v="2"/>
    <x v="0"/>
    <n v="6"/>
    <n v="1242"/>
    <n v="87.37"/>
  </r>
  <r>
    <x v="786"/>
    <x v="5"/>
    <x v="2"/>
    <x v="3"/>
    <n v="5"/>
    <n v="5845"/>
    <n v="978.75"/>
  </r>
  <r>
    <x v="46"/>
    <x v="5"/>
    <x v="2"/>
    <x v="3"/>
    <n v="1"/>
    <n v="835"/>
    <n v="131.69999999999999"/>
  </r>
  <r>
    <x v="967"/>
    <x v="6"/>
    <x v="1"/>
    <x v="2"/>
    <n v="2"/>
    <n v="2314"/>
    <n v="305.42"/>
  </r>
  <r>
    <x v="968"/>
    <x v="5"/>
    <x v="2"/>
    <x v="1"/>
    <n v="7"/>
    <n v="6041"/>
    <n v="776.09"/>
  </r>
  <r>
    <x v="510"/>
    <x v="1"/>
    <x v="1"/>
    <x v="0"/>
    <n v="3"/>
    <n v="369"/>
    <n v="19.22"/>
  </r>
  <r>
    <x v="209"/>
    <x v="2"/>
    <x v="2"/>
    <x v="3"/>
    <n v="5"/>
    <n v="1635"/>
    <n v="321.83999999999997"/>
  </r>
  <r>
    <x v="709"/>
    <x v="8"/>
    <x v="1"/>
    <x v="3"/>
    <n v="3"/>
    <n v="2067"/>
    <n v="465.39"/>
  </r>
  <r>
    <x v="969"/>
    <x v="7"/>
    <x v="2"/>
    <x v="3"/>
    <n v="6"/>
    <n v="7128"/>
    <n v="544.54"/>
  </r>
  <r>
    <x v="134"/>
    <x v="0"/>
    <x v="0"/>
    <x v="0"/>
    <n v="2"/>
    <n v="944"/>
    <n v="94.4"/>
  </r>
  <r>
    <x v="42"/>
    <x v="2"/>
    <x v="2"/>
    <x v="1"/>
    <n v="5"/>
    <n v="5160"/>
    <n v="698.15"/>
  </r>
  <r>
    <x v="316"/>
    <x v="7"/>
    <x v="2"/>
    <x v="3"/>
    <n v="8"/>
    <n v="8032"/>
    <n v="1987.82"/>
  </r>
  <r>
    <x v="877"/>
    <x v="3"/>
    <x v="2"/>
    <x v="2"/>
    <n v="2"/>
    <n v="376"/>
    <n v="99.16"/>
  </r>
  <r>
    <x v="936"/>
    <x v="7"/>
    <x v="2"/>
    <x v="2"/>
    <n v="7"/>
    <n v="4144"/>
    <n v="426.39"/>
  </r>
  <r>
    <x v="143"/>
    <x v="3"/>
    <x v="2"/>
    <x v="2"/>
    <n v="4"/>
    <n v="2228"/>
    <n v="293.25"/>
  </r>
  <r>
    <x v="872"/>
    <x v="2"/>
    <x v="2"/>
    <x v="3"/>
    <n v="1"/>
    <n v="1178"/>
    <n v="182.76"/>
  </r>
  <r>
    <x v="448"/>
    <x v="1"/>
    <x v="1"/>
    <x v="0"/>
    <n v="5"/>
    <n v="2505"/>
    <n v="303.61"/>
  </r>
  <r>
    <x v="970"/>
    <x v="5"/>
    <x v="2"/>
    <x v="3"/>
    <n v="4"/>
    <n v="1872"/>
    <n v="418.05"/>
  </r>
  <r>
    <x v="379"/>
    <x v="0"/>
    <x v="0"/>
    <x v="3"/>
    <n v="2"/>
    <n v="340"/>
    <n v="59.56"/>
  </r>
  <r>
    <x v="971"/>
    <x v="9"/>
    <x v="2"/>
    <x v="3"/>
    <n v="1"/>
    <n v="589"/>
    <n v="158.85"/>
  </r>
  <r>
    <x v="706"/>
    <x v="9"/>
    <x v="2"/>
    <x v="3"/>
    <n v="3"/>
    <n v="2598"/>
    <n v="560.82000000000005"/>
  </r>
  <r>
    <x v="958"/>
    <x v="2"/>
    <x v="2"/>
    <x v="0"/>
    <n v="1"/>
    <n v="502"/>
    <n v="92.31"/>
  </r>
  <r>
    <x v="450"/>
    <x v="9"/>
    <x v="2"/>
    <x v="2"/>
    <n v="3"/>
    <n v="3576"/>
    <n v="546.44000000000005"/>
  </r>
  <r>
    <x v="33"/>
    <x v="8"/>
    <x v="1"/>
    <x v="1"/>
    <n v="3"/>
    <n v="2412"/>
    <n v="468.27"/>
  </r>
  <r>
    <x v="363"/>
    <x v="0"/>
    <x v="0"/>
    <x v="3"/>
    <n v="5"/>
    <n v="1145"/>
    <n v="244.72"/>
  </r>
  <r>
    <x v="106"/>
    <x v="8"/>
    <x v="1"/>
    <x v="3"/>
    <n v="2"/>
    <n v="2116"/>
    <n v="159.30000000000001"/>
  </r>
  <r>
    <x v="877"/>
    <x v="9"/>
    <x v="2"/>
    <x v="0"/>
    <n v="1"/>
    <n v="707"/>
    <n v="100.16"/>
  </r>
  <r>
    <x v="455"/>
    <x v="1"/>
    <x v="1"/>
    <x v="2"/>
    <n v="9"/>
    <n v="657"/>
    <n v="109.39"/>
  </r>
  <r>
    <x v="859"/>
    <x v="9"/>
    <x v="2"/>
    <x v="2"/>
    <n v="5"/>
    <n v="5345"/>
    <n v="1060.46"/>
  </r>
  <r>
    <x v="739"/>
    <x v="2"/>
    <x v="2"/>
    <x v="2"/>
    <n v="8"/>
    <n v="4032"/>
    <n v="251.05"/>
  </r>
  <r>
    <x v="493"/>
    <x v="3"/>
    <x v="2"/>
    <x v="2"/>
    <n v="4"/>
    <n v="3840"/>
    <n v="552.57000000000005"/>
  </r>
  <r>
    <x v="744"/>
    <x v="6"/>
    <x v="1"/>
    <x v="1"/>
    <n v="5"/>
    <n v="575"/>
    <n v="47.35"/>
  </r>
  <r>
    <x v="622"/>
    <x v="9"/>
    <x v="2"/>
    <x v="3"/>
    <n v="9"/>
    <n v="9315"/>
    <n v="1808.68"/>
  </r>
  <r>
    <x v="890"/>
    <x v="1"/>
    <x v="1"/>
    <x v="1"/>
    <n v="7"/>
    <n v="3423"/>
    <n v="435.06"/>
  </r>
  <r>
    <x v="972"/>
    <x v="6"/>
    <x v="1"/>
    <x v="2"/>
    <n v="6"/>
    <n v="3942"/>
    <n v="748.74"/>
  </r>
  <r>
    <x v="903"/>
    <x v="9"/>
    <x v="2"/>
    <x v="2"/>
    <n v="2"/>
    <n v="574"/>
    <n v="70.16"/>
  </r>
  <r>
    <x v="712"/>
    <x v="4"/>
    <x v="1"/>
    <x v="0"/>
    <n v="6"/>
    <n v="3024"/>
    <n v="336.28"/>
  </r>
  <r>
    <x v="520"/>
    <x v="4"/>
    <x v="1"/>
    <x v="0"/>
    <n v="7"/>
    <n v="952"/>
    <n v="215.51"/>
  </r>
  <r>
    <x v="574"/>
    <x v="7"/>
    <x v="2"/>
    <x v="3"/>
    <n v="9"/>
    <n v="9090"/>
    <n v="937.69"/>
  </r>
  <r>
    <x v="148"/>
    <x v="2"/>
    <x v="2"/>
    <x v="3"/>
    <n v="2"/>
    <n v="1166"/>
    <n v="170.11"/>
  </r>
  <r>
    <x v="77"/>
    <x v="8"/>
    <x v="1"/>
    <x v="2"/>
    <n v="3"/>
    <n v="2925"/>
    <n v="433.95"/>
  </r>
  <r>
    <x v="132"/>
    <x v="3"/>
    <x v="2"/>
    <x v="2"/>
    <n v="5"/>
    <n v="3455"/>
    <n v="867.55"/>
  </r>
  <r>
    <x v="521"/>
    <x v="7"/>
    <x v="2"/>
    <x v="0"/>
    <n v="2"/>
    <n v="1614"/>
    <n v="331.3"/>
  </r>
  <r>
    <x v="852"/>
    <x v="1"/>
    <x v="1"/>
    <x v="3"/>
    <n v="7"/>
    <n v="1771"/>
    <n v="171.26"/>
  </r>
  <r>
    <x v="519"/>
    <x v="0"/>
    <x v="0"/>
    <x v="2"/>
    <n v="6"/>
    <n v="5658"/>
    <n v="1504.97"/>
  </r>
  <r>
    <x v="407"/>
    <x v="1"/>
    <x v="1"/>
    <x v="1"/>
    <n v="9"/>
    <n v="8460"/>
    <n v="1515.06"/>
  </r>
  <r>
    <x v="973"/>
    <x v="0"/>
    <x v="0"/>
    <x v="3"/>
    <n v="5"/>
    <n v="1925"/>
    <n v="570.92999999999995"/>
  </r>
  <r>
    <x v="542"/>
    <x v="9"/>
    <x v="2"/>
    <x v="0"/>
    <n v="6"/>
    <n v="2196"/>
    <n v="572.16999999999996"/>
  </r>
  <r>
    <x v="528"/>
    <x v="8"/>
    <x v="1"/>
    <x v="1"/>
    <n v="2"/>
    <n v="1696"/>
    <n v="500.56"/>
  </r>
  <r>
    <x v="974"/>
    <x v="0"/>
    <x v="0"/>
    <x v="2"/>
    <n v="9"/>
    <n v="6813"/>
    <n v="1966.66"/>
  </r>
  <r>
    <x v="975"/>
    <x v="8"/>
    <x v="1"/>
    <x v="0"/>
    <n v="5"/>
    <n v="3670"/>
    <n v="790.67"/>
  </r>
  <r>
    <x v="152"/>
    <x v="8"/>
    <x v="1"/>
    <x v="2"/>
    <n v="4"/>
    <n v="2936"/>
    <n v="204.55"/>
  </r>
  <r>
    <x v="778"/>
    <x v="6"/>
    <x v="1"/>
    <x v="3"/>
    <n v="5"/>
    <n v="5165"/>
    <n v="283.60000000000002"/>
  </r>
  <r>
    <x v="942"/>
    <x v="3"/>
    <x v="2"/>
    <x v="1"/>
    <n v="5"/>
    <n v="5940"/>
    <n v="467.31"/>
  </r>
  <r>
    <x v="606"/>
    <x v="5"/>
    <x v="2"/>
    <x v="1"/>
    <n v="6"/>
    <n v="2664"/>
    <n v="520.29999999999995"/>
  </r>
  <r>
    <x v="294"/>
    <x v="4"/>
    <x v="1"/>
    <x v="1"/>
    <n v="2"/>
    <n v="1198"/>
    <n v="134.38999999999999"/>
  </r>
  <r>
    <x v="589"/>
    <x v="4"/>
    <x v="1"/>
    <x v="0"/>
    <n v="4"/>
    <n v="1340"/>
    <n v="309.8"/>
  </r>
  <r>
    <x v="591"/>
    <x v="6"/>
    <x v="1"/>
    <x v="1"/>
    <n v="9"/>
    <n v="9657"/>
    <n v="1233.47"/>
  </r>
  <r>
    <x v="620"/>
    <x v="3"/>
    <x v="2"/>
    <x v="0"/>
    <n v="8"/>
    <n v="2592"/>
    <n v="191.66"/>
  </r>
  <r>
    <x v="174"/>
    <x v="3"/>
    <x v="2"/>
    <x v="3"/>
    <n v="4"/>
    <n v="1168"/>
    <n v="135.36000000000001"/>
  </r>
  <r>
    <x v="580"/>
    <x v="4"/>
    <x v="1"/>
    <x v="2"/>
    <n v="8"/>
    <n v="5920"/>
    <n v="1241.27"/>
  </r>
  <r>
    <x v="958"/>
    <x v="7"/>
    <x v="2"/>
    <x v="3"/>
    <n v="2"/>
    <n v="2260"/>
    <n v="268.47000000000003"/>
  </r>
  <r>
    <x v="910"/>
    <x v="0"/>
    <x v="0"/>
    <x v="3"/>
    <n v="8"/>
    <n v="7016"/>
    <n v="1490.07"/>
  </r>
  <r>
    <x v="181"/>
    <x v="4"/>
    <x v="1"/>
    <x v="0"/>
    <n v="6"/>
    <n v="546"/>
    <n v="79.94"/>
  </r>
  <r>
    <x v="976"/>
    <x v="9"/>
    <x v="2"/>
    <x v="1"/>
    <n v="1"/>
    <n v="839"/>
    <n v="228.72"/>
  </r>
  <r>
    <x v="751"/>
    <x v="2"/>
    <x v="2"/>
    <x v="2"/>
    <n v="8"/>
    <n v="5176"/>
    <n v="619.45000000000005"/>
  </r>
  <r>
    <x v="610"/>
    <x v="9"/>
    <x v="2"/>
    <x v="3"/>
    <n v="4"/>
    <n v="280"/>
    <n v="24.9"/>
  </r>
  <r>
    <x v="66"/>
    <x v="6"/>
    <x v="1"/>
    <x v="0"/>
    <n v="9"/>
    <n v="2097"/>
    <n v="210.59"/>
  </r>
  <r>
    <x v="342"/>
    <x v="1"/>
    <x v="1"/>
    <x v="3"/>
    <n v="6"/>
    <n v="4632"/>
    <n v="799.16"/>
  </r>
  <r>
    <x v="977"/>
    <x v="8"/>
    <x v="1"/>
    <x v="0"/>
    <n v="4"/>
    <n v="1088"/>
    <n v="283.61"/>
  </r>
  <r>
    <x v="652"/>
    <x v="3"/>
    <x v="2"/>
    <x v="0"/>
    <n v="2"/>
    <n v="1314"/>
    <n v="391.55"/>
  </r>
  <r>
    <x v="344"/>
    <x v="1"/>
    <x v="1"/>
    <x v="0"/>
    <n v="8"/>
    <n v="7960"/>
    <n v="804.11"/>
  </r>
  <r>
    <x v="424"/>
    <x v="0"/>
    <x v="0"/>
    <x v="0"/>
    <n v="8"/>
    <n v="2856"/>
    <n v="350.32"/>
  </r>
  <r>
    <x v="467"/>
    <x v="5"/>
    <x v="2"/>
    <x v="3"/>
    <n v="4"/>
    <n v="1680"/>
    <n v="385.92"/>
  </r>
  <r>
    <x v="211"/>
    <x v="6"/>
    <x v="1"/>
    <x v="0"/>
    <n v="4"/>
    <n v="4464"/>
    <n v="1069.6300000000001"/>
  </r>
  <r>
    <x v="682"/>
    <x v="7"/>
    <x v="2"/>
    <x v="1"/>
    <n v="6"/>
    <n v="2940"/>
    <n v="184.97"/>
  </r>
  <r>
    <x v="978"/>
    <x v="6"/>
    <x v="1"/>
    <x v="3"/>
    <n v="8"/>
    <n v="1272"/>
    <n v="344.45"/>
  </r>
  <r>
    <x v="546"/>
    <x v="0"/>
    <x v="0"/>
    <x v="1"/>
    <n v="6"/>
    <n v="1728"/>
    <n v="247.86"/>
  </r>
  <r>
    <x v="979"/>
    <x v="6"/>
    <x v="1"/>
    <x v="0"/>
    <n v="3"/>
    <n v="3153"/>
    <n v="563.55999999999995"/>
  </r>
  <r>
    <x v="628"/>
    <x v="7"/>
    <x v="2"/>
    <x v="3"/>
    <n v="4"/>
    <n v="2536"/>
    <n v="285.72000000000003"/>
  </r>
  <r>
    <x v="746"/>
    <x v="2"/>
    <x v="2"/>
    <x v="2"/>
    <n v="3"/>
    <n v="2508"/>
    <n v="431.53"/>
  </r>
  <r>
    <x v="941"/>
    <x v="2"/>
    <x v="2"/>
    <x v="1"/>
    <n v="1"/>
    <n v="123"/>
    <n v="12.36"/>
  </r>
  <r>
    <x v="924"/>
    <x v="7"/>
    <x v="2"/>
    <x v="2"/>
    <n v="3"/>
    <n v="2379"/>
    <n v="148.68"/>
  </r>
  <r>
    <x v="980"/>
    <x v="0"/>
    <x v="0"/>
    <x v="3"/>
    <n v="6"/>
    <n v="6924"/>
    <n v="1693.77"/>
  </r>
  <r>
    <x v="70"/>
    <x v="5"/>
    <x v="2"/>
    <x v="3"/>
    <n v="9"/>
    <n v="9054"/>
    <n v="644.36"/>
  </r>
  <r>
    <x v="856"/>
    <x v="3"/>
    <x v="2"/>
    <x v="2"/>
    <n v="9"/>
    <n v="9936"/>
    <n v="2797.45"/>
  </r>
  <r>
    <x v="981"/>
    <x v="7"/>
    <x v="2"/>
    <x v="1"/>
    <n v="1"/>
    <n v="393"/>
    <n v="41.05"/>
  </r>
  <r>
    <x v="315"/>
    <x v="0"/>
    <x v="0"/>
    <x v="1"/>
    <n v="2"/>
    <n v="308"/>
    <n v="35.32"/>
  </r>
  <r>
    <x v="756"/>
    <x v="2"/>
    <x v="2"/>
    <x v="2"/>
    <n v="5"/>
    <n v="4900"/>
    <n v="347.25"/>
  </r>
  <r>
    <x v="715"/>
    <x v="9"/>
    <x v="2"/>
    <x v="2"/>
    <n v="1"/>
    <n v="927"/>
    <n v="103.95"/>
  </r>
  <r>
    <x v="962"/>
    <x v="8"/>
    <x v="1"/>
    <x v="1"/>
    <n v="1"/>
    <n v="266"/>
    <n v="22.42"/>
  </r>
  <r>
    <x v="254"/>
    <x v="0"/>
    <x v="0"/>
    <x v="2"/>
    <n v="5"/>
    <n v="4750"/>
    <n v="1179.56"/>
  </r>
  <r>
    <x v="241"/>
    <x v="5"/>
    <x v="2"/>
    <x v="1"/>
    <n v="8"/>
    <n v="3272"/>
    <n v="460.82"/>
  </r>
  <r>
    <x v="901"/>
    <x v="1"/>
    <x v="1"/>
    <x v="1"/>
    <n v="5"/>
    <n v="4350"/>
    <n v="688.77"/>
  </r>
  <r>
    <x v="624"/>
    <x v="8"/>
    <x v="1"/>
    <x v="1"/>
    <n v="1"/>
    <n v="706"/>
    <n v="63.82"/>
  </r>
  <r>
    <x v="342"/>
    <x v="9"/>
    <x v="2"/>
    <x v="0"/>
    <n v="3"/>
    <n v="213"/>
    <n v="30.68"/>
  </r>
  <r>
    <x v="809"/>
    <x v="7"/>
    <x v="2"/>
    <x v="1"/>
    <n v="2"/>
    <n v="1614"/>
    <n v="376.31"/>
  </r>
  <r>
    <x v="977"/>
    <x v="1"/>
    <x v="1"/>
    <x v="3"/>
    <n v="8"/>
    <n v="6232"/>
    <n v="499.63"/>
  </r>
  <r>
    <x v="268"/>
    <x v="0"/>
    <x v="0"/>
    <x v="0"/>
    <n v="4"/>
    <n v="3864"/>
    <n v="717.45"/>
  </r>
  <r>
    <x v="982"/>
    <x v="4"/>
    <x v="1"/>
    <x v="2"/>
    <n v="3"/>
    <n v="2601"/>
    <n v="363.64"/>
  </r>
  <r>
    <x v="73"/>
    <x v="1"/>
    <x v="1"/>
    <x v="1"/>
    <n v="6"/>
    <n v="4944"/>
    <n v="758.46"/>
  </r>
  <r>
    <x v="974"/>
    <x v="0"/>
    <x v="0"/>
    <x v="2"/>
    <n v="4"/>
    <n v="4680"/>
    <n v="301.91000000000003"/>
  </r>
  <r>
    <x v="196"/>
    <x v="1"/>
    <x v="1"/>
    <x v="2"/>
    <n v="8"/>
    <n v="2112"/>
    <n v="418.58"/>
  </r>
  <r>
    <x v="163"/>
    <x v="6"/>
    <x v="1"/>
    <x v="1"/>
    <n v="6"/>
    <n v="7140"/>
    <n v="869.93"/>
  </r>
  <r>
    <x v="834"/>
    <x v="8"/>
    <x v="1"/>
    <x v="1"/>
    <n v="1"/>
    <n v="750"/>
    <n v="37.97"/>
  </r>
  <r>
    <x v="209"/>
    <x v="1"/>
    <x v="1"/>
    <x v="1"/>
    <n v="4"/>
    <n v="392"/>
    <n v="39.229999999999997"/>
  </r>
  <r>
    <x v="710"/>
    <x v="9"/>
    <x v="2"/>
    <x v="2"/>
    <n v="4"/>
    <n v="2408"/>
    <n v="721.8"/>
  </r>
  <r>
    <x v="280"/>
    <x v="6"/>
    <x v="1"/>
    <x v="1"/>
    <n v="2"/>
    <n v="2016"/>
    <n v="151.4"/>
  </r>
  <r>
    <x v="879"/>
    <x v="6"/>
    <x v="1"/>
    <x v="2"/>
    <n v="4"/>
    <n v="464"/>
    <n v="47.93"/>
  </r>
  <r>
    <x v="644"/>
    <x v="4"/>
    <x v="1"/>
    <x v="1"/>
    <n v="1"/>
    <n v="832"/>
    <n v="227.11"/>
  </r>
  <r>
    <x v="376"/>
    <x v="4"/>
    <x v="1"/>
    <x v="1"/>
    <n v="8"/>
    <n v="1296"/>
    <n v="374.8"/>
  </r>
  <r>
    <x v="472"/>
    <x v="7"/>
    <x v="2"/>
    <x v="1"/>
    <n v="1"/>
    <n v="300"/>
    <n v="45.81"/>
  </r>
  <r>
    <x v="983"/>
    <x v="6"/>
    <x v="1"/>
    <x v="0"/>
    <n v="6"/>
    <n v="2856"/>
    <n v="226.53"/>
  </r>
  <r>
    <x v="901"/>
    <x v="2"/>
    <x v="2"/>
    <x v="3"/>
    <n v="5"/>
    <n v="3380"/>
    <n v="287.05"/>
  </r>
  <r>
    <x v="45"/>
    <x v="2"/>
    <x v="2"/>
    <x v="0"/>
    <n v="5"/>
    <n v="400"/>
    <n v="86.52"/>
  </r>
  <r>
    <x v="634"/>
    <x v="3"/>
    <x v="2"/>
    <x v="0"/>
    <n v="1"/>
    <n v="722"/>
    <n v="49.7"/>
  </r>
  <r>
    <x v="862"/>
    <x v="9"/>
    <x v="2"/>
    <x v="2"/>
    <n v="4"/>
    <n v="4596"/>
    <n v="947.45"/>
  </r>
  <r>
    <x v="984"/>
    <x v="8"/>
    <x v="1"/>
    <x v="3"/>
    <n v="8"/>
    <n v="1176"/>
    <n v="313.58"/>
  </r>
  <r>
    <x v="155"/>
    <x v="3"/>
    <x v="2"/>
    <x v="0"/>
    <n v="2"/>
    <n v="644"/>
    <n v="45.72"/>
  </r>
  <r>
    <x v="256"/>
    <x v="7"/>
    <x v="2"/>
    <x v="3"/>
    <n v="8"/>
    <n v="544"/>
    <n v="40.78"/>
  </r>
  <r>
    <x v="985"/>
    <x v="6"/>
    <x v="1"/>
    <x v="1"/>
    <n v="2"/>
    <n v="586"/>
    <n v="101.64"/>
  </r>
  <r>
    <x v="881"/>
    <x v="8"/>
    <x v="1"/>
    <x v="0"/>
    <n v="5"/>
    <n v="3835"/>
    <n v="229.11"/>
  </r>
  <r>
    <x v="841"/>
    <x v="0"/>
    <x v="0"/>
    <x v="2"/>
    <n v="5"/>
    <n v="1415"/>
    <n v="358.39"/>
  </r>
  <r>
    <x v="742"/>
    <x v="8"/>
    <x v="1"/>
    <x v="2"/>
    <n v="9"/>
    <n v="1125"/>
    <n v="138.49"/>
  </r>
  <r>
    <x v="513"/>
    <x v="3"/>
    <x v="2"/>
    <x v="2"/>
    <n v="3"/>
    <n v="3399"/>
    <n v="489.36"/>
  </r>
  <r>
    <x v="204"/>
    <x v="6"/>
    <x v="1"/>
    <x v="1"/>
    <n v="6"/>
    <n v="5370"/>
    <n v="1501.06"/>
  </r>
  <r>
    <x v="301"/>
    <x v="8"/>
    <x v="1"/>
    <x v="3"/>
    <n v="3"/>
    <n v="2331"/>
    <n v="419.26"/>
  </r>
  <r>
    <x v="777"/>
    <x v="9"/>
    <x v="2"/>
    <x v="1"/>
    <n v="9"/>
    <n v="10728"/>
    <n v="1967.84"/>
  </r>
  <r>
    <x v="885"/>
    <x v="6"/>
    <x v="1"/>
    <x v="3"/>
    <n v="8"/>
    <n v="9056"/>
    <n v="1860.37"/>
  </r>
  <r>
    <x v="143"/>
    <x v="6"/>
    <x v="1"/>
    <x v="3"/>
    <n v="9"/>
    <n v="4581"/>
    <n v="250.06"/>
  </r>
  <r>
    <x v="244"/>
    <x v="3"/>
    <x v="2"/>
    <x v="0"/>
    <n v="3"/>
    <n v="1074"/>
    <n v="240.44"/>
  </r>
  <r>
    <x v="427"/>
    <x v="2"/>
    <x v="2"/>
    <x v="3"/>
    <n v="4"/>
    <n v="4572"/>
    <n v="1199.49"/>
  </r>
  <r>
    <x v="159"/>
    <x v="9"/>
    <x v="2"/>
    <x v="2"/>
    <n v="7"/>
    <n v="8141"/>
    <n v="651.16"/>
  </r>
  <r>
    <x v="661"/>
    <x v="0"/>
    <x v="0"/>
    <x v="3"/>
    <n v="4"/>
    <n v="604"/>
    <n v="180.93"/>
  </r>
  <r>
    <x v="28"/>
    <x v="1"/>
    <x v="1"/>
    <x v="2"/>
    <n v="2"/>
    <n v="906"/>
    <n v="59.06"/>
  </r>
  <r>
    <x v="986"/>
    <x v="4"/>
    <x v="1"/>
    <x v="2"/>
    <n v="7"/>
    <n v="1582"/>
    <n v="278.14"/>
  </r>
  <r>
    <x v="76"/>
    <x v="1"/>
    <x v="1"/>
    <x v="3"/>
    <n v="6"/>
    <n v="3306"/>
    <n v="216.91"/>
  </r>
  <r>
    <x v="161"/>
    <x v="4"/>
    <x v="1"/>
    <x v="3"/>
    <n v="1"/>
    <n v="847"/>
    <n v="237.41"/>
  </r>
  <r>
    <x v="987"/>
    <x v="0"/>
    <x v="0"/>
    <x v="1"/>
    <n v="6"/>
    <n v="3222"/>
    <n v="846.27"/>
  </r>
  <r>
    <x v="327"/>
    <x v="8"/>
    <x v="1"/>
    <x v="1"/>
    <n v="3"/>
    <n v="189"/>
    <n v="33.94"/>
  </r>
  <r>
    <x v="212"/>
    <x v="9"/>
    <x v="2"/>
    <x v="2"/>
    <n v="4"/>
    <n v="1224"/>
    <n v="348.91"/>
  </r>
  <r>
    <x v="929"/>
    <x v="3"/>
    <x v="2"/>
    <x v="2"/>
    <n v="7"/>
    <n v="5621"/>
    <n v="1390.73"/>
  </r>
  <r>
    <x v="750"/>
    <x v="2"/>
    <x v="2"/>
    <x v="3"/>
    <n v="6"/>
    <n v="966"/>
    <n v="246.21"/>
  </r>
  <r>
    <x v="786"/>
    <x v="2"/>
    <x v="2"/>
    <x v="3"/>
    <n v="9"/>
    <n v="1728"/>
    <n v="179.64"/>
  </r>
  <r>
    <x v="791"/>
    <x v="1"/>
    <x v="1"/>
    <x v="3"/>
    <n v="9"/>
    <n v="6138"/>
    <n v="1478.57"/>
  </r>
  <r>
    <x v="211"/>
    <x v="6"/>
    <x v="1"/>
    <x v="2"/>
    <n v="4"/>
    <n v="964"/>
    <n v="184.03"/>
  </r>
  <r>
    <x v="533"/>
    <x v="7"/>
    <x v="2"/>
    <x v="2"/>
    <n v="7"/>
    <n v="4697"/>
    <n v="976.26"/>
  </r>
  <r>
    <x v="255"/>
    <x v="7"/>
    <x v="2"/>
    <x v="3"/>
    <n v="2"/>
    <n v="1232"/>
    <n v="155.52000000000001"/>
  </r>
  <r>
    <x v="981"/>
    <x v="6"/>
    <x v="1"/>
    <x v="3"/>
    <n v="7"/>
    <n v="6384"/>
    <n v="734.79"/>
  </r>
  <r>
    <x v="988"/>
    <x v="1"/>
    <x v="1"/>
    <x v="3"/>
    <n v="4"/>
    <n v="780"/>
    <n v="162.72"/>
  </r>
  <r>
    <x v="760"/>
    <x v="0"/>
    <x v="0"/>
    <x v="3"/>
    <n v="4"/>
    <n v="1256"/>
    <n v="362.22"/>
  </r>
  <r>
    <x v="176"/>
    <x v="1"/>
    <x v="1"/>
    <x v="2"/>
    <n v="1"/>
    <n v="1162"/>
    <n v="220.93"/>
  </r>
  <r>
    <x v="291"/>
    <x v="1"/>
    <x v="1"/>
    <x v="2"/>
    <n v="8"/>
    <n v="7520"/>
    <n v="995.03"/>
  </r>
  <r>
    <x v="38"/>
    <x v="4"/>
    <x v="1"/>
    <x v="2"/>
    <n v="7"/>
    <n v="2387"/>
    <n v="463.92"/>
  </r>
  <r>
    <x v="85"/>
    <x v="8"/>
    <x v="1"/>
    <x v="1"/>
    <n v="8"/>
    <n v="2256"/>
    <n v="316.77"/>
  </r>
  <r>
    <x v="151"/>
    <x v="6"/>
    <x v="1"/>
    <x v="0"/>
    <n v="8"/>
    <n v="7792"/>
    <n v="913.12"/>
  </r>
  <r>
    <x v="947"/>
    <x v="9"/>
    <x v="2"/>
    <x v="1"/>
    <n v="8"/>
    <n v="3944"/>
    <n v="296.35000000000002"/>
  </r>
  <r>
    <x v="232"/>
    <x v="7"/>
    <x v="2"/>
    <x v="2"/>
    <n v="2"/>
    <n v="822"/>
    <n v="183.45"/>
  </r>
  <r>
    <x v="295"/>
    <x v="4"/>
    <x v="1"/>
    <x v="0"/>
    <n v="3"/>
    <n v="1962"/>
    <n v="469.94"/>
  </r>
  <r>
    <x v="981"/>
    <x v="0"/>
    <x v="0"/>
    <x v="0"/>
    <n v="4"/>
    <n v="1016"/>
    <n v="269.88"/>
  </r>
  <r>
    <x v="657"/>
    <x v="2"/>
    <x v="2"/>
    <x v="0"/>
    <n v="2"/>
    <n v="1980"/>
    <n v="125.99"/>
  </r>
  <r>
    <x v="982"/>
    <x v="4"/>
    <x v="1"/>
    <x v="3"/>
    <n v="4"/>
    <n v="3996"/>
    <n v="965.26"/>
  </r>
  <r>
    <x v="222"/>
    <x v="5"/>
    <x v="2"/>
    <x v="0"/>
    <n v="1"/>
    <n v="663"/>
    <n v="183.82"/>
  </r>
  <r>
    <x v="19"/>
    <x v="9"/>
    <x v="2"/>
    <x v="2"/>
    <n v="1"/>
    <n v="575"/>
    <n v="104.31"/>
  </r>
  <r>
    <x v="339"/>
    <x v="2"/>
    <x v="2"/>
    <x v="2"/>
    <n v="1"/>
    <n v="187"/>
    <n v="33.76"/>
  </r>
  <r>
    <x v="598"/>
    <x v="2"/>
    <x v="2"/>
    <x v="1"/>
    <n v="7"/>
    <n v="6216"/>
    <n v="378.24"/>
  </r>
  <r>
    <x v="408"/>
    <x v="3"/>
    <x v="2"/>
    <x v="2"/>
    <n v="1"/>
    <n v="189"/>
    <n v="19.02"/>
  </r>
  <r>
    <x v="581"/>
    <x v="2"/>
    <x v="2"/>
    <x v="2"/>
    <n v="2"/>
    <n v="358"/>
    <n v="41.46"/>
  </r>
  <r>
    <x v="118"/>
    <x v="8"/>
    <x v="1"/>
    <x v="0"/>
    <n v="6"/>
    <n v="6192"/>
    <n v="316.23"/>
  </r>
  <r>
    <x v="40"/>
    <x v="2"/>
    <x v="2"/>
    <x v="1"/>
    <n v="7"/>
    <n v="4382"/>
    <n v="592.46"/>
  </r>
  <r>
    <x v="836"/>
    <x v="8"/>
    <x v="1"/>
    <x v="1"/>
    <n v="2"/>
    <n v="1122"/>
    <n v="100.78"/>
  </r>
  <r>
    <x v="925"/>
    <x v="9"/>
    <x v="2"/>
    <x v="0"/>
    <n v="8"/>
    <n v="8192"/>
    <n v="2081.7199999999998"/>
  </r>
  <r>
    <x v="326"/>
    <x v="9"/>
    <x v="2"/>
    <x v="2"/>
    <n v="6"/>
    <n v="2658"/>
    <n v="200.79"/>
  </r>
  <r>
    <x v="278"/>
    <x v="2"/>
    <x v="2"/>
    <x v="3"/>
    <n v="6"/>
    <n v="606"/>
    <n v="127.68"/>
  </r>
  <r>
    <x v="795"/>
    <x v="6"/>
    <x v="1"/>
    <x v="2"/>
    <n v="8"/>
    <n v="448"/>
    <n v="45.43"/>
  </r>
  <r>
    <x v="386"/>
    <x v="0"/>
    <x v="0"/>
    <x v="0"/>
    <n v="3"/>
    <n v="1674"/>
    <n v="435.95"/>
  </r>
  <r>
    <x v="516"/>
    <x v="2"/>
    <x v="2"/>
    <x v="2"/>
    <n v="6"/>
    <n v="1944"/>
    <n v="366.18"/>
  </r>
  <r>
    <x v="736"/>
    <x v="6"/>
    <x v="1"/>
    <x v="2"/>
    <n v="6"/>
    <n v="1716"/>
    <n v="302.08999999999997"/>
  </r>
  <r>
    <x v="582"/>
    <x v="3"/>
    <x v="2"/>
    <x v="2"/>
    <n v="6"/>
    <n v="2982"/>
    <n v="445.01"/>
  </r>
  <r>
    <x v="201"/>
    <x v="9"/>
    <x v="2"/>
    <x v="0"/>
    <n v="9"/>
    <n v="7497"/>
    <n v="2241.59"/>
  </r>
  <r>
    <x v="611"/>
    <x v="4"/>
    <x v="1"/>
    <x v="2"/>
    <n v="3"/>
    <n v="1026"/>
    <n v="142.71"/>
  </r>
  <r>
    <x v="731"/>
    <x v="9"/>
    <x v="2"/>
    <x v="2"/>
    <n v="7"/>
    <n v="7392"/>
    <n v="2063.23"/>
  </r>
  <r>
    <x v="172"/>
    <x v="0"/>
    <x v="0"/>
    <x v="0"/>
    <n v="4"/>
    <n v="2604"/>
    <n v="271.22000000000003"/>
  </r>
  <r>
    <x v="962"/>
    <x v="5"/>
    <x v="2"/>
    <x v="0"/>
    <n v="6"/>
    <n v="1746"/>
    <n v="289.2"/>
  </r>
  <r>
    <x v="838"/>
    <x v="4"/>
    <x v="1"/>
    <x v="3"/>
    <n v="6"/>
    <n v="5682"/>
    <n v="1365.87"/>
  </r>
  <r>
    <x v="887"/>
    <x v="1"/>
    <x v="1"/>
    <x v="0"/>
    <n v="8"/>
    <n v="8664"/>
    <n v="2131.16"/>
  </r>
  <r>
    <x v="596"/>
    <x v="2"/>
    <x v="2"/>
    <x v="3"/>
    <n v="3"/>
    <n v="1887"/>
    <n v="363.42"/>
  </r>
  <r>
    <x v="774"/>
    <x v="7"/>
    <x v="2"/>
    <x v="1"/>
    <n v="7"/>
    <n v="6013"/>
    <n v="1544.51"/>
  </r>
  <r>
    <x v="638"/>
    <x v="5"/>
    <x v="2"/>
    <x v="0"/>
    <n v="2"/>
    <n v="1578"/>
    <n v="463.58"/>
  </r>
  <r>
    <x v="688"/>
    <x v="3"/>
    <x v="2"/>
    <x v="2"/>
    <n v="3"/>
    <n v="285"/>
    <n v="38.369999999999997"/>
  </r>
  <r>
    <x v="760"/>
    <x v="9"/>
    <x v="2"/>
    <x v="3"/>
    <n v="6"/>
    <n v="5448"/>
    <n v="963.82"/>
  </r>
  <r>
    <x v="27"/>
    <x v="0"/>
    <x v="0"/>
    <x v="1"/>
    <n v="2"/>
    <n v="1710"/>
    <n v="468.76"/>
  </r>
  <r>
    <x v="236"/>
    <x v="8"/>
    <x v="1"/>
    <x v="3"/>
    <n v="9"/>
    <n v="2817"/>
    <n v="432.67"/>
  </r>
  <r>
    <x v="584"/>
    <x v="7"/>
    <x v="2"/>
    <x v="1"/>
    <n v="9"/>
    <n v="9117"/>
    <n v="1780.52"/>
  </r>
  <r>
    <x v="479"/>
    <x v="5"/>
    <x v="2"/>
    <x v="2"/>
    <n v="2"/>
    <n v="274"/>
    <n v="42.37"/>
  </r>
  <r>
    <x v="889"/>
    <x v="8"/>
    <x v="1"/>
    <x v="2"/>
    <n v="6"/>
    <n v="6408"/>
    <n v="885.71"/>
  </r>
  <r>
    <x v="967"/>
    <x v="8"/>
    <x v="1"/>
    <x v="3"/>
    <n v="5"/>
    <n v="5755"/>
    <n v="1441.84"/>
  </r>
  <r>
    <x v="989"/>
    <x v="2"/>
    <x v="2"/>
    <x v="3"/>
    <n v="3"/>
    <n v="2262"/>
    <n v="245.66"/>
  </r>
  <r>
    <x v="410"/>
    <x v="4"/>
    <x v="1"/>
    <x v="1"/>
    <n v="7"/>
    <n v="1785"/>
    <n v="233.77"/>
  </r>
  <r>
    <x v="68"/>
    <x v="0"/>
    <x v="0"/>
    <x v="0"/>
    <n v="8"/>
    <n v="5128"/>
    <n v="657.87"/>
  </r>
  <r>
    <x v="990"/>
    <x v="3"/>
    <x v="2"/>
    <x v="2"/>
    <n v="8"/>
    <n v="5176"/>
    <n v="1400.82"/>
  </r>
  <r>
    <x v="991"/>
    <x v="8"/>
    <x v="1"/>
    <x v="0"/>
    <n v="5"/>
    <n v="1510"/>
    <n v="331.76"/>
  </r>
  <r>
    <x v="278"/>
    <x v="8"/>
    <x v="1"/>
    <x v="0"/>
    <n v="1"/>
    <n v="947"/>
    <n v="77.209999999999994"/>
  </r>
  <r>
    <x v="383"/>
    <x v="7"/>
    <x v="2"/>
    <x v="0"/>
    <n v="9"/>
    <n v="5427"/>
    <n v="731.33"/>
  </r>
  <r>
    <x v="584"/>
    <x v="5"/>
    <x v="2"/>
    <x v="2"/>
    <n v="4"/>
    <n v="4560"/>
    <n v="507.87"/>
  </r>
  <r>
    <x v="318"/>
    <x v="2"/>
    <x v="2"/>
    <x v="2"/>
    <n v="6"/>
    <n v="2100"/>
    <n v="268.39999999999998"/>
  </r>
  <r>
    <x v="870"/>
    <x v="9"/>
    <x v="2"/>
    <x v="0"/>
    <n v="1"/>
    <n v="1054"/>
    <n v="288.14999999999998"/>
  </r>
  <r>
    <x v="480"/>
    <x v="5"/>
    <x v="2"/>
    <x v="3"/>
    <n v="6"/>
    <n v="7026"/>
    <n v="1814.21"/>
  </r>
  <r>
    <x v="992"/>
    <x v="3"/>
    <x v="2"/>
    <x v="0"/>
    <n v="9"/>
    <n v="513"/>
    <n v="151.87"/>
  </r>
  <r>
    <x v="423"/>
    <x v="4"/>
    <x v="1"/>
    <x v="2"/>
    <n v="2"/>
    <n v="2244"/>
    <n v="353.83"/>
  </r>
  <r>
    <x v="932"/>
    <x v="7"/>
    <x v="2"/>
    <x v="0"/>
    <n v="5"/>
    <n v="1785"/>
    <n v="134.94999999999999"/>
  </r>
  <r>
    <x v="96"/>
    <x v="8"/>
    <x v="1"/>
    <x v="2"/>
    <n v="5"/>
    <n v="725"/>
    <n v="77.91"/>
  </r>
  <r>
    <x v="880"/>
    <x v="7"/>
    <x v="2"/>
    <x v="0"/>
    <n v="4"/>
    <n v="2516"/>
    <n v="689.29"/>
  </r>
  <r>
    <x v="377"/>
    <x v="6"/>
    <x v="1"/>
    <x v="1"/>
    <n v="8"/>
    <n v="6256"/>
    <n v="1152.99"/>
  </r>
  <r>
    <x v="223"/>
    <x v="3"/>
    <x v="2"/>
    <x v="0"/>
    <n v="2"/>
    <n v="452"/>
    <n v="74.34"/>
  </r>
  <r>
    <x v="408"/>
    <x v="9"/>
    <x v="2"/>
    <x v="2"/>
    <n v="7"/>
    <n v="5285"/>
    <n v="1338.58"/>
  </r>
  <r>
    <x v="569"/>
    <x v="7"/>
    <x v="2"/>
    <x v="0"/>
    <n v="6"/>
    <n v="4872"/>
    <n v="786.79"/>
  </r>
  <r>
    <x v="858"/>
    <x v="8"/>
    <x v="1"/>
    <x v="1"/>
    <n v="5"/>
    <n v="2495"/>
    <n v="164.56"/>
  </r>
  <r>
    <x v="273"/>
    <x v="6"/>
    <x v="1"/>
    <x v="3"/>
    <n v="1"/>
    <n v="442"/>
    <n v="82.73"/>
  </r>
  <r>
    <x v="545"/>
    <x v="0"/>
    <x v="0"/>
    <x v="1"/>
    <n v="9"/>
    <n v="8595"/>
    <n v="1312.19"/>
  </r>
  <r>
    <x v="183"/>
    <x v="8"/>
    <x v="1"/>
    <x v="1"/>
    <n v="4"/>
    <n v="3528"/>
    <n v="411.5"/>
  </r>
  <r>
    <x v="428"/>
    <x v="9"/>
    <x v="2"/>
    <x v="0"/>
    <n v="7"/>
    <n v="7777"/>
    <n v="746.84"/>
  </r>
  <r>
    <x v="861"/>
    <x v="5"/>
    <x v="2"/>
    <x v="2"/>
    <n v="4"/>
    <n v="2008"/>
    <n v="451.68"/>
  </r>
  <r>
    <x v="806"/>
    <x v="1"/>
    <x v="1"/>
    <x v="0"/>
    <n v="2"/>
    <n v="596"/>
    <n v="41.37"/>
  </r>
  <r>
    <x v="366"/>
    <x v="5"/>
    <x v="2"/>
    <x v="1"/>
    <n v="9"/>
    <n v="4950"/>
    <n v="1402.67"/>
  </r>
  <r>
    <x v="821"/>
    <x v="8"/>
    <x v="1"/>
    <x v="2"/>
    <n v="2"/>
    <n v="630"/>
    <n v="86.07"/>
  </r>
  <r>
    <x v="528"/>
    <x v="3"/>
    <x v="2"/>
    <x v="0"/>
    <n v="6"/>
    <n v="6144"/>
    <n v="754.18"/>
  </r>
  <r>
    <x v="963"/>
    <x v="6"/>
    <x v="1"/>
    <x v="0"/>
    <n v="1"/>
    <n v="140"/>
    <n v="24.21"/>
  </r>
  <r>
    <x v="475"/>
    <x v="4"/>
    <x v="1"/>
    <x v="1"/>
    <n v="2"/>
    <n v="2014"/>
    <n v="215.06"/>
  </r>
  <r>
    <x v="933"/>
    <x v="1"/>
    <x v="1"/>
    <x v="3"/>
    <n v="2"/>
    <n v="384"/>
    <n v="99.02"/>
  </r>
  <r>
    <x v="842"/>
    <x v="0"/>
    <x v="0"/>
    <x v="1"/>
    <n v="7"/>
    <n v="3780"/>
    <n v="351.51"/>
  </r>
  <r>
    <x v="993"/>
    <x v="6"/>
    <x v="1"/>
    <x v="3"/>
    <n v="7"/>
    <n v="5047"/>
    <n v="915.75"/>
  </r>
  <r>
    <x v="866"/>
    <x v="4"/>
    <x v="1"/>
    <x v="2"/>
    <n v="3"/>
    <n v="2658"/>
    <n v="175.89"/>
  </r>
  <r>
    <x v="662"/>
    <x v="1"/>
    <x v="1"/>
    <x v="3"/>
    <n v="8"/>
    <n v="528"/>
    <n v="53.91"/>
  </r>
  <r>
    <x v="994"/>
    <x v="8"/>
    <x v="1"/>
    <x v="1"/>
    <n v="9"/>
    <n v="6507"/>
    <n v="1045.1400000000001"/>
  </r>
  <r>
    <x v="642"/>
    <x v="3"/>
    <x v="2"/>
    <x v="2"/>
    <n v="7"/>
    <n v="5887"/>
    <n v="1035.5"/>
  </r>
  <r>
    <x v="162"/>
    <x v="4"/>
    <x v="1"/>
    <x v="1"/>
    <n v="8"/>
    <n v="8224"/>
    <n v="1679.16"/>
  </r>
  <r>
    <x v="655"/>
    <x v="9"/>
    <x v="2"/>
    <x v="2"/>
    <n v="3"/>
    <n v="723"/>
    <n v="115.25"/>
  </r>
  <r>
    <x v="937"/>
    <x v="1"/>
    <x v="1"/>
    <x v="0"/>
    <n v="2"/>
    <n v="2272"/>
    <n v="504.72"/>
  </r>
  <r>
    <x v="995"/>
    <x v="8"/>
    <x v="1"/>
    <x v="1"/>
    <n v="9"/>
    <n v="8640"/>
    <n v="1963.34"/>
  </r>
  <r>
    <x v="496"/>
    <x v="3"/>
    <x v="2"/>
    <x v="0"/>
    <n v="8"/>
    <n v="2984"/>
    <n v="631.80999999999995"/>
  </r>
  <r>
    <x v="503"/>
    <x v="7"/>
    <x v="2"/>
    <x v="1"/>
    <n v="2"/>
    <n v="606"/>
    <n v="150.94999999999999"/>
  </r>
  <r>
    <x v="183"/>
    <x v="6"/>
    <x v="1"/>
    <x v="3"/>
    <n v="2"/>
    <n v="170"/>
    <n v="48.69"/>
  </r>
  <r>
    <x v="996"/>
    <x v="4"/>
    <x v="1"/>
    <x v="1"/>
    <n v="9"/>
    <n v="5283"/>
    <n v="1550.3"/>
  </r>
  <r>
    <x v="946"/>
    <x v="5"/>
    <x v="2"/>
    <x v="3"/>
    <n v="6"/>
    <n v="1350"/>
    <n v="356.88"/>
  </r>
  <r>
    <x v="380"/>
    <x v="4"/>
    <x v="1"/>
    <x v="2"/>
    <n v="4"/>
    <n v="2500"/>
    <n v="467.34"/>
  </r>
  <r>
    <x v="691"/>
    <x v="3"/>
    <x v="2"/>
    <x v="0"/>
    <n v="4"/>
    <n v="4648"/>
    <n v="689.85"/>
  </r>
  <r>
    <x v="722"/>
    <x v="0"/>
    <x v="0"/>
    <x v="0"/>
    <n v="5"/>
    <n v="650"/>
    <n v="93.41"/>
  </r>
  <r>
    <x v="415"/>
    <x v="6"/>
    <x v="1"/>
    <x v="0"/>
    <n v="2"/>
    <n v="1538"/>
    <n v="97.15"/>
  </r>
  <r>
    <x v="689"/>
    <x v="5"/>
    <x v="2"/>
    <x v="1"/>
    <n v="4"/>
    <n v="3928"/>
    <n v="325.32"/>
  </r>
  <r>
    <x v="510"/>
    <x v="4"/>
    <x v="1"/>
    <x v="0"/>
    <n v="2"/>
    <n v="2258"/>
    <n v="175.86"/>
  </r>
  <r>
    <x v="317"/>
    <x v="6"/>
    <x v="1"/>
    <x v="3"/>
    <n v="9"/>
    <n v="2988"/>
    <n v="447.93"/>
  </r>
  <r>
    <x v="529"/>
    <x v="4"/>
    <x v="1"/>
    <x v="2"/>
    <n v="8"/>
    <n v="4136"/>
    <n v="810.82"/>
  </r>
  <r>
    <x v="708"/>
    <x v="1"/>
    <x v="1"/>
    <x v="2"/>
    <n v="7"/>
    <n v="3605"/>
    <n v="387.82"/>
  </r>
  <r>
    <x v="966"/>
    <x v="5"/>
    <x v="2"/>
    <x v="3"/>
    <n v="3"/>
    <n v="1656"/>
    <n v="469.28"/>
  </r>
  <r>
    <x v="997"/>
    <x v="0"/>
    <x v="0"/>
    <x v="3"/>
    <n v="8"/>
    <n v="7072"/>
    <n v="2113.06"/>
  </r>
  <r>
    <x v="235"/>
    <x v="8"/>
    <x v="1"/>
    <x v="2"/>
    <n v="8"/>
    <n v="5368"/>
    <n v="542.52"/>
  </r>
  <r>
    <x v="31"/>
    <x v="9"/>
    <x v="2"/>
    <x v="1"/>
    <n v="4"/>
    <n v="1356"/>
    <n v="374.79"/>
  </r>
  <r>
    <x v="697"/>
    <x v="0"/>
    <x v="0"/>
    <x v="2"/>
    <n v="6"/>
    <n v="1326"/>
    <n v="338.66"/>
  </r>
  <r>
    <x v="756"/>
    <x v="0"/>
    <x v="0"/>
    <x v="1"/>
    <n v="1"/>
    <n v="730"/>
    <n v="55.72"/>
  </r>
  <r>
    <x v="870"/>
    <x v="4"/>
    <x v="1"/>
    <x v="2"/>
    <n v="4"/>
    <n v="4664"/>
    <n v="294.05"/>
  </r>
  <r>
    <x v="10"/>
    <x v="9"/>
    <x v="2"/>
    <x v="0"/>
    <n v="8"/>
    <n v="3528"/>
    <n v="593.11"/>
  </r>
  <r>
    <x v="569"/>
    <x v="1"/>
    <x v="1"/>
    <x v="3"/>
    <n v="3"/>
    <n v="1497"/>
    <n v="190.59"/>
  </r>
  <r>
    <x v="364"/>
    <x v="2"/>
    <x v="2"/>
    <x v="0"/>
    <n v="3"/>
    <n v="2628"/>
    <n v="781.94"/>
  </r>
  <r>
    <x v="900"/>
    <x v="9"/>
    <x v="2"/>
    <x v="3"/>
    <n v="4"/>
    <n v="4196"/>
    <n v="655.29"/>
  </r>
  <r>
    <x v="382"/>
    <x v="6"/>
    <x v="1"/>
    <x v="2"/>
    <n v="7"/>
    <n v="1204"/>
    <n v="317.12"/>
  </r>
  <r>
    <x v="635"/>
    <x v="0"/>
    <x v="0"/>
    <x v="3"/>
    <n v="7"/>
    <n v="7119"/>
    <n v="1555.05"/>
  </r>
  <r>
    <x v="446"/>
    <x v="2"/>
    <x v="2"/>
    <x v="3"/>
    <n v="8"/>
    <n v="1848"/>
    <n v="351.02"/>
  </r>
  <r>
    <x v="342"/>
    <x v="2"/>
    <x v="2"/>
    <x v="2"/>
    <n v="4"/>
    <n v="2232"/>
    <n v="531.12"/>
  </r>
  <r>
    <x v="221"/>
    <x v="1"/>
    <x v="1"/>
    <x v="3"/>
    <n v="6"/>
    <n v="5190"/>
    <n v="898.86"/>
  </r>
  <r>
    <x v="245"/>
    <x v="7"/>
    <x v="2"/>
    <x v="3"/>
    <n v="3"/>
    <n v="1830"/>
    <n v="403.42"/>
  </r>
  <r>
    <x v="196"/>
    <x v="1"/>
    <x v="1"/>
    <x v="3"/>
    <n v="1"/>
    <n v="1033"/>
    <n v="302.68"/>
  </r>
  <r>
    <x v="506"/>
    <x v="5"/>
    <x v="2"/>
    <x v="2"/>
    <n v="7"/>
    <n v="2324"/>
    <n v="611.70000000000005"/>
  </r>
  <r>
    <x v="388"/>
    <x v="8"/>
    <x v="1"/>
    <x v="0"/>
    <n v="2"/>
    <n v="1942"/>
    <n v="235.42"/>
  </r>
  <r>
    <x v="743"/>
    <x v="0"/>
    <x v="0"/>
    <x v="2"/>
    <n v="7"/>
    <n v="5740"/>
    <n v="1615.9"/>
  </r>
  <r>
    <x v="418"/>
    <x v="5"/>
    <x v="2"/>
    <x v="2"/>
    <n v="9"/>
    <n v="6435"/>
    <n v="1096.8800000000001"/>
  </r>
  <r>
    <x v="540"/>
    <x v="1"/>
    <x v="1"/>
    <x v="0"/>
    <n v="2"/>
    <n v="1168"/>
    <n v="172.18"/>
  </r>
  <r>
    <x v="356"/>
    <x v="2"/>
    <x v="2"/>
    <x v="2"/>
    <n v="9"/>
    <n v="7362"/>
    <n v="441.36"/>
  </r>
  <r>
    <x v="391"/>
    <x v="5"/>
    <x v="2"/>
    <x v="3"/>
    <n v="2"/>
    <n v="862"/>
    <n v="105.97"/>
  </r>
  <r>
    <x v="809"/>
    <x v="1"/>
    <x v="1"/>
    <x v="3"/>
    <n v="1"/>
    <n v="956"/>
    <n v="167.16"/>
  </r>
  <r>
    <x v="935"/>
    <x v="7"/>
    <x v="2"/>
    <x v="3"/>
    <n v="7"/>
    <n v="4438"/>
    <n v="770.3"/>
  </r>
  <r>
    <x v="14"/>
    <x v="8"/>
    <x v="1"/>
    <x v="1"/>
    <n v="9"/>
    <n v="972"/>
    <n v="100"/>
  </r>
  <r>
    <x v="851"/>
    <x v="8"/>
    <x v="1"/>
    <x v="3"/>
    <n v="2"/>
    <n v="1816"/>
    <n v="129.24"/>
  </r>
  <r>
    <x v="526"/>
    <x v="6"/>
    <x v="1"/>
    <x v="1"/>
    <n v="4"/>
    <n v="596"/>
    <n v="105.89"/>
  </r>
  <r>
    <x v="153"/>
    <x v="1"/>
    <x v="1"/>
    <x v="1"/>
    <n v="9"/>
    <n v="1233"/>
    <n v="346.9"/>
  </r>
  <r>
    <x v="188"/>
    <x v="4"/>
    <x v="1"/>
    <x v="3"/>
    <n v="1"/>
    <n v="1055"/>
    <n v="88.61"/>
  </r>
  <r>
    <x v="514"/>
    <x v="2"/>
    <x v="2"/>
    <x v="1"/>
    <n v="2"/>
    <n v="952"/>
    <n v="112.39"/>
  </r>
  <r>
    <x v="956"/>
    <x v="1"/>
    <x v="1"/>
    <x v="3"/>
    <n v="1"/>
    <n v="312"/>
    <n v="40.47"/>
  </r>
  <r>
    <x v="998"/>
    <x v="2"/>
    <x v="2"/>
    <x v="2"/>
    <n v="2"/>
    <n v="294"/>
    <n v="35.049999999999997"/>
  </r>
  <r>
    <x v="312"/>
    <x v="5"/>
    <x v="2"/>
    <x v="0"/>
    <n v="2"/>
    <n v="474"/>
    <n v="120.91"/>
  </r>
  <r>
    <x v="642"/>
    <x v="3"/>
    <x v="2"/>
    <x v="1"/>
    <n v="2"/>
    <n v="788"/>
    <n v="195.15"/>
  </r>
  <r>
    <x v="16"/>
    <x v="1"/>
    <x v="1"/>
    <x v="0"/>
    <n v="8"/>
    <n v="2760"/>
    <n v="156.53"/>
  </r>
  <r>
    <x v="662"/>
    <x v="9"/>
    <x v="2"/>
    <x v="0"/>
    <n v="4"/>
    <n v="908"/>
    <n v="219.79"/>
  </r>
  <r>
    <x v="461"/>
    <x v="7"/>
    <x v="2"/>
    <x v="1"/>
    <n v="1"/>
    <n v="593"/>
    <n v="133.01"/>
  </r>
  <r>
    <x v="940"/>
    <x v="4"/>
    <x v="1"/>
    <x v="2"/>
    <n v="6"/>
    <n v="1698"/>
    <n v="193.42"/>
  </r>
  <r>
    <x v="104"/>
    <x v="0"/>
    <x v="0"/>
    <x v="1"/>
    <n v="1"/>
    <n v="546"/>
    <n v="124.1"/>
  </r>
  <r>
    <x v="783"/>
    <x v="9"/>
    <x v="2"/>
    <x v="3"/>
    <n v="5"/>
    <n v="4380"/>
    <n v="275.83999999999997"/>
  </r>
  <r>
    <x v="223"/>
    <x v="3"/>
    <x v="2"/>
    <x v="3"/>
    <n v="4"/>
    <n v="2472"/>
    <n v="594.62"/>
  </r>
  <r>
    <x v="330"/>
    <x v="7"/>
    <x v="2"/>
    <x v="1"/>
    <n v="4"/>
    <n v="1996"/>
    <n v="396.63"/>
  </r>
  <r>
    <x v="366"/>
    <x v="3"/>
    <x v="2"/>
    <x v="3"/>
    <n v="5"/>
    <n v="2525"/>
    <n v="699.74"/>
  </r>
  <r>
    <x v="782"/>
    <x v="4"/>
    <x v="1"/>
    <x v="3"/>
    <n v="9"/>
    <n v="4041"/>
    <n v="517.23"/>
  </r>
  <r>
    <x v="909"/>
    <x v="8"/>
    <x v="1"/>
    <x v="2"/>
    <n v="3"/>
    <n v="858"/>
    <n v="246.86"/>
  </r>
  <r>
    <x v="91"/>
    <x v="8"/>
    <x v="1"/>
    <x v="0"/>
    <n v="9"/>
    <n v="4221"/>
    <n v="1238.5999999999999"/>
  </r>
  <r>
    <x v="390"/>
    <x v="2"/>
    <x v="2"/>
    <x v="1"/>
    <n v="2"/>
    <n v="858"/>
    <n v="73.489999999999995"/>
  </r>
  <r>
    <x v="227"/>
    <x v="8"/>
    <x v="1"/>
    <x v="0"/>
    <n v="1"/>
    <n v="776"/>
    <n v="172.19"/>
  </r>
  <r>
    <x v="635"/>
    <x v="9"/>
    <x v="2"/>
    <x v="0"/>
    <n v="7"/>
    <n v="3654"/>
    <n v="871.81"/>
  </r>
  <r>
    <x v="921"/>
    <x v="4"/>
    <x v="1"/>
    <x v="1"/>
    <n v="3"/>
    <n v="384"/>
    <n v="45.99"/>
  </r>
  <r>
    <x v="991"/>
    <x v="0"/>
    <x v="0"/>
    <x v="3"/>
    <n v="5"/>
    <n v="535"/>
    <n v="43.47"/>
  </r>
  <r>
    <x v="818"/>
    <x v="4"/>
    <x v="1"/>
    <x v="0"/>
    <n v="9"/>
    <n v="7992"/>
    <n v="1979.53"/>
  </r>
  <r>
    <x v="562"/>
    <x v="1"/>
    <x v="1"/>
    <x v="0"/>
    <n v="7"/>
    <n v="3892"/>
    <n v="350.57"/>
  </r>
  <r>
    <x v="999"/>
    <x v="2"/>
    <x v="2"/>
    <x v="1"/>
    <n v="3"/>
    <n v="2637"/>
    <n v="468.6"/>
  </r>
  <r>
    <x v="1000"/>
    <x v="1"/>
    <x v="1"/>
    <x v="2"/>
    <n v="8"/>
    <n v="8664"/>
    <n v="2349.6799999999998"/>
  </r>
  <r>
    <x v="855"/>
    <x v="5"/>
    <x v="2"/>
    <x v="2"/>
    <n v="6"/>
    <n v="918"/>
    <n v="116.87"/>
  </r>
  <r>
    <x v="607"/>
    <x v="6"/>
    <x v="1"/>
    <x v="3"/>
    <n v="5"/>
    <n v="5625"/>
    <n v="1006.95"/>
  </r>
  <r>
    <x v="642"/>
    <x v="2"/>
    <x v="2"/>
    <x v="3"/>
    <n v="6"/>
    <n v="6030"/>
    <n v="511.7"/>
  </r>
  <r>
    <x v="802"/>
    <x v="0"/>
    <x v="0"/>
    <x v="3"/>
    <n v="8"/>
    <n v="432"/>
    <n v="98.44"/>
  </r>
  <r>
    <x v="819"/>
    <x v="9"/>
    <x v="2"/>
    <x v="2"/>
    <n v="6"/>
    <n v="1884"/>
    <n v="190.58"/>
  </r>
  <r>
    <x v="801"/>
    <x v="9"/>
    <x v="2"/>
    <x v="1"/>
    <n v="9"/>
    <n v="9225"/>
    <n v="2526.27"/>
  </r>
  <r>
    <x v="210"/>
    <x v="0"/>
    <x v="0"/>
    <x v="0"/>
    <n v="2"/>
    <n v="954"/>
    <n v="71"/>
  </r>
  <r>
    <x v="33"/>
    <x v="5"/>
    <x v="2"/>
    <x v="3"/>
    <n v="8"/>
    <n v="7072"/>
    <n v="1983.42"/>
  </r>
  <r>
    <x v="852"/>
    <x v="7"/>
    <x v="2"/>
    <x v="0"/>
    <n v="3"/>
    <n v="342"/>
    <n v="89.67"/>
  </r>
  <r>
    <x v="43"/>
    <x v="0"/>
    <x v="0"/>
    <x v="2"/>
    <n v="4"/>
    <n v="2440"/>
    <n v="410.86"/>
  </r>
  <r>
    <x v="31"/>
    <x v="1"/>
    <x v="1"/>
    <x v="2"/>
    <n v="5"/>
    <n v="510"/>
    <n v="82.47"/>
  </r>
  <r>
    <x v="305"/>
    <x v="7"/>
    <x v="2"/>
    <x v="2"/>
    <n v="1"/>
    <n v="192"/>
    <n v="16.47"/>
  </r>
  <r>
    <x v="673"/>
    <x v="1"/>
    <x v="1"/>
    <x v="1"/>
    <n v="5"/>
    <n v="3600"/>
    <n v="712.3"/>
  </r>
  <r>
    <x v="1001"/>
    <x v="3"/>
    <x v="2"/>
    <x v="3"/>
    <n v="7"/>
    <n v="2597"/>
    <n v="766.32"/>
  </r>
  <r>
    <x v="212"/>
    <x v="3"/>
    <x v="2"/>
    <x v="1"/>
    <n v="4"/>
    <n v="772"/>
    <n v="215.62"/>
  </r>
  <r>
    <x v="665"/>
    <x v="1"/>
    <x v="1"/>
    <x v="3"/>
    <n v="2"/>
    <n v="646"/>
    <n v="180.5"/>
  </r>
  <r>
    <x v="181"/>
    <x v="7"/>
    <x v="2"/>
    <x v="1"/>
    <n v="7"/>
    <n v="2947"/>
    <n v="809.46"/>
  </r>
  <r>
    <x v="801"/>
    <x v="9"/>
    <x v="2"/>
    <x v="2"/>
    <n v="5"/>
    <n v="880"/>
    <n v="255.9"/>
  </r>
  <r>
    <x v="691"/>
    <x v="3"/>
    <x v="2"/>
    <x v="3"/>
    <n v="3"/>
    <n v="1038"/>
    <n v="219.69"/>
  </r>
  <r>
    <x v="965"/>
    <x v="0"/>
    <x v="0"/>
    <x v="3"/>
    <n v="1"/>
    <n v="714"/>
    <n v="209.69"/>
  </r>
  <r>
    <x v="275"/>
    <x v="9"/>
    <x v="2"/>
    <x v="2"/>
    <n v="4"/>
    <n v="1792"/>
    <n v="506.56"/>
  </r>
  <r>
    <x v="116"/>
    <x v="4"/>
    <x v="1"/>
    <x v="1"/>
    <n v="6"/>
    <n v="5874"/>
    <n v="1386.51"/>
  </r>
  <r>
    <x v="162"/>
    <x v="5"/>
    <x v="2"/>
    <x v="1"/>
    <n v="6"/>
    <n v="2496"/>
    <n v="332.08"/>
  </r>
  <r>
    <x v="841"/>
    <x v="5"/>
    <x v="2"/>
    <x v="3"/>
    <n v="3"/>
    <n v="795"/>
    <n v="60.34"/>
  </r>
  <r>
    <x v="350"/>
    <x v="7"/>
    <x v="2"/>
    <x v="1"/>
    <n v="7"/>
    <n v="7238"/>
    <n v="1597.03"/>
  </r>
  <r>
    <x v="409"/>
    <x v="2"/>
    <x v="2"/>
    <x v="2"/>
    <n v="1"/>
    <n v="430"/>
    <n v="83.33"/>
  </r>
  <r>
    <x v="135"/>
    <x v="4"/>
    <x v="1"/>
    <x v="3"/>
    <n v="4"/>
    <n v="1728"/>
    <n v="239.64"/>
  </r>
  <r>
    <x v="709"/>
    <x v="6"/>
    <x v="1"/>
    <x v="2"/>
    <n v="3"/>
    <n v="1833"/>
    <n v="314.79000000000002"/>
  </r>
  <r>
    <x v="320"/>
    <x v="6"/>
    <x v="1"/>
    <x v="0"/>
    <n v="7"/>
    <n v="7280"/>
    <n v="1682.79"/>
  </r>
  <r>
    <x v="458"/>
    <x v="5"/>
    <x v="2"/>
    <x v="2"/>
    <n v="1"/>
    <n v="814"/>
    <n v="197.91"/>
  </r>
  <r>
    <x v="536"/>
    <x v="0"/>
    <x v="0"/>
    <x v="2"/>
    <n v="8"/>
    <n v="4696"/>
    <n v="410.03"/>
  </r>
  <r>
    <x v="346"/>
    <x v="1"/>
    <x v="1"/>
    <x v="2"/>
    <n v="5"/>
    <n v="1190"/>
    <n v="235.64"/>
  </r>
  <r>
    <x v="750"/>
    <x v="0"/>
    <x v="0"/>
    <x v="1"/>
    <n v="1"/>
    <n v="591"/>
    <n v="39.06"/>
  </r>
  <r>
    <x v="639"/>
    <x v="1"/>
    <x v="1"/>
    <x v="0"/>
    <n v="9"/>
    <n v="8100"/>
    <n v="2203.56"/>
  </r>
  <r>
    <x v="552"/>
    <x v="9"/>
    <x v="2"/>
    <x v="2"/>
    <n v="6"/>
    <n v="1500"/>
    <n v="183.31"/>
  </r>
  <r>
    <x v="501"/>
    <x v="5"/>
    <x v="2"/>
    <x v="0"/>
    <n v="2"/>
    <n v="300"/>
    <n v="48.69"/>
  </r>
  <r>
    <x v="70"/>
    <x v="5"/>
    <x v="2"/>
    <x v="0"/>
    <n v="9"/>
    <n v="1098"/>
    <n v="106.97"/>
  </r>
  <r>
    <x v="828"/>
    <x v="6"/>
    <x v="1"/>
    <x v="3"/>
    <n v="4"/>
    <n v="2336"/>
    <n v="509.49"/>
  </r>
  <r>
    <x v="323"/>
    <x v="3"/>
    <x v="2"/>
    <x v="0"/>
    <n v="5"/>
    <n v="410"/>
    <n v="40.96"/>
  </r>
  <r>
    <x v="6"/>
    <x v="1"/>
    <x v="1"/>
    <x v="2"/>
    <n v="9"/>
    <n v="594"/>
    <n v="51.49"/>
  </r>
  <r>
    <x v="39"/>
    <x v="5"/>
    <x v="2"/>
    <x v="1"/>
    <n v="2"/>
    <n v="218"/>
    <n v="38.93"/>
  </r>
  <r>
    <x v="1002"/>
    <x v="2"/>
    <x v="2"/>
    <x v="2"/>
    <n v="2"/>
    <n v="1298"/>
    <n v="123.9"/>
  </r>
  <r>
    <x v="594"/>
    <x v="2"/>
    <x v="2"/>
    <x v="0"/>
    <n v="5"/>
    <n v="895"/>
    <n v="180.64"/>
  </r>
  <r>
    <x v="713"/>
    <x v="8"/>
    <x v="1"/>
    <x v="3"/>
    <n v="4"/>
    <n v="2828"/>
    <n v="539.42999999999995"/>
  </r>
  <r>
    <x v="886"/>
    <x v="2"/>
    <x v="2"/>
    <x v="3"/>
    <n v="3"/>
    <n v="813"/>
    <n v="188.94"/>
  </r>
  <r>
    <x v="534"/>
    <x v="6"/>
    <x v="1"/>
    <x v="3"/>
    <n v="4"/>
    <n v="1800"/>
    <n v="170.19"/>
  </r>
  <r>
    <x v="751"/>
    <x v="2"/>
    <x v="2"/>
    <x v="3"/>
    <n v="1"/>
    <n v="99"/>
    <n v="12.79"/>
  </r>
  <r>
    <x v="481"/>
    <x v="4"/>
    <x v="1"/>
    <x v="3"/>
    <n v="8"/>
    <n v="7576"/>
    <n v="1703.42"/>
  </r>
  <r>
    <x v="450"/>
    <x v="5"/>
    <x v="2"/>
    <x v="1"/>
    <n v="3"/>
    <n v="1317"/>
    <n v="71.02"/>
  </r>
  <r>
    <x v="726"/>
    <x v="5"/>
    <x v="2"/>
    <x v="3"/>
    <n v="3"/>
    <n v="957"/>
    <n v="120.27"/>
  </r>
  <r>
    <x v="47"/>
    <x v="1"/>
    <x v="1"/>
    <x v="2"/>
    <n v="4"/>
    <n v="1316"/>
    <n v="244.13"/>
  </r>
  <r>
    <x v="888"/>
    <x v="4"/>
    <x v="1"/>
    <x v="2"/>
    <n v="6"/>
    <n v="5346"/>
    <n v="351.93"/>
  </r>
  <r>
    <x v="401"/>
    <x v="7"/>
    <x v="2"/>
    <x v="1"/>
    <n v="1"/>
    <n v="464"/>
    <n v="66.260000000000005"/>
  </r>
  <r>
    <x v="711"/>
    <x v="8"/>
    <x v="1"/>
    <x v="0"/>
    <n v="7"/>
    <n v="3752"/>
    <n v="835.34"/>
  </r>
  <r>
    <x v="827"/>
    <x v="8"/>
    <x v="1"/>
    <x v="3"/>
    <n v="6"/>
    <n v="1962"/>
    <n v="301.57"/>
  </r>
  <r>
    <x v="492"/>
    <x v="7"/>
    <x v="2"/>
    <x v="2"/>
    <n v="6"/>
    <n v="2310"/>
    <n v="202.98"/>
  </r>
  <r>
    <x v="125"/>
    <x v="2"/>
    <x v="2"/>
    <x v="1"/>
    <n v="4"/>
    <n v="3028"/>
    <n v="685.23"/>
  </r>
  <r>
    <x v="843"/>
    <x v="6"/>
    <x v="1"/>
    <x v="0"/>
    <n v="3"/>
    <n v="2994"/>
    <n v="877.92"/>
  </r>
  <r>
    <x v="113"/>
    <x v="2"/>
    <x v="2"/>
    <x v="2"/>
    <n v="3"/>
    <n v="3393"/>
    <n v="313.45"/>
  </r>
  <r>
    <x v="447"/>
    <x v="3"/>
    <x v="2"/>
    <x v="0"/>
    <n v="3"/>
    <n v="1209"/>
    <n v="320.61"/>
  </r>
  <r>
    <x v="417"/>
    <x v="8"/>
    <x v="1"/>
    <x v="1"/>
    <n v="8"/>
    <n v="5784"/>
    <n v="1276.57"/>
  </r>
  <r>
    <x v="149"/>
    <x v="9"/>
    <x v="2"/>
    <x v="3"/>
    <n v="9"/>
    <n v="3078"/>
    <n v="285.05"/>
  </r>
  <r>
    <x v="927"/>
    <x v="0"/>
    <x v="0"/>
    <x v="2"/>
    <n v="4"/>
    <n v="2464"/>
    <n v="602.29999999999995"/>
  </r>
  <r>
    <x v="1003"/>
    <x v="3"/>
    <x v="2"/>
    <x v="3"/>
    <n v="5"/>
    <n v="2445"/>
    <n v="146.6"/>
  </r>
  <r>
    <x v="144"/>
    <x v="8"/>
    <x v="1"/>
    <x v="0"/>
    <n v="8"/>
    <n v="5312"/>
    <n v="841.13"/>
  </r>
  <r>
    <x v="133"/>
    <x v="8"/>
    <x v="1"/>
    <x v="2"/>
    <n v="1"/>
    <n v="657"/>
    <n v="101.85"/>
  </r>
  <r>
    <x v="432"/>
    <x v="8"/>
    <x v="1"/>
    <x v="2"/>
    <n v="3"/>
    <n v="2580"/>
    <n v="173.89"/>
  </r>
  <r>
    <x v="323"/>
    <x v="9"/>
    <x v="2"/>
    <x v="1"/>
    <n v="8"/>
    <n v="4624"/>
    <n v="893.74"/>
  </r>
  <r>
    <x v="424"/>
    <x v="5"/>
    <x v="2"/>
    <x v="0"/>
    <n v="2"/>
    <n v="1258"/>
    <n v="146.69999999999999"/>
  </r>
  <r>
    <x v="311"/>
    <x v="3"/>
    <x v="2"/>
    <x v="1"/>
    <n v="7"/>
    <n v="6468"/>
    <n v="398.23"/>
  </r>
  <r>
    <x v="947"/>
    <x v="6"/>
    <x v="1"/>
    <x v="3"/>
    <n v="3"/>
    <n v="1359"/>
    <n v="152.85"/>
  </r>
  <r>
    <x v="271"/>
    <x v="9"/>
    <x v="2"/>
    <x v="0"/>
    <n v="1"/>
    <n v="104"/>
    <n v="18.670000000000002"/>
  </r>
  <r>
    <x v="125"/>
    <x v="4"/>
    <x v="1"/>
    <x v="2"/>
    <n v="3"/>
    <n v="1785"/>
    <n v="93.17"/>
  </r>
  <r>
    <x v="824"/>
    <x v="6"/>
    <x v="1"/>
    <x v="0"/>
    <n v="8"/>
    <n v="7728"/>
    <n v="1748.26"/>
  </r>
  <r>
    <x v="748"/>
    <x v="7"/>
    <x v="2"/>
    <x v="3"/>
    <n v="6"/>
    <n v="4188"/>
    <n v="1231.1600000000001"/>
  </r>
  <r>
    <x v="1004"/>
    <x v="5"/>
    <x v="2"/>
    <x v="2"/>
    <n v="8"/>
    <n v="3520"/>
    <n v="359.84"/>
  </r>
  <r>
    <x v="212"/>
    <x v="3"/>
    <x v="2"/>
    <x v="1"/>
    <n v="3"/>
    <n v="2280"/>
    <n v="365.17"/>
  </r>
  <r>
    <x v="53"/>
    <x v="0"/>
    <x v="0"/>
    <x v="0"/>
    <n v="9"/>
    <n v="2484"/>
    <n v="655.54"/>
  </r>
  <r>
    <x v="57"/>
    <x v="2"/>
    <x v="2"/>
    <x v="3"/>
    <n v="3"/>
    <n v="1248"/>
    <n v="348.19"/>
  </r>
  <r>
    <x v="706"/>
    <x v="5"/>
    <x v="2"/>
    <x v="3"/>
    <n v="2"/>
    <n v="850"/>
    <n v="59.92"/>
  </r>
  <r>
    <x v="804"/>
    <x v="0"/>
    <x v="0"/>
    <x v="1"/>
    <n v="4"/>
    <n v="1412"/>
    <n v="150.13"/>
  </r>
  <r>
    <x v="56"/>
    <x v="4"/>
    <x v="1"/>
    <x v="0"/>
    <n v="1"/>
    <n v="465"/>
    <n v="26.5"/>
  </r>
  <r>
    <x v="828"/>
    <x v="0"/>
    <x v="0"/>
    <x v="3"/>
    <n v="1"/>
    <n v="293"/>
    <n v="29.58"/>
  </r>
  <r>
    <x v="105"/>
    <x v="2"/>
    <x v="2"/>
    <x v="0"/>
    <n v="9"/>
    <n v="9234"/>
    <n v="2523.67"/>
  </r>
  <r>
    <x v="906"/>
    <x v="2"/>
    <x v="2"/>
    <x v="0"/>
    <n v="2"/>
    <n v="1298"/>
    <n v="239.45"/>
  </r>
  <r>
    <x v="852"/>
    <x v="0"/>
    <x v="0"/>
    <x v="1"/>
    <n v="9"/>
    <n v="9477"/>
    <n v="2443.62"/>
  </r>
  <r>
    <x v="1005"/>
    <x v="0"/>
    <x v="0"/>
    <x v="2"/>
    <n v="7"/>
    <n v="6713"/>
    <n v="457.99"/>
  </r>
  <r>
    <x v="803"/>
    <x v="9"/>
    <x v="2"/>
    <x v="2"/>
    <n v="5"/>
    <n v="5700"/>
    <n v="999.26"/>
  </r>
  <r>
    <x v="600"/>
    <x v="3"/>
    <x v="2"/>
    <x v="3"/>
    <n v="6"/>
    <n v="4146"/>
    <n v="700.46"/>
  </r>
  <r>
    <x v="893"/>
    <x v="2"/>
    <x v="2"/>
    <x v="0"/>
    <n v="8"/>
    <n v="6968"/>
    <n v="704.55"/>
  </r>
  <r>
    <x v="299"/>
    <x v="3"/>
    <x v="2"/>
    <x v="1"/>
    <n v="2"/>
    <n v="1054"/>
    <n v="243.5"/>
  </r>
  <r>
    <x v="532"/>
    <x v="8"/>
    <x v="1"/>
    <x v="3"/>
    <n v="3"/>
    <n v="1983"/>
    <n v="453.09"/>
  </r>
  <r>
    <x v="845"/>
    <x v="8"/>
    <x v="1"/>
    <x v="2"/>
    <n v="5"/>
    <n v="875"/>
    <n v="70.72"/>
  </r>
  <r>
    <x v="889"/>
    <x v="0"/>
    <x v="0"/>
    <x v="0"/>
    <n v="2"/>
    <n v="268"/>
    <n v="63.01"/>
  </r>
  <r>
    <x v="426"/>
    <x v="4"/>
    <x v="1"/>
    <x v="3"/>
    <n v="6"/>
    <n v="5370"/>
    <n v="1045.0999999999999"/>
  </r>
  <r>
    <x v="433"/>
    <x v="6"/>
    <x v="1"/>
    <x v="3"/>
    <n v="8"/>
    <n v="3624"/>
    <n v="1071.43"/>
  </r>
  <r>
    <x v="807"/>
    <x v="5"/>
    <x v="2"/>
    <x v="3"/>
    <n v="4"/>
    <n v="1932"/>
    <n v="301.16000000000003"/>
  </r>
  <r>
    <x v="1006"/>
    <x v="7"/>
    <x v="2"/>
    <x v="0"/>
    <n v="7"/>
    <n v="6020"/>
    <n v="384.74"/>
  </r>
  <r>
    <x v="348"/>
    <x v="4"/>
    <x v="1"/>
    <x v="1"/>
    <n v="5"/>
    <n v="1775"/>
    <n v="234.67"/>
  </r>
  <r>
    <x v="1007"/>
    <x v="5"/>
    <x v="2"/>
    <x v="3"/>
    <n v="3"/>
    <n v="1488"/>
    <n v="382.09"/>
  </r>
  <r>
    <x v="769"/>
    <x v="8"/>
    <x v="1"/>
    <x v="1"/>
    <n v="6"/>
    <n v="6720"/>
    <n v="1113.56"/>
  </r>
  <r>
    <x v="78"/>
    <x v="1"/>
    <x v="1"/>
    <x v="1"/>
    <n v="7"/>
    <n v="5047"/>
    <n v="1356.23"/>
  </r>
  <r>
    <x v="1008"/>
    <x v="2"/>
    <x v="2"/>
    <x v="1"/>
    <n v="5"/>
    <n v="3735"/>
    <n v="957.13"/>
  </r>
  <r>
    <x v="999"/>
    <x v="8"/>
    <x v="1"/>
    <x v="1"/>
    <n v="5"/>
    <n v="1250"/>
    <n v="120.74"/>
  </r>
  <r>
    <x v="182"/>
    <x v="2"/>
    <x v="2"/>
    <x v="0"/>
    <n v="7"/>
    <n v="2751"/>
    <n v="548.04999999999995"/>
  </r>
  <r>
    <x v="63"/>
    <x v="9"/>
    <x v="2"/>
    <x v="1"/>
    <n v="9"/>
    <n v="468"/>
    <n v="58.98"/>
  </r>
  <r>
    <x v="573"/>
    <x v="0"/>
    <x v="0"/>
    <x v="0"/>
    <n v="4"/>
    <n v="632"/>
    <n v="114.82"/>
  </r>
  <r>
    <x v="481"/>
    <x v="8"/>
    <x v="1"/>
    <x v="2"/>
    <n v="7"/>
    <n v="798"/>
    <n v="219.2"/>
  </r>
  <r>
    <x v="245"/>
    <x v="5"/>
    <x v="2"/>
    <x v="2"/>
    <n v="5"/>
    <n v="1295"/>
    <n v="104.26"/>
  </r>
  <r>
    <x v="989"/>
    <x v="3"/>
    <x v="2"/>
    <x v="3"/>
    <n v="4"/>
    <n v="3360"/>
    <n v="540.38"/>
  </r>
  <r>
    <x v="223"/>
    <x v="3"/>
    <x v="2"/>
    <x v="0"/>
    <n v="5"/>
    <n v="995"/>
    <n v="206.95"/>
  </r>
  <r>
    <x v="888"/>
    <x v="5"/>
    <x v="2"/>
    <x v="1"/>
    <n v="5"/>
    <n v="550"/>
    <n v="28.72"/>
  </r>
  <r>
    <x v="946"/>
    <x v="6"/>
    <x v="1"/>
    <x v="3"/>
    <n v="8"/>
    <n v="5384"/>
    <n v="724.8"/>
  </r>
  <r>
    <x v="359"/>
    <x v="0"/>
    <x v="0"/>
    <x v="1"/>
    <n v="3"/>
    <n v="3534"/>
    <n v="489.06"/>
  </r>
  <r>
    <x v="205"/>
    <x v="7"/>
    <x v="2"/>
    <x v="3"/>
    <n v="9"/>
    <n v="6813"/>
    <n v="890.05"/>
  </r>
  <r>
    <x v="412"/>
    <x v="5"/>
    <x v="2"/>
    <x v="1"/>
    <n v="6"/>
    <n v="5508"/>
    <n v="1632.37"/>
  </r>
  <r>
    <x v="45"/>
    <x v="4"/>
    <x v="1"/>
    <x v="1"/>
    <n v="1"/>
    <n v="966"/>
    <n v="202.53"/>
  </r>
  <r>
    <x v="562"/>
    <x v="1"/>
    <x v="1"/>
    <x v="2"/>
    <n v="4"/>
    <n v="460"/>
    <n v="92.24"/>
  </r>
  <r>
    <x v="334"/>
    <x v="7"/>
    <x v="2"/>
    <x v="0"/>
    <n v="6"/>
    <n v="7026"/>
    <n v="459.4"/>
  </r>
  <r>
    <x v="342"/>
    <x v="7"/>
    <x v="2"/>
    <x v="2"/>
    <n v="5"/>
    <n v="910"/>
    <n v="116.47"/>
  </r>
  <r>
    <x v="326"/>
    <x v="6"/>
    <x v="1"/>
    <x v="3"/>
    <n v="9"/>
    <n v="5796"/>
    <n v="1729.18"/>
  </r>
  <r>
    <x v="711"/>
    <x v="6"/>
    <x v="1"/>
    <x v="0"/>
    <n v="3"/>
    <n v="1050"/>
    <n v="292.64"/>
  </r>
  <r>
    <x v="828"/>
    <x v="1"/>
    <x v="1"/>
    <x v="3"/>
    <n v="1"/>
    <n v="1043"/>
    <n v="151.13"/>
  </r>
  <r>
    <x v="727"/>
    <x v="0"/>
    <x v="0"/>
    <x v="2"/>
    <n v="3"/>
    <n v="3330"/>
    <n v="503.85"/>
  </r>
  <r>
    <x v="260"/>
    <x v="1"/>
    <x v="1"/>
    <x v="1"/>
    <n v="8"/>
    <n v="1896"/>
    <n v="448.53"/>
  </r>
  <r>
    <x v="964"/>
    <x v="3"/>
    <x v="2"/>
    <x v="3"/>
    <n v="5"/>
    <n v="5170"/>
    <n v="1248.6600000000001"/>
  </r>
  <r>
    <x v="1009"/>
    <x v="0"/>
    <x v="0"/>
    <x v="0"/>
    <n v="2"/>
    <n v="466"/>
    <n v="25.04"/>
  </r>
  <r>
    <x v="1010"/>
    <x v="1"/>
    <x v="1"/>
    <x v="0"/>
    <n v="8"/>
    <n v="6032"/>
    <n v="1636.61"/>
  </r>
  <r>
    <x v="565"/>
    <x v="3"/>
    <x v="2"/>
    <x v="2"/>
    <n v="1"/>
    <n v="1084"/>
    <n v="103.06"/>
  </r>
  <r>
    <x v="39"/>
    <x v="8"/>
    <x v="1"/>
    <x v="0"/>
    <n v="2"/>
    <n v="490"/>
    <n v="45.34"/>
  </r>
  <r>
    <x v="718"/>
    <x v="6"/>
    <x v="1"/>
    <x v="0"/>
    <n v="6"/>
    <n v="558"/>
    <n v="57.01"/>
  </r>
  <r>
    <x v="226"/>
    <x v="6"/>
    <x v="1"/>
    <x v="1"/>
    <n v="4"/>
    <n v="4024"/>
    <n v="787.06"/>
  </r>
  <r>
    <x v="374"/>
    <x v="1"/>
    <x v="1"/>
    <x v="1"/>
    <n v="4"/>
    <n v="1560"/>
    <n v="461.15"/>
  </r>
  <r>
    <x v="729"/>
    <x v="9"/>
    <x v="2"/>
    <x v="0"/>
    <n v="1"/>
    <n v="126"/>
    <n v="26.62"/>
  </r>
  <r>
    <x v="370"/>
    <x v="1"/>
    <x v="1"/>
    <x v="2"/>
    <n v="7"/>
    <n v="4921"/>
    <n v="827.87"/>
  </r>
  <r>
    <x v="14"/>
    <x v="4"/>
    <x v="1"/>
    <x v="3"/>
    <n v="5"/>
    <n v="2665"/>
    <n v="532.76"/>
  </r>
  <r>
    <x v="246"/>
    <x v="4"/>
    <x v="1"/>
    <x v="2"/>
    <n v="4"/>
    <n v="200"/>
    <n v="58.42"/>
  </r>
  <r>
    <x v="452"/>
    <x v="5"/>
    <x v="2"/>
    <x v="1"/>
    <n v="2"/>
    <n v="186"/>
    <n v="32.479999999999997"/>
  </r>
  <r>
    <x v="100"/>
    <x v="6"/>
    <x v="1"/>
    <x v="2"/>
    <n v="8"/>
    <n v="5456"/>
    <n v="898.06"/>
  </r>
  <r>
    <x v="559"/>
    <x v="5"/>
    <x v="2"/>
    <x v="3"/>
    <n v="9"/>
    <n v="3321"/>
    <n v="540.66999999999996"/>
  </r>
  <r>
    <x v="792"/>
    <x v="4"/>
    <x v="1"/>
    <x v="0"/>
    <n v="7"/>
    <n v="3766"/>
    <n v="914.49"/>
  </r>
  <r>
    <x v="829"/>
    <x v="8"/>
    <x v="1"/>
    <x v="3"/>
    <n v="6"/>
    <n v="3150"/>
    <n v="498.63"/>
  </r>
  <r>
    <x v="913"/>
    <x v="9"/>
    <x v="2"/>
    <x v="1"/>
    <n v="2"/>
    <n v="646"/>
    <n v="110.13"/>
  </r>
  <r>
    <x v="209"/>
    <x v="7"/>
    <x v="2"/>
    <x v="2"/>
    <n v="5"/>
    <n v="2665"/>
    <n v="369.73"/>
  </r>
  <r>
    <x v="533"/>
    <x v="5"/>
    <x v="2"/>
    <x v="0"/>
    <n v="9"/>
    <n v="1467"/>
    <n v="384.22"/>
  </r>
  <r>
    <x v="528"/>
    <x v="2"/>
    <x v="2"/>
    <x v="0"/>
    <n v="7"/>
    <n v="4620"/>
    <n v="990.79"/>
  </r>
  <r>
    <x v="278"/>
    <x v="2"/>
    <x v="2"/>
    <x v="3"/>
    <n v="8"/>
    <n v="1184"/>
    <n v="148.69"/>
  </r>
  <r>
    <x v="285"/>
    <x v="3"/>
    <x v="2"/>
    <x v="1"/>
    <n v="1"/>
    <n v="113"/>
    <n v="20.07"/>
  </r>
  <r>
    <x v="710"/>
    <x v="0"/>
    <x v="0"/>
    <x v="1"/>
    <n v="8"/>
    <n v="3336"/>
    <n v="492.76"/>
  </r>
  <r>
    <x v="32"/>
    <x v="7"/>
    <x v="2"/>
    <x v="2"/>
    <n v="4"/>
    <n v="4224"/>
    <n v="477.33"/>
  </r>
  <r>
    <x v="24"/>
    <x v="4"/>
    <x v="1"/>
    <x v="0"/>
    <n v="3"/>
    <n v="1098"/>
    <n v="144.24"/>
  </r>
  <r>
    <x v="951"/>
    <x v="3"/>
    <x v="2"/>
    <x v="2"/>
    <n v="8"/>
    <n v="4400"/>
    <n v="351.82"/>
  </r>
  <r>
    <x v="176"/>
    <x v="0"/>
    <x v="0"/>
    <x v="0"/>
    <n v="8"/>
    <n v="5616"/>
    <n v="723.42"/>
  </r>
  <r>
    <x v="578"/>
    <x v="0"/>
    <x v="0"/>
    <x v="0"/>
    <n v="7"/>
    <n v="4676"/>
    <n v="520.38"/>
  </r>
  <r>
    <x v="1011"/>
    <x v="5"/>
    <x v="2"/>
    <x v="0"/>
    <n v="2"/>
    <n v="2370"/>
    <n v="641.23"/>
  </r>
  <r>
    <x v="955"/>
    <x v="1"/>
    <x v="1"/>
    <x v="3"/>
    <n v="7"/>
    <n v="4487"/>
    <n v="688.76"/>
  </r>
  <r>
    <x v="244"/>
    <x v="3"/>
    <x v="2"/>
    <x v="0"/>
    <n v="6"/>
    <n v="6384"/>
    <n v="1754.15"/>
  </r>
  <r>
    <x v="367"/>
    <x v="8"/>
    <x v="1"/>
    <x v="2"/>
    <n v="8"/>
    <n v="2960"/>
    <n v="878.11"/>
  </r>
  <r>
    <x v="1012"/>
    <x v="5"/>
    <x v="2"/>
    <x v="1"/>
    <n v="1"/>
    <n v="897"/>
    <n v="250.78"/>
  </r>
  <r>
    <x v="1002"/>
    <x v="7"/>
    <x v="2"/>
    <x v="1"/>
    <n v="2"/>
    <n v="1178"/>
    <n v="120.51"/>
  </r>
  <r>
    <x v="1013"/>
    <x v="5"/>
    <x v="2"/>
    <x v="1"/>
    <n v="2"/>
    <n v="1026"/>
    <n v="64.510000000000005"/>
  </r>
  <r>
    <x v="371"/>
    <x v="0"/>
    <x v="0"/>
    <x v="2"/>
    <n v="1"/>
    <n v="1148"/>
    <n v="89.04"/>
  </r>
  <r>
    <x v="831"/>
    <x v="0"/>
    <x v="0"/>
    <x v="3"/>
    <n v="7"/>
    <n v="3185"/>
    <n v="765.41"/>
  </r>
  <r>
    <x v="204"/>
    <x v="7"/>
    <x v="2"/>
    <x v="1"/>
    <n v="7"/>
    <n v="5180"/>
    <n v="463.35"/>
  </r>
  <r>
    <x v="592"/>
    <x v="4"/>
    <x v="1"/>
    <x v="2"/>
    <n v="5"/>
    <n v="2025"/>
    <n v="295.13"/>
  </r>
  <r>
    <x v="413"/>
    <x v="2"/>
    <x v="2"/>
    <x v="0"/>
    <n v="9"/>
    <n v="1359"/>
    <n v="187.72"/>
  </r>
  <r>
    <x v="367"/>
    <x v="3"/>
    <x v="2"/>
    <x v="2"/>
    <n v="4"/>
    <n v="1836"/>
    <n v="462.52"/>
  </r>
  <r>
    <x v="553"/>
    <x v="2"/>
    <x v="2"/>
    <x v="3"/>
    <n v="2"/>
    <n v="702"/>
    <n v="112.04"/>
  </r>
  <r>
    <x v="820"/>
    <x v="7"/>
    <x v="2"/>
    <x v="3"/>
    <n v="8"/>
    <n v="6576"/>
    <n v="1337.38"/>
  </r>
  <r>
    <x v="588"/>
    <x v="5"/>
    <x v="2"/>
    <x v="3"/>
    <n v="2"/>
    <n v="1428"/>
    <n v="398.24"/>
  </r>
  <r>
    <x v="690"/>
    <x v="3"/>
    <x v="2"/>
    <x v="0"/>
    <n v="7"/>
    <n v="6853"/>
    <n v="1259.03"/>
  </r>
  <r>
    <x v="967"/>
    <x v="3"/>
    <x v="2"/>
    <x v="3"/>
    <n v="2"/>
    <n v="1492"/>
    <n v="276.56"/>
  </r>
  <r>
    <x v="423"/>
    <x v="0"/>
    <x v="0"/>
    <x v="0"/>
    <n v="6"/>
    <n v="1938"/>
    <n v="146.72999999999999"/>
  </r>
  <r>
    <x v="690"/>
    <x v="3"/>
    <x v="2"/>
    <x v="2"/>
    <n v="5"/>
    <n v="905"/>
    <n v="70.91"/>
  </r>
  <r>
    <x v="543"/>
    <x v="0"/>
    <x v="0"/>
    <x v="0"/>
    <n v="3"/>
    <n v="2571"/>
    <n v="510.01"/>
  </r>
  <r>
    <x v="497"/>
    <x v="2"/>
    <x v="2"/>
    <x v="3"/>
    <n v="4"/>
    <n v="1500"/>
    <n v="127.81"/>
  </r>
  <r>
    <x v="278"/>
    <x v="5"/>
    <x v="2"/>
    <x v="2"/>
    <n v="9"/>
    <n v="8712"/>
    <n v="1034.27"/>
  </r>
  <r>
    <x v="825"/>
    <x v="6"/>
    <x v="1"/>
    <x v="1"/>
    <n v="4"/>
    <n v="1308"/>
    <n v="368.28"/>
  </r>
  <r>
    <x v="489"/>
    <x v="7"/>
    <x v="2"/>
    <x v="2"/>
    <n v="4"/>
    <n v="2648"/>
    <n v="707.32"/>
  </r>
  <r>
    <x v="1014"/>
    <x v="3"/>
    <x v="2"/>
    <x v="2"/>
    <n v="9"/>
    <n v="9810"/>
    <n v="1666.96"/>
  </r>
  <r>
    <x v="51"/>
    <x v="4"/>
    <x v="1"/>
    <x v="0"/>
    <n v="3"/>
    <n v="3291"/>
    <n v="274.10000000000002"/>
  </r>
  <r>
    <x v="362"/>
    <x v="5"/>
    <x v="2"/>
    <x v="0"/>
    <n v="1"/>
    <n v="758"/>
    <n v="96.44"/>
  </r>
  <r>
    <x v="464"/>
    <x v="8"/>
    <x v="1"/>
    <x v="1"/>
    <n v="7"/>
    <n v="2436"/>
    <n v="715.14"/>
  </r>
  <r>
    <x v="1001"/>
    <x v="5"/>
    <x v="2"/>
    <x v="0"/>
    <n v="7"/>
    <n v="560"/>
    <n v="163.16"/>
  </r>
  <r>
    <x v="199"/>
    <x v="7"/>
    <x v="2"/>
    <x v="3"/>
    <n v="8"/>
    <n v="4240"/>
    <n v="519.72"/>
  </r>
  <r>
    <x v="640"/>
    <x v="6"/>
    <x v="1"/>
    <x v="1"/>
    <n v="8"/>
    <n v="5416"/>
    <n v="403.52"/>
  </r>
  <r>
    <x v="940"/>
    <x v="7"/>
    <x v="2"/>
    <x v="1"/>
    <n v="8"/>
    <n v="1728"/>
    <n v="477.7"/>
  </r>
  <r>
    <x v="160"/>
    <x v="8"/>
    <x v="1"/>
    <x v="3"/>
    <n v="9"/>
    <n v="6309"/>
    <n v="801.15"/>
  </r>
  <r>
    <x v="259"/>
    <x v="8"/>
    <x v="1"/>
    <x v="0"/>
    <n v="8"/>
    <n v="3400"/>
    <n v="758.57"/>
  </r>
  <r>
    <x v="754"/>
    <x v="9"/>
    <x v="2"/>
    <x v="1"/>
    <n v="1"/>
    <n v="403"/>
    <n v="72.45"/>
  </r>
  <r>
    <x v="527"/>
    <x v="8"/>
    <x v="1"/>
    <x v="2"/>
    <n v="4"/>
    <n v="2108"/>
    <n v="375.62"/>
  </r>
  <r>
    <x v="365"/>
    <x v="4"/>
    <x v="1"/>
    <x v="3"/>
    <n v="2"/>
    <n v="1090"/>
    <n v="296.12"/>
  </r>
  <r>
    <x v="785"/>
    <x v="8"/>
    <x v="1"/>
    <x v="0"/>
    <n v="7"/>
    <n v="1274"/>
    <n v="317.92"/>
  </r>
  <r>
    <x v="896"/>
    <x v="1"/>
    <x v="1"/>
    <x v="2"/>
    <n v="3"/>
    <n v="1056"/>
    <n v="70.540000000000006"/>
  </r>
  <r>
    <x v="473"/>
    <x v="1"/>
    <x v="1"/>
    <x v="0"/>
    <n v="9"/>
    <n v="5247"/>
    <n v="921.09"/>
  </r>
  <r>
    <x v="577"/>
    <x v="1"/>
    <x v="1"/>
    <x v="3"/>
    <n v="7"/>
    <n v="6006"/>
    <n v="1595.22"/>
  </r>
  <r>
    <x v="927"/>
    <x v="6"/>
    <x v="1"/>
    <x v="3"/>
    <n v="5"/>
    <n v="5415"/>
    <n v="1261.6500000000001"/>
  </r>
  <r>
    <x v="857"/>
    <x v="7"/>
    <x v="2"/>
    <x v="3"/>
    <n v="1"/>
    <n v="632"/>
    <n v="81.540000000000006"/>
  </r>
  <r>
    <x v="76"/>
    <x v="0"/>
    <x v="0"/>
    <x v="3"/>
    <n v="8"/>
    <n v="6160"/>
    <n v="947.96"/>
  </r>
  <r>
    <x v="251"/>
    <x v="0"/>
    <x v="0"/>
    <x v="2"/>
    <n v="1"/>
    <n v="857"/>
    <n v="172.91"/>
  </r>
  <r>
    <x v="438"/>
    <x v="2"/>
    <x v="2"/>
    <x v="1"/>
    <n v="1"/>
    <n v="169"/>
    <n v="22.99"/>
  </r>
  <r>
    <x v="487"/>
    <x v="2"/>
    <x v="2"/>
    <x v="3"/>
    <n v="7"/>
    <n v="1463"/>
    <n v="175.13"/>
  </r>
  <r>
    <x v="675"/>
    <x v="3"/>
    <x v="2"/>
    <x v="1"/>
    <n v="8"/>
    <n v="7528"/>
    <n v="1283.07"/>
  </r>
  <r>
    <x v="997"/>
    <x v="5"/>
    <x v="2"/>
    <x v="3"/>
    <n v="2"/>
    <n v="1158"/>
    <n v="227.61"/>
  </r>
  <r>
    <x v="669"/>
    <x v="6"/>
    <x v="1"/>
    <x v="3"/>
    <n v="4"/>
    <n v="200"/>
    <n v="20.25"/>
  </r>
  <r>
    <x v="313"/>
    <x v="7"/>
    <x v="2"/>
    <x v="3"/>
    <n v="2"/>
    <n v="1514"/>
    <n v="180.67"/>
  </r>
  <r>
    <x v="109"/>
    <x v="5"/>
    <x v="2"/>
    <x v="2"/>
    <n v="7"/>
    <n v="2632"/>
    <n v="738.93"/>
  </r>
  <r>
    <x v="462"/>
    <x v="8"/>
    <x v="1"/>
    <x v="0"/>
    <n v="1"/>
    <n v="358"/>
    <n v="77.84"/>
  </r>
  <r>
    <x v="388"/>
    <x v="3"/>
    <x v="2"/>
    <x v="1"/>
    <n v="8"/>
    <n v="2360"/>
    <n v="653.29999999999995"/>
  </r>
  <r>
    <x v="556"/>
    <x v="8"/>
    <x v="1"/>
    <x v="2"/>
    <n v="5"/>
    <n v="5275"/>
    <n v="594.29"/>
  </r>
  <r>
    <x v="98"/>
    <x v="6"/>
    <x v="1"/>
    <x v="1"/>
    <n v="9"/>
    <n v="1719"/>
    <n v="251.85"/>
  </r>
  <r>
    <x v="968"/>
    <x v="7"/>
    <x v="2"/>
    <x v="3"/>
    <n v="6"/>
    <n v="1956"/>
    <n v="434.03"/>
  </r>
  <r>
    <x v="866"/>
    <x v="8"/>
    <x v="1"/>
    <x v="3"/>
    <n v="3"/>
    <n v="1875"/>
    <n v="152.07"/>
  </r>
  <r>
    <x v="355"/>
    <x v="6"/>
    <x v="1"/>
    <x v="2"/>
    <n v="4"/>
    <n v="984"/>
    <n v="157.72"/>
  </r>
  <r>
    <x v="500"/>
    <x v="3"/>
    <x v="2"/>
    <x v="2"/>
    <n v="4"/>
    <n v="3616"/>
    <n v="789.63"/>
  </r>
  <r>
    <x v="941"/>
    <x v="2"/>
    <x v="2"/>
    <x v="3"/>
    <n v="5"/>
    <n v="4560"/>
    <n v="1180.8"/>
  </r>
  <r>
    <x v="277"/>
    <x v="7"/>
    <x v="2"/>
    <x v="3"/>
    <n v="8"/>
    <n v="7496"/>
    <n v="2019.32"/>
  </r>
  <r>
    <x v="653"/>
    <x v="3"/>
    <x v="2"/>
    <x v="0"/>
    <n v="5"/>
    <n v="5070"/>
    <n v="889.97"/>
  </r>
  <r>
    <x v="915"/>
    <x v="5"/>
    <x v="2"/>
    <x v="0"/>
    <n v="5"/>
    <n v="4505"/>
    <n v="1351.28"/>
  </r>
  <r>
    <x v="555"/>
    <x v="2"/>
    <x v="2"/>
    <x v="2"/>
    <n v="2"/>
    <n v="1916"/>
    <n v="503.83"/>
  </r>
  <r>
    <x v="94"/>
    <x v="3"/>
    <x v="2"/>
    <x v="3"/>
    <n v="7"/>
    <n v="8113"/>
    <n v="1103.57"/>
  </r>
  <r>
    <x v="581"/>
    <x v="9"/>
    <x v="2"/>
    <x v="0"/>
    <n v="9"/>
    <n v="1809"/>
    <n v="392.44"/>
  </r>
  <r>
    <x v="300"/>
    <x v="9"/>
    <x v="2"/>
    <x v="2"/>
    <n v="3"/>
    <n v="1227"/>
    <n v="229.75"/>
  </r>
  <r>
    <x v="50"/>
    <x v="9"/>
    <x v="2"/>
    <x v="2"/>
    <n v="6"/>
    <n v="2040"/>
    <n v="124.65"/>
  </r>
  <r>
    <x v="733"/>
    <x v="2"/>
    <x v="2"/>
    <x v="3"/>
    <n v="6"/>
    <n v="6324"/>
    <n v="629.20000000000005"/>
  </r>
  <r>
    <x v="1002"/>
    <x v="0"/>
    <x v="0"/>
    <x v="0"/>
    <n v="3"/>
    <n v="2724"/>
    <n v="521.24"/>
  </r>
  <r>
    <x v="654"/>
    <x v="9"/>
    <x v="2"/>
    <x v="2"/>
    <n v="1"/>
    <n v="1188"/>
    <n v="110.32"/>
  </r>
  <r>
    <x v="203"/>
    <x v="8"/>
    <x v="1"/>
    <x v="1"/>
    <n v="8"/>
    <n v="8776"/>
    <n v="1561.07"/>
  </r>
  <r>
    <x v="1002"/>
    <x v="9"/>
    <x v="2"/>
    <x v="2"/>
    <n v="9"/>
    <n v="5553"/>
    <n v="1432.76"/>
  </r>
  <r>
    <x v="866"/>
    <x v="7"/>
    <x v="2"/>
    <x v="2"/>
    <n v="2"/>
    <n v="970"/>
    <n v="262.19"/>
  </r>
  <r>
    <x v="494"/>
    <x v="8"/>
    <x v="1"/>
    <x v="2"/>
    <n v="5"/>
    <n v="940"/>
    <n v="56.7"/>
  </r>
  <r>
    <x v="1015"/>
    <x v="0"/>
    <x v="0"/>
    <x v="1"/>
    <n v="1"/>
    <n v="1175"/>
    <n v="171.51"/>
  </r>
  <r>
    <x v="256"/>
    <x v="9"/>
    <x v="2"/>
    <x v="1"/>
    <n v="9"/>
    <n v="4860"/>
    <n v="1425.54"/>
  </r>
  <r>
    <x v="264"/>
    <x v="4"/>
    <x v="1"/>
    <x v="0"/>
    <n v="1"/>
    <n v="987"/>
    <n v="207.69"/>
  </r>
  <r>
    <x v="432"/>
    <x v="3"/>
    <x v="2"/>
    <x v="1"/>
    <n v="7"/>
    <n v="2968"/>
    <n v="485.13"/>
  </r>
  <r>
    <x v="402"/>
    <x v="1"/>
    <x v="1"/>
    <x v="1"/>
    <n v="3"/>
    <n v="2172"/>
    <n v="364.77"/>
  </r>
  <r>
    <x v="105"/>
    <x v="4"/>
    <x v="1"/>
    <x v="2"/>
    <n v="7"/>
    <n v="3941"/>
    <n v="628.96"/>
  </r>
  <r>
    <x v="753"/>
    <x v="4"/>
    <x v="1"/>
    <x v="0"/>
    <n v="7"/>
    <n v="2261"/>
    <n v="566.36"/>
  </r>
  <r>
    <x v="494"/>
    <x v="5"/>
    <x v="2"/>
    <x v="3"/>
    <n v="9"/>
    <n v="8802"/>
    <n v="2519.9299999999998"/>
  </r>
  <r>
    <x v="745"/>
    <x v="0"/>
    <x v="0"/>
    <x v="2"/>
    <n v="5"/>
    <n v="3025"/>
    <n v="172.43"/>
  </r>
  <r>
    <x v="714"/>
    <x v="0"/>
    <x v="0"/>
    <x v="0"/>
    <n v="4"/>
    <n v="4428"/>
    <n v="600.54999999999995"/>
  </r>
  <r>
    <x v="166"/>
    <x v="1"/>
    <x v="1"/>
    <x v="3"/>
    <n v="9"/>
    <n v="7344"/>
    <n v="1417.84"/>
  </r>
  <r>
    <x v="770"/>
    <x v="8"/>
    <x v="1"/>
    <x v="1"/>
    <n v="4"/>
    <n v="2236"/>
    <n v="167.78"/>
  </r>
  <r>
    <x v="1016"/>
    <x v="7"/>
    <x v="2"/>
    <x v="2"/>
    <n v="8"/>
    <n v="536"/>
    <n v="57.08"/>
  </r>
  <r>
    <x v="836"/>
    <x v="6"/>
    <x v="1"/>
    <x v="0"/>
    <n v="5"/>
    <n v="1980"/>
    <n v="249.22"/>
  </r>
  <r>
    <x v="833"/>
    <x v="0"/>
    <x v="0"/>
    <x v="1"/>
    <n v="6"/>
    <n v="2100"/>
    <n v="202.86"/>
  </r>
  <r>
    <x v="498"/>
    <x v="5"/>
    <x v="2"/>
    <x v="3"/>
    <n v="3"/>
    <n v="1497"/>
    <n v="122.76"/>
  </r>
  <r>
    <x v="361"/>
    <x v="9"/>
    <x v="2"/>
    <x v="0"/>
    <n v="6"/>
    <n v="4200"/>
    <n v="1013.7"/>
  </r>
  <r>
    <x v="853"/>
    <x v="4"/>
    <x v="1"/>
    <x v="2"/>
    <n v="2"/>
    <n v="1242"/>
    <n v="191.82"/>
  </r>
  <r>
    <x v="1017"/>
    <x v="5"/>
    <x v="2"/>
    <x v="2"/>
    <n v="5"/>
    <n v="1570"/>
    <n v="312.81"/>
  </r>
  <r>
    <x v="336"/>
    <x v="6"/>
    <x v="1"/>
    <x v="1"/>
    <n v="4"/>
    <n v="428"/>
    <n v="86.62"/>
  </r>
  <r>
    <x v="374"/>
    <x v="0"/>
    <x v="0"/>
    <x v="2"/>
    <n v="1"/>
    <n v="914"/>
    <n v="270.74"/>
  </r>
  <r>
    <x v="764"/>
    <x v="2"/>
    <x v="2"/>
    <x v="0"/>
    <n v="3"/>
    <n v="465"/>
    <n v="98.93"/>
  </r>
  <r>
    <x v="866"/>
    <x v="5"/>
    <x v="2"/>
    <x v="0"/>
    <n v="2"/>
    <n v="1062"/>
    <n v="83.49"/>
  </r>
  <r>
    <x v="1018"/>
    <x v="3"/>
    <x v="2"/>
    <x v="2"/>
    <n v="8"/>
    <n v="8720"/>
    <n v="1984.11"/>
  </r>
  <r>
    <x v="649"/>
    <x v="1"/>
    <x v="1"/>
    <x v="2"/>
    <n v="6"/>
    <n v="1308"/>
    <n v="343.61"/>
  </r>
  <r>
    <x v="1019"/>
    <x v="4"/>
    <x v="1"/>
    <x v="2"/>
    <n v="9"/>
    <n v="8514"/>
    <n v="1291.97"/>
  </r>
  <r>
    <x v="33"/>
    <x v="2"/>
    <x v="2"/>
    <x v="0"/>
    <n v="2"/>
    <n v="1212"/>
    <n v="151.07"/>
  </r>
  <r>
    <x v="1009"/>
    <x v="4"/>
    <x v="1"/>
    <x v="3"/>
    <n v="4"/>
    <n v="2576"/>
    <n v="503.57"/>
  </r>
  <r>
    <x v="673"/>
    <x v="8"/>
    <x v="1"/>
    <x v="1"/>
    <n v="8"/>
    <n v="4800"/>
    <n v="606.19000000000005"/>
  </r>
  <r>
    <x v="186"/>
    <x v="5"/>
    <x v="2"/>
    <x v="1"/>
    <n v="5"/>
    <n v="1440"/>
    <n v="274.54000000000002"/>
  </r>
  <r>
    <x v="854"/>
    <x v="5"/>
    <x v="2"/>
    <x v="0"/>
    <n v="9"/>
    <n v="10251"/>
    <n v="737.45"/>
  </r>
  <r>
    <x v="961"/>
    <x v="7"/>
    <x v="2"/>
    <x v="0"/>
    <n v="7"/>
    <n v="3038"/>
    <n v="570.98"/>
  </r>
  <r>
    <x v="167"/>
    <x v="6"/>
    <x v="1"/>
    <x v="3"/>
    <n v="9"/>
    <n v="6993"/>
    <n v="1945.56"/>
  </r>
  <r>
    <x v="588"/>
    <x v="6"/>
    <x v="1"/>
    <x v="1"/>
    <n v="4"/>
    <n v="1632"/>
    <n v="247.88"/>
  </r>
  <r>
    <x v="943"/>
    <x v="8"/>
    <x v="1"/>
    <x v="1"/>
    <n v="9"/>
    <n v="5706"/>
    <n v="1704.8"/>
  </r>
  <r>
    <x v="891"/>
    <x v="3"/>
    <x v="2"/>
    <x v="0"/>
    <n v="9"/>
    <n v="9657"/>
    <n v="1187.22"/>
  </r>
  <r>
    <x v="429"/>
    <x v="5"/>
    <x v="2"/>
    <x v="1"/>
    <n v="5"/>
    <n v="4405"/>
    <n v="450.83"/>
  </r>
  <r>
    <x v="1020"/>
    <x v="8"/>
    <x v="1"/>
    <x v="1"/>
    <n v="4"/>
    <n v="1720"/>
    <n v="360.78"/>
  </r>
  <r>
    <x v="162"/>
    <x v="3"/>
    <x v="2"/>
    <x v="2"/>
    <n v="7"/>
    <n v="4557"/>
    <n v="234.62"/>
  </r>
  <r>
    <x v="1019"/>
    <x v="4"/>
    <x v="1"/>
    <x v="3"/>
    <n v="7"/>
    <n v="2380"/>
    <n v="431.43"/>
  </r>
  <r>
    <x v="691"/>
    <x v="4"/>
    <x v="1"/>
    <x v="0"/>
    <n v="8"/>
    <n v="456"/>
    <n v="74.989999999999995"/>
  </r>
  <r>
    <x v="974"/>
    <x v="3"/>
    <x v="2"/>
    <x v="1"/>
    <n v="6"/>
    <n v="6534"/>
    <n v="355.03"/>
  </r>
  <r>
    <x v="969"/>
    <x v="7"/>
    <x v="2"/>
    <x v="0"/>
    <n v="6"/>
    <n v="3456"/>
    <n v="307.45999999999998"/>
  </r>
  <r>
    <x v="1021"/>
    <x v="8"/>
    <x v="1"/>
    <x v="3"/>
    <n v="9"/>
    <n v="8163"/>
    <n v="2352.46"/>
  </r>
  <r>
    <x v="1022"/>
    <x v="4"/>
    <x v="1"/>
    <x v="0"/>
    <n v="6"/>
    <n v="4656"/>
    <n v="601.71"/>
  </r>
  <r>
    <x v="615"/>
    <x v="7"/>
    <x v="2"/>
    <x v="3"/>
    <n v="2"/>
    <n v="966"/>
    <n v="241.54"/>
  </r>
  <r>
    <x v="899"/>
    <x v="1"/>
    <x v="1"/>
    <x v="1"/>
    <n v="4"/>
    <n v="2580"/>
    <n v="669.67"/>
  </r>
  <r>
    <x v="186"/>
    <x v="3"/>
    <x v="2"/>
    <x v="2"/>
    <n v="9"/>
    <n v="8127"/>
    <n v="1906.5"/>
  </r>
  <r>
    <x v="913"/>
    <x v="5"/>
    <x v="2"/>
    <x v="2"/>
    <n v="4"/>
    <n v="2128"/>
    <n v="614.04999999999995"/>
  </r>
  <r>
    <x v="918"/>
    <x v="7"/>
    <x v="2"/>
    <x v="2"/>
    <n v="9"/>
    <n v="6417"/>
    <n v="1100.52"/>
  </r>
  <r>
    <x v="165"/>
    <x v="8"/>
    <x v="1"/>
    <x v="1"/>
    <n v="7"/>
    <n v="3997"/>
    <n v="494.78"/>
  </r>
  <r>
    <x v="107"/>
    <x v="9"/>
    <x v="2"/>
    <x v="3"/>
    <n v="1"/>
    <n v="879"/>
    <n v="149.52000000000001"/>
  </r>
  <r>
    <x v="319"/>
    <x v="9"/>
    <x v="2"/>
    <x v="0"/>
    <n v="3"/>
    <n v="2415"/>
    <n v="538.39"/>
  </r>
  <r>
    <x v="352"/>
    <x v="3"/>
    <x v="2"/>
    <x v="3"/>
    <n v="4"/>
    <n v="1064"/>
    <n v="314.83999999999997"/>
  </r>
  <r>
    <x v="958"/>
    <x v="1"/>
    <x v="1"/>
    <x v="2"/>
    <n v="4"/>
    <n v="1156"/>
    <n v="326.92"/>
  </r>
  <r>
    <x v="381"/>
    <x v="7"/>
    <x v="2"/>
    <x v="0"/>
    <n v="1"/>
    <n v="1184"/>
    <n v="218.27"/>
  </r>
  <r>
    <x v="272"/>
    <x v="8"/>
    <x v="1"/>
    <x v="2"/>
    <n v="3"/>
    <n v="1950"/>
    <n v="211.16"/>
  </r>
  <r>
    <x v="891"/>
    <x v="9"/>
    <x v="2"/>
    <x v="2"/>
    <n v="4"/>
    <n v="1088"/>
    <n v="295.08999999999997"/>
  </r>
  <r>
    <x v="10"/>
    <x v="0"/>
    <x v="0"/>
    <x v="2"/>
    <n v="6"/>
    <n v="4380"/>
    <n v="522.29999999999995"/>
  </r>
  <r>
    <x v="341"/>
    <x v="3"/>
    <x v="2"/>
    <x v="2"/>
    <n v="1"/>
    <n v="998"/>
    <n v="196.17"/>
  </r>
  <r>
    <x v="538"/>
    <x v="7"/>
    <x v="2"/>
    <x v="1"/>
    <n v="6"/>
    <n v="5766"/>
    <n v="675.17"/>
  </r>
  <r>
    <x v="62"/>
    <x v="2"/>
    <x v="2"/>
    <x v="3"/>
    <n v="6"/>
    <n v="3120"/>
    <n v="274.64999999999998"/>
  </r>
  <r>
    <x v="1008"/>
    <x v="0"/>
    <x v="0"/>
    <x v="1"/>
    <n v="7"/>
    <n v="637"/>
    <n v="68.11"/>
  </r>
  <r>
    <x v="845"/>
    <x v="9"/>
    <x v="2"/>
    <x v="3"/>
    <n v="6"/>
    <n v="3306"/>
    <n v="697.74"/>
  </r>
  <r>
    <x v="169"/>
    <x v="6"/>
    <x v="1"/>
    <x v="2"/>
    <n v="6"/>
    <n v="7020"/>
    <n v="726.72"/>
  </r>
  <r>
    <x v="615"/>
    <x v="3"/>
    <x v="2"/>
    <x v="2"/>
    <n v="7"/>
    <n v="5971"/>
    <n v="502.14"/>
  </r>
  <r>
    <x v="424"/>
    <x v="9"/>
    <x v="2"/>
    <x v="0"/>
    <n v="2"/>
    <n v="750"/>
    <n v="77.680000000000007"/>
  </r>
  <r>
    <x v="395"/>
    <x v="2"/>
    <x v="2"/>
    <x v="0"/>
    <n v="3"/>
    <n v="2379"/>
    <n v="523"/>
  </r>
  <r>
    <x v="116"/>
    <x v="3"/>
    <x v="2"/>
    <x v="0"/>
    <n v="1"/>
    <n v="699"/>
    <n v="108.94"/>
  </r>
  <r>
    <x v="283"/>
    <x v="3"/>
    <x v="2"/>
    <x v="3"/>
    <n v="9"/>
    <n v="6876"/>
    <n v="1895.24"/>
  </r>
  <r>
    <x v="914"/>
    <x v="6"/>
    <x v="1"/>
    <x v="0"/>
    <n v="8"/>
    <n v="1800"/>
    <n v="494.02"/>
  </r>
  <r>
    <x v="325"/>
    <x v="2"/>
    <x v="2"/>
    <x v="2"/>
    <n v="5"/>
    <n v="1255"/>
    <n v="236.25"/>
  </r>
  <r>
    <x v="824"/>
    <x v="5"/>
    <x v="2"/>
    <x v="1"/>
    <n v="9"/>
    <n v="1998"/>
    <n v="343.58"/>
  </r>
  <r>
    <x v="818"/>
    <x v="4"/>
    <x v="1"/>
    <x v="1"/>
    <n v="1"/>
    <n v="307"/>
    <n v="80.19"/>
  </r>
  <r>
    <x v="759"/>
    <x v="0"/>
    <x v="0"/>
    <x v="3"/>
    <n v="1"/>
    <n v="235"/>
    <n v="54.87"/>
  </r>
  <r>
    <x v="285"/>
    <x v="6"/>
    <x v="1"/>
    <x v="2"/>
    <n v="6"/>
    <n v="1506"/>
    <n v="407.73"/>
  </r>
  <r>
    <x v="756"/>
    <x v="2"/>
    <x v="2"/>
    <x v="0"/>
    <n v="8"/>
    <n v="2464"/>
    <n v="216.51"/>
  </r>
  <r>
    <x v="193"/>
    <x v="5"/>
    <x v="2"/>
    <x v="2"/>
    <n v="2"/>
    <n v="322"/>
    <n v="42.03"/>
  </r>
  <r>
    <x v="956"/>
    <x v="0"/>
    <x v="0"/>
    <x v="3"/>
    <n v="4"/>
    <n v="1100"/>
    <n v="100.02"/>
  </r>
  <r>
    <x v="123"/>
    <x v="8"/>
    <x v="1"/>
    <x v="2"/>
    <n v="4"/>
    <n v="2188"/>
    <n v="265.54000000000002"/>
  </r>
  <r>
    <x v="488"/>
    <x v="0"/>
    <x v="0"/>
    <x v="3"/>
    <n v="9"/>
    <n v="2934"/>
    <n v="473.34"/>
  </r>
  <r>
    <x v="254"/>
    <x v="4"/>
    <x v="1"/>
    <x v="2"/>
    <n v="8"/>
    <n v="9224"/>
    <n v="514.05999999999995"/>
  </r>
  <r>
    <x v="787"/>
    <x v="6"/>
    <x v="1"/>
    <x v="1"/>
    <n v="4"/>
    <n v="2436"/>
    <n v="142.81"/>
  </r>
  <r>
    <x v="482"/>
    <x v="5"/>
    <x v="2"/>
    <x v="3"/>
    <n v="4"/>
    <n v="972"/>
    <n v="97.55"/>
  </r>
  <r>
    <x v="141"/>
    <x v="9"/>
    <x v="2"/>
    <x v="2"/>
    <n v="6"/>
    <n v="5484"/>
    <n v="540.4"/>
  </r>
  <r>
    <x v="892"/>
    <x v="3"/>
    <x v="2"/>
    <x v="3"/>
    <n v="8"/>
    <n v="3152"/>
    <n v="337.36"/>
  </r>
  <r>
    <x v="122"/>
    <x v="8"/>
    <x v="1"/>
    <x v="1"/>
    <n v="8"/>
    <n v="6032"/>
    <n v="870.17"/>
  </r>
  <r>
    <x v="434"/>
    <x v="3"/>
    <x v="2"/>
    <x v="3"/>
    <n v="7"/>
    <n v="6384"/>
    <n v="1324.49"/>
  </r>
  <r>
    <x v="749"/>
    <x v="0"/>
    <x v="0"/>
    <x v="1"/>
    <n v="5"/>
    <n v="3705"/>
    <n v="707.08"/>
  </r>
  <r>
    <x v="254"/>
    <x v="5"/>
    <x v="2"/>
    <x v="2"/>
    <n v="6"/>
    <n v="5580"/>
    <n v="394.03"/>
  </r>
  <r>
    <x v="812"/>
    <x v="3"/>
    <x v="2"/>
    <x v="1"/>
    <n v="2"/>
    <n v="1236"/>
    <n v="120.74"/>
  </r>
  <r>
    <x v="610"/>
    <x v="3"/>
    <x v="2"/>
    <x v="0"/>
    <n v="8"/>
    <n v="7040"/>
    <n v="1969.93"/>
  </r>
  <r>
    <x v="525"/>
    <x v="3"/>
    <x v="2"/>
    <x v="1"/>
    <n v="9"/>
    <n v="909"/>
    <n v="138.04"/>
  </r>
  <r>
    <x v="618"/>
    <x v="1"/>
    <x v="1"/>
    <x v="2"/>
    <n v="1"/>
    <n v="106"/>
    <n v="7.24"/>
  </r>
  <r>
    <x v="916"/>
    <x v="5"/>
    <x v="2"/>
    <x v="2"/>
    <n v="1"/>
    <n v="281"/>
    <n v="67.849999999999994"/>
  </r>
  <r>
    <x v="179"/>
    <x v="3"/>
    <x v="2"/>
    <x v="1"/>
    <n v="6"/>
    <n v="6768"/>
    <n v="1851.01"/>
  </r>
  <r>
    <x v="401"/>
    <x v="9"/>
    <x v="2"/>
    <x v="3"/>
    <n v="6"/>
    <n v="4302"/>
    <n v="276.35000000000002"/>
  </r>
  <r>
    <x v="511"/>
    <x v="7"/>
    <x v="2"/>
    <x v="0"/>
    <n v="9"/>
    <n v="7146"/>
    <n v="2125.44"/>
  </r>
  <r>
    <x v="390"/>
    <x v="7"/>
    <x v="2"/>
    <x v="2"/>
    <n v="3"/>
    <n v="582"/>
    <n v="48.08"/>
  </r>
  <r>
    <x v="452"/>
    <x v="4"/>
    <x v="1"/>
    <x v="0"/>
    <n v="6"/>
    <n v="576"/>
    <n v="162.75"/>
  </r>
  <r>
    <x v="425"/>
    <x v="8"/>
    <x v="1"/>
    <x v="2"/>
    <n v="5"/>
    <n v="4265"/>
    <n v="796.12"/>
  </r>
  <r>
    <x v="96"/>
    <x v="5"/>
    <x v="2"/>
    <x v="1"/>
    <n v="8"/>
    <n v="5368"/>
    <n v="333.53"/>
  </r>
  <r>
    <x v="10"/>
    <x v="4"/>
    <x v="1"/>
    <x v="2"/>
    <n v="1"/>
    <n v="314"/>
    <n v="66.23"/>
  </r>
  <r>
    <x v="413"/>
    <x v="2"/>
    <x v="2"/>
    <x v="3"/>
    <n v="6"/>
    <n v="2676"/>
    <n v="646.70000000000005"/>
  </r>
  <r>
    <x v="516"/>
    <x v="9"/>
    <x v="2"/>
    <x v="0"/>
    <n v="4"/>
    <n v="3384"/>
    <n v="947.52"/>
  </r>
  <r>
    <x v="50"/>
    <x v="1"/>
    <x v="1"/>
    <x v="3"/>
    <n v="6"/>
    <n v="3186"/>
    <n v="794.94"/>
  </r>
  <r>
    <x v="888"/>
    <x v="5"/>
    <x v="2"/>
    <x v="2"/>
    <n v="4"/>
    <n v="1832"/>
    <n v="528.69000000000005"/>
  </r>
  <r>
    <x v="795"/>
    <x v="0"/>
    <x v="0"/>
    <x v="2"/>
    <n v="8"/>
    <n v="4784"/>
    <n v="769.91"/>
  </r>
  <r>
    <x v="959"/>
    <x v="2"/>
    <x v="2"/>
    <x v="3"/>
    <n v="1"/>
    <n v="381"/>
    <n v="63.18"/>
  </r>
  <r>
    <x v="1017"/>
    <x v="7"/>
    <x v="2"/>
    <x v="2"/>
    <n v="9"/>
    <n v="4527"/>
    <n v="677.34"/>
  </r>
  <r>
    <x v="779"/>
    <x v="0"/>
    <x v="0"/>
    <x v="2"/>
    <n v="4"/>
    <n v="1612"/>
    <n v="240.42"/>
  </r>
  <r>
    <x v="707"/>
    <x v="0"/>
    <x v="0"/>
    <x v="1"/>
    <n v="2"/>
    <n v="1918"/>
    <n v="435.56"/>
  </r>
  <r>
    <x v="990"/>
    <x v="3"/>
    <x v="2"/>
    <x v="1"/>
    <n v="1"/>
    <n v="179"/>
    <n v="42.37"/>
  </r>
  <r>
    <x v="678"/>
    <x v="5"/>
    <x v="2"/>
    <x v="3"/>
    <n v="3"/>
    <n v="3153"/>
    <n v="224.29"/>
  </r>
  <r>
    <x v="35"/>
    <x v="2"/>
    <x v="2"/>
    <x v="1"/>
    <n v="8"/>
    <n v="3864"/>
    <n v="855.75"/>
  </r>
  <r>
    <x v="920"/>
    <x v="0"/>
    <x v="0"/>
    <x v="2"/>
    <n v="5"/>
    <n v="2440"/>
    <n v="570.78"/>
  </r>
  <r>
    <x v="524"/>
    <x v="3"/>
    <x v="2"/>
    <x v="2"/>
    <n v="6"/>
    <n v="3660"/>
    <n v="675.38"/>
  </r>
  <r>
    <x v="444"/>
    <x v="5"/>
    <x v="2"/>
    <x v="1"/>
    <n v="3"/>
    <n v="318"/>
    <n v="49.93"/>
  </r>
  <r>
    <x v="309"/>
    <x v="1"/>
    <x v="1"/>
    <x v="2"/>
    <n v="3"/>
    <n v="483"/>
    <n v="63.27"/>
  </r>
  <r>
    <x v="200"/>
    <x v="4"/>
    <x v="1"/>
    <x v="0"/>
    <n v="6"/>
    <n v="6774"/>
    <n v="960.41"/>
  </r>
  <r>
    <x v="240"/>
    <x v="6"/>
    <x v="1"/>
    <x v="3"/>
    <n v="5"/>
    <n v="5310"/>
    <n v="806.12"/>
  </r>
  <r>
    <x v="489"/>
    <x v="8"/>
    <x v="1"/>
    <x v="3"/>
    <n v="6"/>
    <n v="5154"/>
    <n v="779.43"/>
  </r>
  <r>
    <x v="910"/>
    <x v="8"/>
    <x v="1"/>
    <x v="1"/>
    <n v="9"/>
    <n v="6741"/>
    <n v="823.17"/>
  </r>
  <r>
    <x v="728"/>
    <x v="3"/>
    <x v="2"/>
    <x v="0"/>
    <n v="2"/>
    <n v="520"/>
    <n v="61.33"/>
  </r>
  <r>
    <x v="534"/>
    <x v="2"/>
    <x v="2"/>
    <x v="1"/>
    <n v="7"/>
    <n v="1120"/>
    <n v="111.79"/>
  </r>
  <r>
    <x v="535"/>
    <x v="8"/>
    <x v="1"/>
    <x v="1"/>
    <n v="1"/>
    <n v="911"/>
    <n v="155.30000000000001"/>
  </r>
  <r>
    <x v="996"/>
    <x v="6"/>
    <x v="1"/>
    <x v="2"/>
    <n v="8"/>
    <n v="1064"/>
    <n v="190.73"/>
  </r>
  <r>
    <x v="74"/>
    <x v="9"/>
    <x v="2"/>
    <x v="0"/>
    <n v="7"/>
    <n v="1981"/>
    <n v="404.3"/>
  </r>
  <r>
    <x v="776"/>
    <x v="3"/>
    <x v="2"/>
    <x v="2"/>
    <n v="5"/>
    <n v="4280"/>
    <n v="540.47"/>
  </r>
  <r>
    <x v="759"/>
    <x v="5"/>
    <x v="2"/>
    <x v="2"/>
    <n v="5"/>
    <n v="5125"/>
    <n v="268.39"/>
  </r>
  <r>
    <x v="618"/>
    <x v="6"/>
    <x v="1"/>
    <x v="3"/>
    <n v="7"/>
    <n v="1575"/>
    <n v="313.95999999999998"/>
  </r>
  <r>
    <x v="74"/>
    <x v="2"/>
    <x v="2"/>
    <x v="1"/>
    <n v="9"/>
    <n v="9972"/>
    <n v="1868.64"/>
  </r>
  <r>
    <x v="430"/>
    <x v="7"/>
    <x v="2"/>
    <x v="1"/>
    <n v="8"/>
    <n v="4576"/>
    <n v="900.04"/>
  </r>
  <r>
    <x v="1001"/>
    <x v="6"/>
    <x v="1"/>
    <x v="2"/>
    <n v="7"/>
    <n v="6559"/>
    <n v="1141.32"/>
  </r>
  <r>
    <x v="50"/>
    <x v="2"/>
    <x v="2"/>
    <x v="2"/>
    <n v="1"/>
    <n v="619"/>
    <n v="35.36"/>
  </r>
  <r>
    <x v="83"/>
    <x v="4"/>
    <x v="1"/>
    <x v="3"/>
    <n v="8"/>
    <n v="2488"/>
    <n v="151.94999999999999"/>
  </r>
  <r>
    <x v="952"/>
    <x v="1"/>
    <x v="1"/>
    <x v="3"/>
    <n v="4"/>
    <n v="2536"/>
    <n v="148.85"/>
  </r>
  <r>
    <x v="106"/>
    <x v="2"/>
    <x v="2"/>
    <x v="3"/>
    <n v="8"/>
    <n v="5416"/>
    <n v="297.5"/>
  </r>
  <r>
    <x v="694"/>
    <x v="5"/>
    <x v="2"/>
    <x v="1"/>
    <n v="2"/>
    <n v="2334"/>
    <n v="158.07"/>
  </r>
  <r>
    <x v="1023"/>
    <x v="3"/>
    <x v="2"/>
    <x v="1"/>
    <n v="9"/>
    <n v="1080"/>
    <n v="183.42"/>
  </r>
  <r>
    <x v="111"/>
    <x v="2"/>
    <x v="2"/>
    <x v="2"/>
    <n v="4"/>
    <n v="1324"/>
    <n v="127.07"/>
  </r>
  <r>
    <x v="940"/>
    <x v="3"/>
    <x v="2"/>
    <x v="3"/>
    <n v="2"/>
    <n v="2304"/>
    <n v="444.08"/>
  </r>
  <r>
    <x v="819"/>
    <x v="7"/>
    <x v="2"/>
    <x v="1"/>
    <n v="4"/>
    <n v="4736"/>
    <n v="1026.24"/>
  </r>
  <r>
    <x v="939"/>
    <x v="1"/>
    <x v="1"/>
    <x v="3"/>
    <n v="9"/>
    <n v="2925"/>
    <n v="457.49"/>
  </r>
  <r>
    <x v="760"/>
    <x v="9"/>
    <x v="2"/>
    <x v="1"/>
    <n v="9"/>
    <n v="6345"/>
    <n v="1627.26"/>
  </r>
  <r>
    <x v="355"/>
    <x v="4"/>
    <x v="1"/>
    <x v="1"/>
    <n v="9"/>
    <n v="4221"/>
    <n v="912.84"/>
  </r>
  <r>
    <x v="521"/>
    <x v="4"/>
    <x v="1"/>
    <x v="2"/>
    <n v="7"/>
    <n v="462"/>
    <n v="56.89"/>
  </r>
  <r>
    <x v="728"/>
    <x v="6"/>
    <x v="1"/>
    <x v="0"/>
    <n v="7"/>
    <n v="7588"/>
    <n v="1625.55"/>
  </r>
  <r>
    <x v="36"/>
    <x v="8"/>
    <x v="1"/>
    <x v="0"/>
    <n v="6"/>
    <n v="5232"/>
    <n v="1270.6400000000001"/>
  </r>
  <r>
    <x v="452"/>
    <x v="3"/>
    <x v="2"/>
    <x v="1"/>
    <n v="8"/>
    <n v="1440"/>
    <n v="402.06"/>
  </r>
  <r>
    <x v="524"/>
    <x v="6"/>
    <x v="1"/>
    <x v="0"/>
    <n v="2"/>
    <n v="1026"/>
    <n v="226.4"/>
  </r>
  <r>
    <x v="769"/>
    <x v="3"/>
    <x v="2"/>
    <x v="0"/>
    <n v="7"/>
    <n v="7455"/>
    <n v="1008.42"/>
  </r>
  <r>
    <x v="639"/>
    <x v="0"/>
    <x v="0"/>
    <x v="1"/>
    <n v="8"/>
    <n v="2456"/>
    <n v="404.35"/>
  </r>
  <r>
    <x v="506"/>
    <x v="3"/>
    <x v="2"/>
    <x v="0"/>
    <n v="3"/>
    <n v="2859"/>
    <n v="404.56"/>
  </r>
  <r>
    <x v="288"/>
    <x v="8"/>
    <x v="1"/>
    <x v="1"/>
    <n v="1"/>
    <n v="311"/>
    <n v="50.66"/>
  </r>
  <r>
    <x v="934"/>
    <x v="0"/>
    <x v="0"/>
    <x v="1"/>
    <n v="9"/>
    <n v="1260"/>
    <n v="246.6"/>
  </r>
  <r>
    <x v="842"/>
    <x v="8"/>
    <x v="1"/>
    <x v="2"/>
    <n v="1"/>
    <n v="466"/>
    <n v="102.48"/>
  </r>
  <r>
    <x v="1024"/>
    <x v="9"/>
    <x v="2"/>
    <x v="3"/>
    <n v="3"/>
    <n v="867"/>
    <n v="58.2"/>
  </r>
  <r>
    <x v="144"/>
    <x v="6"/>
    <x v="1"/>
    <x v="2"/>
    <n v="6"/>
    <n v="3888"/>
    <n v="275.72000000000003"/>
  </r>
  <r>
    <x v="294"/>
    <x v="2"/>
    <x v="2"/>
    <x v="0"/>
    <n v="4"/>
    <n v="3032"/>
    <n v="347.2"/>
  </r>
  <r>
    <x v="488"/>
    <x v="2"/>
    <x v="2"/>
    <x v="0"/>
    <n v="7"/>
    <n v="4704"/>
    <n v="978.81"/>
  </r>
  <r>
    <x v="930"/>
    <x v="0"/>
    <x v="0"/>
    <x v="3"/>
    <n v="3"/>
    <n v="3186"/>
    <n v="527.75"/>
  </r>
  <r>
    <x v="1025"/>
    <x v="0"/>
    <x v="0"/>
    <x v="0"/>
    <n v="9"/>
    <n v="6183"/>
    <n v="359.54"/>
  </r>
  <r>
    <x v="634"/>
    <x v="5"/>
    <x v="2"/>
    <x v="3"/>
    <n v="1"/>
    <n v="243"/>
    <n v="21.75"/>
  </r>
  <r>
    <x v="657"/>
    <x v="7"/>
    <x v="2"/>
    <x v="0"/>
    <n v="3"/>
    <n v="897"/>
    <n v="235.67"/>
  </r>
  <r>
    <x v="453"/>
    <x v="4"/>
    <x v="1"/>
    <x v="3"/>
    <n v="9"/>
    <n v="4563"/>
    <n v="675.62"/>
  </r>
  <r>
    <x v="1026"/>
    <x v="9"/>
    <x v="2"/>
    <x v="2"/>
    <n v="4"/>
    <n v="628"/>
    <n v="156.97999999999999"/>
  </r>
  <r>
    <x v="378"/>
    <x v="6"/>
    <x v="1"/>
    <x v="1"/>
    <n v="6"/>
    <n v="1050"/>
    <n v="172.83"/>
  </r>
  <r>
    <x v="967"/>
    <x v="6"/>
    <x v="1"/>
    <x v="0"/>
    <n v="8"/>
    <n v="3032"/>
    <n v="278.85000000000002"/>
  </r>
  <r>
    <x v="850"/>
    <x v="8"/>
    <x v="1"/>
    <x v="3"/>
    <n v="1"/>
    <n v="920"/>
    <n v="118.24"/>
  </r>
  <r>
    <x v="578"/>
    <x v="9"/>
    <x v="2"/>
    <x v="2"/>
    <n v="2"/>
    <n v="668"/>
    <n v="90.67"/>
  </r>
  <r>
    <x v="678"/>
    <x v="1"/>
    <x v="1"/>
    <x v="1"/>
    <n v="5"/>
    <n v="5990"/>
    <n v="1403.53"/>
  </r>
  <r>
    <x v="117"/>
    <x v="2"/>
    <x v="2"/>
    <x v="2"/>
    <n v="9"/>
    <n v="9324"/>
    <n v="1223.9000000000001"/>
  </r>
  <r>
    <x v="832"/>
    <x v="8"/>
    <x v="1"/>
    <x v="1"/>
    <n v="8"/>
    <n v="5768"/>
    <n v="368.49"/>
  </r>
  <r>
    <x v="957"/>
    <x v="9"/>
    <x v="2"/>
    <x v="0"/>
    <n v="1"/>
    <n v="1123"/>
    <n v="318.08999999999997"/>
  </r>
  <r>
    <x v="888"/>
    <x v="8"/>
    <x v="1"/>
    <x v="3"/>
    <n v="4"/>
    <n v="2336"/>
    <n v="453.04"/>
  </r>
  <r>
    <x v="424"/>
    <x v="9"/>
    <x v="2"/>
    <x v="3"/>
    <n v="6"/>
    <n v="438"/>
    <n v="26.03"/>
  </r>
  <r>
    <x v="717"/>
    <x v="2"/>
    <x v="2"/>
    <x v="0"/>
    <n v="6"/>
    <n v="5940"/>
    <n v="318.72000000000003"/>
  </r>
  <r>
    <x v="753"/>
    <x v="3"/>
    <x v="2"/>
    <x v="3"/>
    <n v="3"/>
    <n v="1848"/>
    <n v="549.34"/>
  </r>
  <r>
    <x v="278"/>
    <x v="8"/>
    <x v="1"/>
    <x v="0"/>
    <n v="3"/>
    <n v="2118"/>
    <n v="321.05"/>
  </r>
  <r>
    <x v="714"/>
    <x v="7"/>
    <x v="2"/>
    <x v="0"/>
    <n v="3"/>
    <n v="231"/>
    <n v="36.729999999999997"/>
  </r>
  <r>
    <x v="1027"/>
    <x v="4"/>
    <x v="1"/>
    <x v="2"/>
    <n v="6"/>
    <n v="978"/>
    <n v="182.46"/>
  </r>
  <r>
    <x v="608"/>
    <x v="6"/>
    <x v="1"/>
    <x v="0"/>
    <n v="5"/>
    <n v="4960"/>
    <n v="420.98"/>
  </r>
  <r>
    <x v="402"/>
    <x v="3"/>
    <x v="2"/>
    <x v="2"/>
    <n v="3"/>
    <n v="1377"/>
    <n v="330.44"/>
  </r>
  <r>
    <x v="977"/>
    <x v="3"/>
    <x v="2"/>
    <x v="3"/>
    <n v="2"/>
    <n v="1958"/>
    <n v="227.77"/>
  </r>
  <r>
    <x v="810"/>
    <x v="1"/>
    <x v="1"/>
    <x v="3"/>
    <n v="7"/>
    <n v="5607"/>
    <n v="1288.04"/>
  </r>
  <r>
    <x v="167"/>
    <x v="5"/>
    <x v="2"/>
    <x v="2"/>
    <n v="6"/>
    <n v="3504"/>
    <n v="980.7"/>
  </r>
  <r>
    <x v="546"/>
    <x v="1"/>
    <x v="1"/>
    <x v="0"/>
    <n v="4"/>
    <n v="796"/>
    <n v="75.150000000000006"/>
  </r>
  <r>
    <x v="72"/>
    <x v="6"/>
    <x v="1"/>
    <x v="0"/>
    <n v="1"/>
    <n v="342"/>
    <n v="37.64"/>
  </r>
  <r>
    <x v="72"/>
    <x v="6"/>
    <x v="1"/>
    <x v="2"/>
    <n v="7"/>
    <n v="6769"/>
    <n v="1549.67"/>
  </r>
  <r>
    <x v="556"/>
    <x v="4"/>
    <x v="1"/>
    <x v="2"/>
    <n v="9"/>
    <n v="10080"/>
    <n v="1794.73"/>
  </r>
  <r>
    <x v="953"/>
    <x v="5"/>
    <x v="2"/>
    <x v="1"/>
    <n v="7"/>
    <n v="3948"/>
    <n v="758.36"/>
  </r>
  <r>
    <x v="128"/>
    <x v="4"/>
    <x v="1"/>
    <x v="2"/>
    <n v="4"/>
    <n v="1488"/>
    <n v="74.52"/>
  </r>
  <r>
    <x v="607"/>
    <x v="1"/>
    <x v="1"/>
    <x v="2"/>
    <n v="5"/>
    <n v="1200"/>
    <n v="201.8"/>
  </r>
  <r>
    <x v="537"/>
    <x v="5"/>
    <x v="2"/>
    <x v="0"/>
    <n v="4"/>
    <n v="4476"/>
    <n v="977.6"/>
  </r>
  <r>
    <x v="598"/>
    <x v="6"/>
    <x v="1"/>
    <x v="3"/>
    <n v="1"/>
    <n v="1178"/>
    <n v="292.14999999999998"/>
  </r>
  <r>
    <x v="618"/>
    <x v="5"/>
    <x v="2"/>
    <x v="2"/>
    <n v="8"/>
    <n v="2888"/>
    <n v="149.91999999999999"/>
  </r>
  <r>
    <x v="764"/>
    <x v="7"/>
    <x v="2"/>
    <x v="2"/>
    <n v="6"/>
    <n v="1704"/>
    <n v="193.18"/>
  </r>
  <r>
    <x v="461"/>
    <x v="0"/>
    <x v="0"/>
    <x v="3"/>
    <n v="8"/>
    <n v="4200"/>
    <n v="1017.94"/>
  </r>
  <r>
    <x v="416"/>
    <x v="8"/>
    <x v="1"/>
    <x v="1"/>
    <n v="7"/>
    <n v="4417"/>
    <n v="562.79"/>
  </r>
  <r>
    <x v="229"/>
    <x v="3"/>
    <x v="2"/>
    <x v="3"/>
    <n v="4"/>
    <n v="764"/>
    <n v="178.83"/>
  </r>
  <r>
    <x v="168"/>
    <x v="4"/>
    <x v="1"/>
    <x v="2"/>
    <n v="4"/>
    <n v="4000"/>
    <n v="964.43"/>
  </r>
  <r>
    <x v="257"/>
    <x v="6"/>
    <x v="1"/>
    <x v="1"/>
    <n v="9"/>
    <n v="2331"/>
    <n v="558"/>
  </r>
  <r>
    <x v="171"/>
    <x v="1"/>
    <x v="1"/>
    <x v="3"/>
    <n v="9"/>
    <n v="8172"/>
    <n v="1296.29"/>
  </r>
  <r>
    <x v="888"/>
    <x v="9"/>
    <x v="2"/>
    <x v="0"/>
    <n v="1"/>
    <n v="761"/>
    <n v="61.15"/>
  </r>
  <r>
    <x v="574"/>
    <x v="3"/>
    <x v="2"/>
    <x v="1"/>
    <n v="2"/>
    <n v="494"/>
    <n v="56.41"/>
  </r>
  <r>
    <x v="1028"/>
    <x v="4"/>
    <x v="1"/>
    <x v="1"/>
    <n v="2"/>
    <n v="194"/>
    <n v="52.16"/>
  </r>
  <r>
    <x v="541"/>
    <x v="2"/>
    <x v="2"/>
    <x v="3"/>
    <n v="6"/>
    <n v="5820"/>
    <n v="1423.67"/>
  </r>
  <r>
    <x v="721"/>
    <x v="3"/>
    <x v="2"/>
    <x v="0"/>
    <n v="5"/>
    <n v="410"/>
    <n v="121.77"/>
  </r>
  <r>
    <x v="486"/>
    <x v="7"/>
    <x v="2"/>
    <x v="1"/>
    <n v="6"/>
    <n v="1254"/>
    <n v="360.87"/>
  </r>
  <r>
    <x v="824"/>
    <x v="2"/>
    <x v="2"/>
    <x v="1"/>
    <n v="6"/>
    <n v="3432"/>
    <n v="452.4"/>
  </r>
  <r>
    <x v="122"/>
    <x v="3"/>
    <x v="2"/>
    <x v="0"/>
    <n v="4"/>
    <n v="3792"/>
    <n v="997.99"/>
  </r>
  <r>
    <x v="422"/>
    <x v="2"/>
    <x v="2"/>
    <x v="3"/>
    <n v="7"/>
    <n v="546"/>
    <n v="117.9"/>
  </r>
  <r>
    <x v="857"/>
    <x v="5"/>
    <x v="2"/>
    <x v="1"/>
    <n v="3"/>
    <n v="1452"/>
    <n v="217.06"/>
  </r>
  <r>
    <x v="137"/>
    <x v="8"/>
    <x v="1"/>
    <x v="3"/>
    <n v="8"/>
    <n v="9296"/>
    <n v="1556.05"/>
  </r>
  <r>
    <x v="5"/>
    <x v="1"/>
    <x v="1"/>
    <x v="0"/>
    <n v="1"/>
    <n v="1160"/>
    <n v="149.81"/>
  </r>
  <r>
    <x v="1029"/>
    <x v="9"/>
    <x v="2"/>
    <x v="3"/>
    <n v="6"/>
    <n v="4728"/>
    <n v="682.01"/>
  </r>
  <r>
    <x v="1030"/>
    <x v="3"/>
    <x v="2"/>
    <x v="0"/>
    <n v="6"/>
    <n v="1836"/>
    <n v="508.81"/>
  </r>
  <r>
    <x v="280"/>
    <x v="5"/>
    <x v="2"/>
    <x v="2"/>
    <n v="7"/>
    <n v="6237"/>
    <n v="1784.89"/>
  </r>
  <r>
    <x v="207"/>
    <x v="9"/>
    <x v="2"/>
    <x v="3"/>
    <n v="5"/>
    <n v="5845"/>
    <n v="941.79"/>
  </r>
  <r>
    <x v="18"/>
    <x v="6"/>
    <x v="1"/>
    <x v="2"/>
    <n v="9"/>
    <n v="6138"/>
    <n v="851.14"/>
  </r>
  <r>
    <x v="510"/>
    <x v="3"/>
    <x v="2"/>
    <x v="3"/>
    <n v="2"/>
    <n v="1416"/>
    <n v="136.75"/>
  </r>
  <r>
    <x v="874"/>
    <x v="8"/>
    <x v="1"/>
    <x v="3"/>
    <n v="3"/>
    <n v="1851"/>
    <n v="348.9"/>
  </r>
  <r>
    <x v="771"/>
    <x v="0"/>
    <x v="0"/>
    <x v="2"/>
    <n v="9"/>
    <n v="7452"/>
    <n v="1259.82"/>
  </r>
  <r>
    <x v="639"/>
    <x v="2"/>
    <x v="2"/>
    <x v="0"/>
    <n v="5"/>
    <n v="1630"/>
    <n v="190.38"/>
  </r>
  <r>
    <x v="1031"/>
    <x v="3"/>
    <x v="2"/>
    <x v="3"/>
    <n v="6"/>
    <n v="4800"/>
    <n v="930.44"/>
  </r>
  <r>
    <x v="962"/>
    <x v="5"/>
    <x v="2"/>
    <x v="2"/>
    <n v="1"/>
    <n v="61"/>
    <n v="16.11"/>
  </r>
  <r>
    <x v="630"/>
    <x v="6"/>
    <x v="1"/>
    <x v="1"/>
    <n v="6"/>
    <n v="942"/>
    <n v="80.27"/>
  </r>
  <r>
    <x v="924"/>
    <x v="7"/>
    <x v="2"/>
    <x v="2"/>
    <n v="8"/>
    <n v="7640"/>
    <n v="1663.63"/>
  </r>
  <r>
    <x v="381"/>
    <x v="3"/>
    <x v="2"/>
    <x v="2"/>
    <n v="5"/>
    <n v="4540"/>
    <n v="939.71"/>
  </r>
  <r>
    <x v="1"/>
    <x v="4"/>
    <x v="1"/>
    <x v="0"/>
    <n v="1"/>
    <n v="1030"/>
    <n v="190.47"/>
  </r>
  <r>
    <x v="39"/>
    <x v="0"/>
    <x v="0"/>
    <x v="0"/>
    <n v="2"/>
    <n v="384"/>
    <n v="30.84"/>
  </r>
  <r>
    <x v="1016"/>
    <x v="5"/>
    <x v="2"/>
    <x v="3"/>
    <n v="8"/>
    <n v="8560"/>
    <n v="991.94"/>
  </r>
  <r>
    <x v="1032"/>
    <x v="3"/>
    <x v="2"/>
    <x v="3"/>
    <n v="9"/>
    <n v="1557"/>
    <n v="117.36"/>
  </r>
  <r>
    <x v="34"/>
    <x v="2"/>
    <x v="2"/>
    <x v="1"/>
    <n v="7"/>
    <n v="707"/>
    <n v="124.59"/>
  </r>
  <r>
    <x v="87"/>
    <x v="1"/>
    <x v="1"/>
    <x v="3"/>
    <n v="5"/>
    <n v="3405"/>
    <n v="476.39"/>
  </r>
  <r>
    <x v="131"/>
    <x v="2"/>
    <x v="2"/>
    <x v="3"/>
    <n v="6"/>
    <n v="4722"/>
    <n v="522.16"/>
  </r>
  <r>
    <x v="814"/>
    <x v="4"/>
    <x v="1"/>
    <x v="0"/>
    <n v="2"/>
    <n v="2150"/>
    <n v="625.92999999999995"/>
  </r>
  <r>
    <x v="254"/>
    <x v="6"/>
    <x v="1"/>
    <x v="3"/>
    <n v="7"/>
    <n v="3619"/>
    <n v="827.39"/>
  </r>
  <r>
    <x v="479"/>
    <x v="5"/>
    <x v="2"/>
    <x v="2"/>
    <n v="4"/>
    <n v="3892"/>
    <n v="909.22"/>
  </r>
  <r>
    <x v="382"/>
    <x v="3"/>
    <x v="2"/>
    <x v="2"/>
    <n v="1"/>
    <n v="54"/>
    <n v="13.29"/>
  </r>
  <r>
    <x v="10"/>
    <x v="8"/>
    <x v="1"/>
    <x v="2"/>
    <n v="1"/>
    <n v="612"/>
    <n v="136.25"/>
  </r>
  <r>
    <x v="52"/>
    <x v="6"/>
    <x v="1"/>
    <x v="1"/>
    <n v="5"/>
    <n v="3850"/>
    <n v="419.55"/>
  </r>
  <r>
    <x v="341"/>
    <x v="3"/>
    <x v="2"/>
    <x v="1"/>
    <n v="5"/>
    <n v="3005"/>
    <n v="389.93"/>
  </r>
  <r>
    <x v="903"/>
    <x v="4"/>
    <x v="1"/>
    <x v="0"/>
    <n v="9"/>
    <n v="5256"/>
    <n v="1296.6500000000001"/>
  </r>
  <r>
    <x v="420"/>
    <x v="0"/>
    <x v="0"/>
    <x v="1"/>
    <n v="6"/>
    <n v="3576"/>
    <n v="1033.3"/>
  </r>
  <r>
    <x v="1033"/>
    <x v="2"/>
    <x v="2"/>
    <x v="3"/>
    <n v="5"/>
    <n v="3415"/>
    <n v="496.48"/>
  </r>
  <r>
    <x v="616"/>
    <x v="3"/>
    <x v="2"/>
    <x v="3"/>
    <n v="3"/>
    <n v="1722"/>
    <n v="203.04"/>
  </r>
  <r>
    <x v="406"/>
    <x v="1"/>
    <x v="1"/>
    <x v="1"/>
    <n v="8"/>
    <n v="4088"/>
    <n v="853.36"/>
  </r>
  <r>
    <x v="703"/>
    <x v="4"/>
    <x v="1"/>
    <x v="3"/>
    <n v="5"/>
    <n v="5320"/>
    <n v="882.84"/>
  </r>
  <r>
    <x v="1"/>
    <x v="1"/>
    <x v="1"/>
    <x v="3"/>
    <n v="6"/>
    <n v="3660"/>
    <n v="1079"/>
  </r>
  <r>
    <x v="468"/>
    <x v="3"/>
    <x v="2"/>
    <x v="3"/>
    <n v="6"/>
    <n v="5250"/>
    <n v="1228.49"/>
  </r>
  <r>
    <x v="118"/>
    <x v="9"/>
    <x v="2"/>
    <x v="0"/>
    <n v="4"/>
    <n v="328"/>
    <n v="90.89"/>
  </r>
  <r>
    <x v="279"/>
    <x v="7"/>
    <x v="2"/>
    <x v="3"/>
    <n v="7"/>
    <n v="1596"/>
    <n v="359.71"/>
  </r>
  <r>
    <x v="17"/>
    <x v="0"/>
    <x v="0"/>
    <x v="2"/>
    <n v="7"/>
    <n v="2443"/>
    <n v="661.21"/>
  </r>
  <r>
    <x v="476"/>
    <x v="5"/>
    <x v="2"/>
    <x v="1"/>
    <n v="7"/>
    <n v="5432"/>
    <n v="870.08"/>
  </r>
  <r>
    <x v="1034"/>
    <x v="0"/>
    <x v="0"/>
    <x v="0"/>
    <n v="3"/>
    <n v="1254"/>
    <n v="221.19"/>
  </r>
  <r>
    <x v="273"/>
    <x v="2"/>
    <x v="2"/>
    <x v="1"/>
    <n v="5"/>
    <n v="5495"/>
    <n v="1276.27"/>
  </r>
  <r>
    <x v="863"/>
    <x v="4"/>
    <x v="1"/>
    <x v="0"/>
    <n v="4"/>
    <n v="596"/>
    <n v="72.650000000000006"/>
  </r>
  <r>
    <x v="941"/>
    <x v="0"/>
    <x v="0"/>
    <x v="2"/>
    <n v="6"/>
    <n v="3696"/>
    <n v="597.66"/>
  </r>
  <r>
    <x v="1035"/>
    <x v="1"/>
    <x v="1"/>
    <x v="0"/>
    <n v="6"/>
    <n v="4488"/>
    <n v="939.05"/>
  </r>
  <r>
    <x v="586"/>
    <x v="3"/>
    <x v="2"/>
    <x v="3"/>
    <n v="6"/>
    <n v="6846"/>
    <n v="932.21"/>
  </r>
  <r>
    <x v="379"/>
    <x v="1"/>
    <x v="1"/>
    <x v="3"/>
    <n v="8"/>
    <n v="2960"/>
    <n v="607.64"/>
  </r>
  <r>
    <x v="713"/>
    <x v="7"/>
    <x v="2"/>
    <x v="2"/>
    <n v="1"/>
    <n v="419"/>
    <n v="99.5"/>
  </r>
  <r>
    <x v="465"/>
    <x v="9"/>
    <x v="2"/>
    <x v="3"/>
    <n v="6"/>
    <n v="6246"/>
    <n v="327.14"/>
  </r>
  <r>
    <x v="854"/>
    <x v="2"/>
    <x v="2"/>
    <x v="2"/>
    <n v="4"/>
    <n v="1900"/>
    <n v="372.18"/>
  </r>
  <r>
    <x v="682"/>
    <x v="6"/>
    <x v="1"/>
    <x v="0"/>
    <n v="7"/>
    <n v="3451"/>
    <n v="397.29"/>
  </r>
  <r>
    <x v="1016"/>
    <x v="7"/>
    <x v="2"/>
    <x v="3"/>
    <n v="2"/>
    <n v="1612"/>
    <n v="344.37"/>
  </r>
  <r>
    <x v="581"/>
    <x v="9"/>
    <x v="2"/>
    <x v="2"/>
    <n v="5"/>
    <n v="4445"/>
    <n v="642.83000000000004"/>
  </r>
  <r>
    <x v="933"/>
    <x v="5"/>
    <x v="2"/>
    <x v="0"/>
    <n v="5"/>
    <n v="720"/>
    <n v="63.84"/>
  </r>
  <r>
    <x v="397"/>
    <x v="1"/>
    <x v="1"/>
    <x v="1"/>
    <n v="2"/>
    <n v="1428"/>
    <n v="234.49"/>
  </r>
  <r>
    <x v="874"/>
    <x v="2"/>
    <x v="2"/>
    <x v="1"/>
    <n v="4"/>
    <n v="3532"/>
    <n v="665.2"/>
  </r>
  <r>
    <x v="303"/>
    <x v="3"/>
    <x v="2"/>
    <x v="0"/>
    <n v="6"/>
    <n v="6528"/>
    <n v="549.62"/>
  </r>
  <r>
    <x v="339"/>
    <x v="6"/>
    <x v="1"/>
    <x v="1"/>
    <n v="1"/>
    <n v="743"/>
    <n v="216.5"/>
  </r>
  <r>
    <x v="533"/>
    <x v="5"/>
    <x v="2"/>
    <x v="1"/>
    <n v="6"/>
    <n v="1758"/>
    <n v="287.36"/>
  </r>
  <r>
    <x v="639"/>
    <x v="4"/>
    <x v="1"/>
    <x v="2"/>
    <n v="8"/>
    <n v="1008"/>
    <n v="100.61"/>
  </r>
  <r>
    <x v="257"/>
    <x v="7"/>
    <x v="2"/>
    <x v="1"/>
    <n v="1"/>
    <n v="995"/>
    <n v="149.86000000000001"/>
  </r>
  <r>
    <x v="220"/>
    <x v="8"/>
    <x v="1"/>
    <x v="3"/>
    <n v="9"/>
    <n v="4032"/>
    <n v="876.91"/>
  </r>
  <r>
    <x v="952"/>
    <x v="7"/>
    <x v="2"/>
    <x v="1"/>
    <n v="6"/>
    <n v="480"/>
    <n v="131.08000000000001"/>
  </r>
  <r>
    <x v="876"/>
    <x v="9"/>
    <x v="2"/>
    <x v="1"/>
    <n v="1"/>
    <n v="989"/>
    <n v="149.99"/>
  </r>
  <r>
    <x v="823"/>
    <x v="7"/>
    <x v="2"/>
    <x v="0"/>
    <n v="9"/>
    <n v="6606"/>
    <n v="759.55"/>
  </r>
  <r>
    <x v="895"/>
    <x v="5"/>
    <x v="2"/>
    <x v="1"/>
    <n v="6"/>
    <n v="912"/>
    <n v="256.58"/>
  </r>
  <r>
    <x v="155"/>
    <x v="1"/>
    <x v="1"/>
    <x v="2"/>
    <n v="4"/>
    <n v="2912"/>
    <n v="331.11"/>
  </r>
  <r>
    <x v="268"/>
    <x v="3"/>
    <x v="2"/>
    <x v="3"/>
    <n v="5"/>
    <n v="845"/>
    <n v="69.349999999999994"/>
  </r>
  <r>
    <x v="966"/>
    <x v="6"/>
    <x v="1"/>
    <x v="2"/>
    <n v="4"/>
    <n v="2804"/>
    <n v="382.82"/>
  </r>
  <r>
    <x v="66"/>
    <x v="9"/>
    <x v="2"/>
    <x v="1"/>
    <n v="2"/>
    <n v="208"/>
    <n v="11.53"/>
  </r>
  <r>
    <x v="511"/>
    <x v="5"/>
    <x v="2"/>
    <x v="1"/>
    <n v="1"/>
    <n v="379"/>
    <n v="42.24"/>
  </r>
  <r>
    <x v="463"/>
    <x v="1"/>
    <x v="1"/>
    <x v="3"/>
    <n v="3"/>
    <n v="1227"/>
    <n v="113.38"/>
  </r>
  <r>
    <x v="871"/>
    <x v="4"/>
    <x v="1"/>
    <x v="1"/>
    <n v="7"/>
    <n v="5551"/>
    <n v="392.37"/>
  </r>
  <r>
    <x v="67"/>
    <x v="4"/>
    <x v="1"/>
    <x v="3"/>
    <n v="1"/>
    <n v="423"/>
    <n v="115.44"/>
  </r>
  <r>
    <x v="833"/>
    <x v="4"/>
    <x v="1"/>
    <x v="3"/>
    <n v="6"/>
    <n v="5982"/>
    <n v="944.81"/>
  </r>
  <r>
    <x v="847"/>
    <x v="7"/>
    <x v="2"/>
    <x v="3"/>
    <n v="4"/>
    <n v="3732"/>
    <n v="468.6"/>
  </r>
  <r>
    <x v="885"/>
    <x v="0"/>
    <x v="0"/>
    <x v="0"/>
    <n v="9"/>
    <n v="5904"/>
    <n v="1152.23"/>
  </r>
  <r>
    <x v="69"/>
    <x v="4"/>
    <x v="1"/>
    <x v="1"/>
    <n v="5"/>
    <n v="1810"/>
    <n v="171.47"/>
  </r>
  <r>
    <x v="894"/>
    <x v="7"/>
    <x v="2"/>
    <x v="2"/>
    <n v="6"/>
    <n v="5604"/>
    <n v="615.07000000000005"/>
  </r>
  <r>
    <x v="503"/>
    <x v="9"/>
    <x v="2"/>
    <x v="3"/>
    <n v="2"/>
    <n v="432"/>
    <n v="81.31"/>
  </r>
  <r>
    <x v="492"/>
    <x v="8"/>
    <x v="1"/>
    <x v="1"/>
    <n v="2"/>
    <n v="416"/>
    <n v="68.58"/>
  </r>
  <r>
    <x v="566"/>
    <x v="6"/>
    <x v="1"/>
    <x v="0"/>
    <n v="8"/>
    <n v="1224"/>
    <n v="281.43"/>
  </r>
  <r>
    <x v="655"/>
    <x v="0"/>
    <x v="0"/>
    <x v="3"/>
    <n v="8"/>
    <n v="5168"/>
    <n v="672.6"/>
  </r>
  <r>
    <x v="771"/>
    <x v="6"/>
    <x v="1"/>
    <x v="1"/>
    <n v="6"/>
    <n v="6522"/>
    <n v="502.98"/>
  </r>
  <r>
    <x v="52"/>
    <x v="8"/>
    <x v="1"/>
    <x v="2"/>
    <n v="5"/>
    <n v="1090"/>
    <n v="140.69999999999999"/>
  </r>
  <r>
    <x v="58"/>
    <x v="9"/>
    <x v="2"/>
    <x v="2"/>
    <n v="3"/>
    <n v="1737"/>
    <n v="353.17"/>
  </r>
  <r>
    <x v="729"/>
    <x v="0"/>
    <x v="0"/>
    <x v="3"/>
    <n v="9"/>
    <n v="7281"/>
    <n v="1358.17"/>
  </r>
  <r>
    <x v="740"/>
    <x v="5"/>
    <x v="2"/>
    <x v="2"/>
    <n v="9"/>
    <n v="5832"/>
    <n v="1007.54"/>
  </r>
  <r>
    <x v="1036"/>
    <x v="0"/>
    <x v="0"/>
    <x v="1"/>
    <n v="9"/>
    <n v="7020"/>
    <n v="623.97"/>
  </r>
  <r>
    <x v="606"/>
    <x v="1"/>
    <x v="1"/>
    <x v="2"/>
    <n v="3"/>
    <n v="2001"/>
    <n v="420.08"/>
  </r>
  <r>
    <x v="884"/>
    <x v="6"/>
    <x v="1"/>
    <x v="3"/>
    <n v="2"/>
    <n v="1832"/>
    <n v="489.21"/>
  </r>
  <r>
    <x v="387"/>
    <x v="5"/>
    <x v="2"/>
    <x v="1"/>
    <n v="6"/>
    <n v="3372"/>
    <n v="934.42"/>
  </r>
  <r>
    <x v="888"/>
    <x v="2"/>
    <x v="2"/>
    <x v="3"/>
    <n v="6"/>
    <n v="3384"/>
    <n v="503.86"/>
  </r>
  <r>
    <x v="1037"/>
    <x v="6"/>
    <x v="1"/>
    <x v="1"/>
    <n v="1"/>
    <n v="351"/>
    <n v="31.95"/>
  </r>
  <r>
    <x v="877"/>
    <x v="3"/>
    <x v="2"/>
    <x v="2"/>
    <n v="2"/>
    <n v="2092"/>
    <n v="549.41999999999996"/>
  </r>
  <r>
    <x v="569"/>
    <x v="6"/>
    <x v="1"/>
    <x v="2"/>
    <n v="7"/>
    <n v="1309"/>
    <n v="138.46"/>
  </r>
  <r>
    <x v="74"/>
    <x v="8"/>
    <x v="1"/>
    <x v="0"/>
    <n v="9"/>
    <n v="6696"/>
    <n v="407.36"/>
  </r>
  <r>
    <x v="464"/>
    <x v="8"/>
    <x v="1"/>
    <x v="1"/>
    <n v="5"/>
    <n v="1020"/>
    <n v="162.36000000000001"/>
  </r>
  <r>
    <x v="56"/>
    <x v="8"/>
    <x v="1"/>
    <x v="1"/>
    <n v="8"/>
    <n v="8240"/>
    <n v="2006.72"/>
  </r>
  <r>
    <x v="1038"/>
    <x v="4"/>
    <x v="1"/>
    <x v="2"/>
    <n v="9"/>
    <n v="9810"/>
    <n v="1008.6"/>
  </r>
  <r>
    <x v="616"/>
    <x v="2"/>
    <x v="2"/>
    <x v="3"/>
    <n v="1"/>
    <n v="853"/>
    <n v="97.5"/>
  </r>
  <r>
    <x v="519"/>
    <x v="3"/>
    <x v="2"/>
    <x v="1"/>
    <n v="4"/>
    <n v="4416"/>
    <n v="1081.53"/>
  </r>
  <r>
    <x v="351"/>
    <x v="4"/>
    <x v="1"/>
    <x v="0"/>
    <n v="8"/>
    <n v="3832"/>
    <n v="741.44"/>
  </r>
  <r>
    <x v="877"/>
    <x v="6"/>
    <x v="1"/>
    <x v="2"/>
    <n v="4"/>
    <n v="1876"/>
    <n v="221.18"/>
  </r>
  <r>
    <x v="685"/>
    <x v="9"/>
    <x v="2"/>
    <x v="2"/>
    <n v="3"/>
    <n v="2634"/>
    <n v="392.21"/>
  </r>
  <r>
    <x v="1039"/>
    <x v="9"/>
    <x v="2"/>
    <x v="0"/>
    <n v="1"/>
    <n v="1027"/>
    <n v="259.92"/>
  </r>
  <r>
    <x v="749"/>
    <x v="0"/>
    <x v="0"/>
    <x v="3"/>
    <n v="5"/>
    <n v="3100"/>
    <n v="911.86"/>
  </r>
  <r>
    <x v="1014"/>
    <x v="1"/>
    <x v="1"/>
    <x v="3"/>
    <n v="1"/>
    <n v="104"/>
    <n v="29.67"/>
  </r>
  <r>
    <x v="113"/>
    <x v="1"/>
    <x v="1"/>
    <x v="1"/>
    <n v="2"/>
    <n v="1590"/>
    <n v="147.19999999999999"/>
  </r>
  <r>
    <x v="671"/>
    <x v="3"/>
    <x v="2"/>
    <x v="2"/>
    <n v="4"/>
    <n v="1104"/>
    <n v="63.57"/>
  </r>
  <r>
    <x v="314"/>
    <x v="7"/>
    <x v="2"/>
    <x v="2"/>
    <n v="3"/>
    <n v="1851"/>
    <n v="198.71"/>
  </r>
  <r>
    <x v="177"/>
    <x v="7"/>
    <x v="2"/>
    <x v="2"/>
    <n v="2"/>
    <n v="1408"/>
    <n v="193.09"/>
  </r>
  <r>
    <x v="82"/>
    <x v="9"/>
    <x v="2"/>
    <x v="2"/>
    <n v="7"/>
    <n v="4641"/>
    <n v="1341.98"/>
  </r>
  <r>
    <x v="430"/>
    <x v="2"/>
    <x v="2"/>
    <x v="3"/>
    <n v="7"/>
    <n v="2611"/>
    <n v="539.37"/>
  </r>
  <r>
    <x v="64"/>
    <x v="9"/>
    <x v="2"/>
    <x v="0"/>
    <n v="4"/>
    <n v="3824"/>
    <n v="711.92"/>
  </r>
  <r>
    <x v="971"/>
    <x v="7"/>
    <x v="2"/>
    <x v="1"/>
    <n v="2"/>
    <n v="2042"/>
    <n v="501.34"/>
  </r>
  <r>
    <x v="924"/>
    <x v="2"/>
    <x v="2"/>
    <x v="0"/>
    <n v="6"/>
    <n v="6378"/>
    <n v="1408.28"/>
  </r>
  <r>
    <x v="107"/>
    <x v="3"/>
    <x v="2"/>
    <x v="1"/>
    <n v="4"/>
    <n v="4692"/>
    <n v="409.07"/>
  </r>
  <r>
    <x v="561"/>
    <x v="9"/>
    <x v="2"/>
    <x v="3"/>
    <n v="6"/>
    <n v="6234"/>
    <n v="1829.07"/>
  </r>
  <r>
    <x v="407"/>
    <x v="7"/>
    <x v="2"/>
    <x v="3"/>
    <n v="4"/>
    <n v="1852"/>
    <n v="535.07000000000005"/>
  </r>
  <r>
    <x v="272"/>
    <x v="6"/>
    <x v="1"/>
    <x v="2"/>
    <n v="3"/>
    <n v="3075"/>
    <n v="804.06"/>
  </r>
  <r>
    <x v="126"/>
    <x v="0"/>
    <x v="0"/>
    <x v="0"/>
    <n v="5"/>
    <n v="370"/>
    <n v="92.45"/>
  </r>
  <r>
    <x v="731"/>
    <x v="8"/>
    <x v="1"/>
    <x v="0"/>
    <n v="6"/>
    <n v="624"/>
    <n v="66.989999999999995"/>
  </r>
  <r>
    <x v="442"/>
    <x v="5"/>
    <x v="2"/>
    <x v="2"/>
    <n v="2"/>
    <n v="1734"/>
    <n v="310.76"/>
  </r>
  <r>
    <x v="345"/>
    <x v="0"/>
    <x v="0"/>
    <x v="3"/>
    <n v="9"/>
    <n v="2268"/>
    <n v="361.62"/>
  </r>
  <r>
    <x v="1040"/>
    <x v="3"/>
    <x v="2"/>
    <x v="1"/>
    <n v="5"/>
    <n v="3670"/>
    <n v="924.95"/>
  </r>
  <r>
    <x v="797"/>
    <x v="5"/>
    <x v="2"/>
    <x v="0"/>
    <n v="7"/>
    <n v="4634"/>
    <n v="1358.44"/>
  </r>
  <r>
    <x v="44"/>
    <x v="4"/>
    <x v="1"/>
    <x v="0"/>
    <n v="9"/>
    <n v="1440"/>
    <n v="94.41"/>
  </r>
  <r>
    <x v="832"/>
    <x v="9"/>
    <x v="2"/>
    <x v="3"/>
    <n v="6"/>
    <n v="5136"/>
    <n v="1225.4000000000001"/>
  </r>
  <r>
    <x v="775"/>
    <x v="7"/>
    <x v="2"/>
    <x v="1"/>
    <n v="1"/>
    <n v="166"/>
    <n v="31.72"/>
  </r>
  <r>
    <x v="106"/>
    <x v="8"/>
    <x v="1"/>
    <x v="1"/>
    <n v="3"/>
    <n v="1422"/>
    <n v="328.98"/>
  </r>
  <r>
    <x v="513"/>
    <x v="4"/>
    <x v="1"/>
    <x v="1"/>
    <n v="8"/>
    <n v="1832"/>
    <n v="532.97"/>
  </r>
  <r>
    <x v="952"/>
    <x v="0"/>
    <x v="0"/>
    <x v="2"/>
    <n v="1"/>
    <n v="668"/>
    <n v="94.08"/>
  </r>
  <r>
    <x v="302"/>
    <x v="3"/>
    <x v="2"/>
    <x v="3"/>
    <n v="6"/>
    <n v="1272"/>
    <n v="336.3"/>
  </r>
  <r>
    <x v="334"/>
    <x v="8"/>
    <x v="1"/>
    <x v="0"/>
    <n v="8"/>
    <n v="984"/>
    <n v="72.540000000000006"/>
  </r>
  <r>
    <x v="619"/>
    <x v="0"/>
    <x v="0"/>
    <x v="2"/>
    <n v="7"/>
    <n v="7896"/>
    <n v="484.76"/>
  </r>
  <r>
    <x v="900"/>
    <x v="7"/>
    <x v="2"/>
    <x v="0"/>
    <n v="1"/>
    <n v="636"/>
    <n v="42.4"/>
  </r>
  <r>
    <x v="613"/>
    <x v="9"/>
    <x v="2"/>
    <x v="0"/>
    <n v="3"/>
    <n v="2031"/>
    <n v="450.23"/>
  </r>
  <r>
    <x v="484"/>
    <x v="1"/>
    <x v="1"/>
    <x v="3"/>
    <n v="9"/>
    <n v="3186"/>
    <n v="483.22"/>
  </r>
  <r>
    <x v="114"/>
    <x v="4"/>
    <x v="1"/>
    <x v="2"/>
    <n v="1"/>
    <n v="134"/>
    <n v="33.119999999999997"/>
  </r>
  <r>
    <x v="448"/>
    <x v="2"/>
    <x v="2"/>
    <x v="2"/>
    <n v="5"/>
    <n v="1765"/>
    <n v="347.42"/>
  </r>
  <r>
    <x v="846"/>
    <x v="8"/>
    <x v="1"/>
    <x v="1"/>
    <n v="4"/>
    <n v="3628"/>
    <n v="717.81"/>
  </r>
  <r>
    <x v="486"/>
    <x v="6"/>
    <x v="1"/>
    <x v="3"/>
    <n v="4"/>
    <n v="1000"/>
    <n v="198.92"/>
  </r>
  <r>
    <x v="971"/>
    <x v="3"/>
    <x v="2"/>
    <x v="0"/>
    <n v="2"/>
    <n v="2134"/>
    <n v="119.89"/>
  </r>
  <r>
    <x v="40"/>
    <x v="5"/>
    <x v="2"/>
    <x v="0"/>
    <n v="7"/>
    <n v="6706"/>
    <n v="1687.22"/>
  </r>
  <r>
    <x v="327"/>
    <x v="9"/>
    <x v="2"/>
    <x v="1"/>
    <n v="3"/>
    <n v="321"/>
    <n v="72.13"/>
  </r>
  <r>
    <x v="817"/>
    <x v="3"/>
    <x v="2"/>
    <x v="2"/>
    <n v="3"/>
    <n v="3126"/>
    <n v="710.14"/>
  </r>
  <r>
    <x v="572"/>
    <x v="6"/>
    <x v="1"/>
    <x v="2"/>
    <n v="7"/>
    <n v="5446"/>
    <n v="697.21"/>
  </r>
  <r>
    <x v="772"/>
    <x v="2"/>
    <x v="2"/>
    <x v="1"/>
    <n v="1"/>
    <n v="1131"/>
    <n v="140.55000000000001"/>
  </r>
  <r>
    <x v="684"/>
    <x v="0"/>
    <x v="0"/>
    <x v="1"/>
    <n v="2"/>
    <n v="1946"/>
    <n v="141.75"/>
  </r>
  <r>
    <x v="991"/>
    <x v="9"/>
    <x v="2"/>
    <x v="0"/>
    <n v="7"/>
    <n v="6818"/>
    <n v="1348.26"/>
  </r>
  <r>
    <x v="46"/>
    <x v="7"/>
    <x v="2"/>
    <x v="1"/>
    <n v="7"/>
    <n v="2317"/>
    <n v="677.61"/>
  </r>
  <r>
    <x v="760"/>
    <x v="5"/>
    <x v="2"/>
    <x v="1"/>
    <n v="6"/>
    <n v="396"/>
    <n v="89.51"/>
  </r>
  <r>
    <x v="974"/>
    <x v="7"/>
    <x v="2"/>
    <x v="2"/>
    <n v="1"/>
    <n v="558"/>
    <n v="49.81"/>
  </r>
  <r>
    <x v="88"/>
    <x v="7"/>
    <x v="2"/>
    <x v="1"/>
    <n v="9"/>
    <n v="2034"/>
    <n v="593.13"/>
  </r>
  <r>
    <x v="1041"/>
    <x v="1"/>
    <x v="1"/>
    <x v="3"/>
    <n v="8"/>
    <n v="6080"/>
    <n v="1171.93"/>
  </r>
  <r>
    <x v="968"/>
    <x v="5"/>
    <x v="2"/>
    <x v="1"/>
    <n v="2"/>
    <n v="1378"/>
    <n v="183.1"/>
  </r>
  <r>
    <x v="117"/>
    <x v="6"/>
    <x v="1"/>
    <x v="1"/>
    <n v="3"/>
    <n v="483"/>
    <n v="120.11"/>
  </r>
  <r>
    <x v="834"/>
    <x v="8"/>
    <x v="1"/>
    <x v="2"/>
    <n v="8"/>
    <n v="7864"/>
    <n v="1615.58"/>
  </r>
  <r>
    <x v="45"/>
    <x v="0"/>
    <x v="0"/>
    <x v="0"/>
    <n v="2"/>
    <n v="1268"/>
    <n v="141.76"/>
  </r>
  <r>
    <x v="789"/>
    <x v="0"/>
    <x v="0"/>
    <x v="3"/>
    <n v="6"/>
    <n v="3774"/>
    <n v="606.94000000000005"/>
  </r>
  <r>
    <x v="991"/>
    <x v="5"/>
    <x v="2"/>
    <x v="1"/>
    <n v="9"/>
    <n v="9090"/>
    <n v="727.64"/>
  </r>
  <r>
    <x v="433"/>
    <x v="3"/>
    <x v="2"/>
    <x v="0"/>
    <n v="5"/>
    <n v="3720"/>
    <n v="1077.21"/>
  </r>
  <r>
    <x v="1042"/>
    <x v="7"/>
    <x v="2"/>
    <x v="1"/>
    <n v="8"/>
    <n v="8896"/>
    <n v="1825.26"/>
  </r>
  <r>
    <x v="244"/>
    <x v="1"/>
    <x v="1"/>
    <x v="2"/>
    <n v="4"/>
    <n v="3264"/>
    <n v="639.79999999999995"/>
  </r>
  <r>
    <x v="956"/>
    <x v="0"/>
    <x v="0"/>
    <x v="3"/>
    <n v="2"/>
    <n v="146"/>
    <n v="15.48"/>
  </r>
  <r>
    <x v="603"/>
    <x v="4"/>
    <x v="1"/>
    <x v="1"/>
    <n v="3"/>
    <n v="1683"/>
    <n v="129.63999999999999"/>
  </r>
  <r>
    <x v="135"/>
    <x v="3"/>
    <x v="2"/>
    <x v="3"/>
    <n v="7"/>
    <n v="6076"/>
    <n v="788.14"/>
  </r>
  <r>
    <x v="431"/>
    <x v="5"/>
    <x v="2"/>
    <x v="3"/>
    <n v="2"/>
    <n v="2388"/>
    <n v="492.54"/>
  </r>
  <r>
    <x v="398"/>
    <x v="7"/>
    <x v="2"/>
    <x v="1"/>
    <n v="6"/>
    <n v="882"/>
    <n v="180.63"/>
  </r>
  <r>
    <x v="918"/>
    <x v="9"/>
    <x v="2"/>
    <x v="3"/>
    <n v="3"/>
    <n v="3561"/>
    <n v="206.87"/>
  </r>
  <r>
    <x v="836"/>
    <x v="2"/>
    <x v="2"/>
    <x v="1"/>
    <n v="7"/>
    <n v="3395"/>
    <n v="350.26"/>
  </r>
  <r>
    <x v="429"/>
    <x v="7"/>
    <x v="2"/>
    <x v="2"/>
    <n v="6"/>
    <n v="3366"/>
    <n v="460.75"/>
  </r>
  <r>
    <x v="860"/>
    <x v="1"/>
    <x v="1"/>
    <x v="1"/>
    <n v="2"/>
    <n v="630"/>
    <n v="144.13999999999999"/>
  </r>
  <r>
    <x v="63"/>
    <x v="3"/>
    <x v="2"/>
    <x v="2"/>
    <n v="1"/>
    <n v="440"/>
    <n v="34.74"/>
  </r>
  <r>
    <x v="807"/>
    <x v="5"/>
    <x v="2"/>
    <x v="1"/>
    <n v="6"/>
    <n v="6462"/>
    <n v="1466.15"/>
  </r>
  <r>
    <x v="343"/>
    <x v="6"/>
    <x v="1"/>
    <x v="2"/>
    <n v="6"/>
    <n v="5004"/>
    <n v="1197.3599999999999"/>
  </r>
  <r>
    <x v="93"/>
    <x v="9"/>
    <x v="2"/>
    <x v="2"/>
    <n v="8"/>
    <n v="1840"/>
    <n v="461.21"/>
  </r>
  <r>
    <x v="785"/>
    <x v="2"/>
    <x v="2"/>
    <x v="2"/>
    <n v="7"/>
    <n v="4466"/>
    <n v="763.14"/>
  </r>
  <r>
    <x v="289"/>
    <x v="2"/>
    <x v="2"/>
    <x v="2"/>
    <n v="6"/>
    <n v="3048"/>
    <n v="823.36"/>
  </r>
  <r>
    <x v="202"/>
    <x v="1"/>
    <x v="1"/>
    <x v="2"/>
    <n v="7"/>
    <n v="4977"/>
    <n v="516.70000000000005"/>
  </r>
  <r>
    <x v="595"/>
    <x v="8"/>
    <x v="1"/>
    <x v="2"/>
    <n v="3"/>
    <n v="2010"/>
    <n v="387.31"/>
  </r>
  <r>
    <x v="1043"/>
    <x v="3"/>
    <x v="2"/>
    <x v="2"/>
    <n v="8"/>
    <n v="5352"/>
    <n v="1133.57"/>
  </r>
  <r>
    <x v="737"/>
    <x v="3"/>
    <x v="2"/>
    <x v="0"/>
    <n v="4"/>
    <n v="4136"/>
    <n v="294.20999999999998"/>
  </r>
  <r>
    <x v="881"/>
    <x v="3"/>
    <x v="2"/>
    <x v="3"/>
    <n v="8"/>
    <n v="6336"/>
    <n v="439.42"/>
  </r>
  <r>
    <x v="687"/>
    <x v="9"/>
    <x v="2"/>
    <x v="1"/>
    <n v="9"/>
    <n v="5481"/>
    <n v="1540.75"/>
  </r>
  <r>
    <x v="478"/>
    <x v="3"/>
    <x v="2"/>
    <x v="3"/>
    <n v="6"/>
    <n v="6366"/>
    <n v="318.97000000000003"/>
  </r>
  <r>
    <x v="39"/>
    <x v="0"/>
    <x v="0"/>
    <x v="3"/>
    <n v="1"/>
    <n v="623"/>
    <n v="81.239999999999995"/>
  </r>
  <r>
    <x v="888"/>
    <x v="1"/>
    <x v="1"/>
    <x v="2"/>
    <n v="3"/>
    <n v="237"/>
    <n v="49.94"/>
  </r>
  <r>
    <x v="1014"/>
    <x v="8"/>
    <x v="1"/>
    <x v="0"/>
    <n v="9"/>
    <n v="8370"/>
    <n v="1525.8"/>
  </r>
  <r>
    <x v="832"/>
    <x v="4"/>
    <x v="1"/>
    <x v="2"/>
    <n v="5"/>
    <n v="4965"/>
    <n v="774.74"/>
  </r>
  <r>
    <x v="218"/>
    <x v="3"/>
    <x v="2"/>
    <x v="2"/>
    <n v="7"/>
    <n v="7791"/>
    <n v="1844.69"/>
  </r>
  <r>
    <x v="158"/>
    <x v="7"/>
    <x v="2"/>
    <x v="3"/>
    <n v="1"/>
    <n v="158"/>
    <n v="32.89"/>
  </r>
  <r>
    <x v="604"/>
    <x v="8"/>
    <x v="1"/>
    <x v="3"/>
    <n v="7"/>
    <n v="4347"/>
    <n v="712.79"/>
  </r>
  <r>
    <x v="922"/>
    <x v="7"/>
    <x v="2"/>
    <x v="1"/>
    <n v="4"/>
    <n v="3364"/>
    <n v="527.28"/>
  </r>
  <r>
    <x v="587"/>
    <x v="3"/>
    <x v="2"/>
    <x v="2"/>
    <n v="3"/>
    <n v="1098"/>
    <n v="77.81"/>
  </r>
  <r>
    <x v="92"/>
    <x v="4"/>
    <x v="1"/>
    <x v="3"/>
    <n v="3"/>
    <n v="1083"/>
    <n v="257.44"/>
  </r>
  <r>
    <x v="693"/>
    <x v="9"/>
    <x v="2"/>
    <x v="1"/>
    <n v="4"/>
    <n v="1628"/>
    <n v="314.95999999999998"/>
  </r>
  <r>
    <x v="422"/>
    <x v="8"/>
    <x v="1"/>
    <x v="2"/>
    <n v="4"/>
    <n v="1472"/>
    <n v="387.27"/>
  </r>
  <r>
    <x v="49"/>
    <x v="0"/>
    <x v="0"/>
    <x v="3"/>
    <n v="9"/>
    <n v="3753"/>
    <n v="1114.8699999999999"/>
  </r>
  <r>
    <x v="237"/>
    <x v="6"/>
    <x v="1"/>
    <x v="2"/>
    <n v="6"/>
    <n v="6402"/>
    <n v="1602.79"/>
  </r>
  <r>
    <x v="57"/>
    <x v="6"/>
    <x v="1"/>
    <x v="3"/>
    <n v="3"/>
    <n v="2565"/>
    <n v="510.73"/>
  </r>
  <r>
    <x v="941"/>
    <x v="1"/>
    <x v="1"/>
    <x v="2"/>
    <n v="3"/>
    <n v="2214"/>
    <n v="127.34"/>
  </r>
  <r>
    <x v="821"/>
    <x v="6"/>
    <x v="1"/>
    <x v="3"/>
    <n v="3"/>
    <n v="975"/>
    <n v="291.81"/>
  </r>
  <r>
    <x v="662"/>
    <x v="0"/>
    <x v="0"/>
    <x v="1"/>
    <n v="8"/>
    <n v="3312"/>
    <n v="854.12"/>
  </r>
  <r>
    <x v="305"/>
    <x v="0"/>
    <x v="0"/>
    <x v="1"/>
    <n v="1"/>
    <n v="267"/>
    <n v="41.85"/>
  </r>
  <r>
    <x v="721"/>
    <x v="7"/>
    <x v="2"/>
    <x v="1"/>
    <n v="9"/>
    <n v="8145"/>
    <n v="2384.42"/>
  </r>
  <r>
    <x v="1044"/>
    <x v="0"/>
    <x v="0"/>
    <x v="0"/>
    <n v="1"/>
    <n v="232"/>
    <n v="34.26"/>
  </r>
  <r>
    <x v="258"/>
    <x v="7"/>
    <x v="2"/>
    <x v="0"/>
    <n v="3"/>
    <n v="300"/>
    <n v="38.44"/>
  </r>
  <r>
    <x v="1045"/>
    <x v="6"/>
    <x v="1"/>
    <x v="1"/>
    <n v="2"/>
    <n v="2248"/>
    <n v="473.21"/>
  </r>
  <r>
    <x v="14"/>
    <x v="6"/>
    <x v="1"/>
    <x v="0"/>
    <n v="6"/>
    <n v="1614"/>
    <n v="166.62"/>
  </r>
  <r>
    <x v="806"/>
    <x v="6"/>
    <x v="1"/>
    <x v="3"/>
    <n v="2"/>
    <n v="1476"/>
    <n v="195.74"/>
  </r>
  <r>
    <x v="1046"/>
    <x v="0"/>
    <x v="0"/>
    <x v="2"/>
    <n v="5"/>
    <n v="4375"/>
    <n v="347.43"/>
  </r>
  <r>
    <x v="465"/>
    <x v="5"/>
    <x v="2"/>
    <x v="0"/>
    <n v="4"/>
    <n v="1064"/>
    <n v="263.48"/>
  </r>
  <r>
    <x v="394"/>
    <x v="4"/>
    <x v="1"/>
    <x v="0"/>
    <n v="6"/>
    <n v="1068"/>
    <n v="190.77"/>
  </r>
  <r>
    <x v="232"/>
    <x v="8"/>
    <x v="1"/>
    <x v="1"/>
    <n v="1"/>
    <n v="190"/>
    <n v="27.43"/>
  </r>
  <r>
    <x v="777"/>
    <x v="0"/>
    <x v="0"/>
    <x v="2"/>
    <n v="7"/>
    <n v="7868"/>
    <n v="862.38"/>
  </r>
  <r>
    <x v="353"/>
    <x v="8"/>
    <x v="1"/>
    <x v="0"/>
    <n v="3"/>
    <n v="1239"/>
    <n v="143.35"/>
  </r>
  <r>
    <x v="593"/>
    <x v="6"/>
    <x v="1"/>
    <x v="1"/>
    <n v="2"/>
    <n v="1394"/>
    <n v="408.32"/>
  </r>
  <r>
    <x v="725"/>
    <x v="7"/>
    <x v="2"/>
    <x v="0"/>
    <n v="5"/>
    <n v="2060"/>
    <n v="403.19"/>
  </r>
  <r>
    <x v="636"/>
    <x v="9"/>
    <x v="2"/>
    <x v="1"/>
    <n v="1"/>
    <n v="1060"/>
    <n v="57.26"/>
  </r>
  <r>
    <x v="1047"/>
    <x v="6"/>
    <x v="1"/>
    <x v="0"/>
    <n v="7"/>
    <n v="7812"/>
    <n v="1478.43"/>
  </r>
  <r>
    <x v="373"/>
    <x v="3"/>
    <x v="2"/>
    <x v="0"/>
    <n v="7"/>
    <n v="7077"/>
    <n v="804.15"/>
  </r>
  <r>
    <x v="174"/>
    <x v="7"/>
    <x v="2"/>
    <x v="3"/>
    <n v="7"/>
    <n v="5712"/>
    <n v="929.42"/>
  </r>
  <r>
    <x v="357"/>
    <x v="0"/>
    <x v="0"/>
    <x v="0"/>
    <n v="6"/>
    <n v="4146"/>
    <n v="966.79"/>
  </r>
  <r>
    <x v="113"/>
    <x v="2"/>
    <x v="2"/>
    <x v="3"/>
    <n v="2"/>
    <n v="992"/>
    <n v="238.18"/>
  </r>
  <r>
    <x v="110"/>
    <x v="5"/>
    <x v="2"/>
    <x v="0"/>
    <n v="2"/>
    <n v="1756"/>
    <n v="165.6"/>
  </r>
  <r>
    <x v="32"/>
    <x v="6"/>
    <x v="1"/>
    <x v="3"/>
    <n v="4"/>
    <n v="3632"/>
    <n v="566.80999999999995"/>
  </r>
  <r>
    <x v="515"/>
    <x v="4"/>
    <x v="1"/>
    <x v="1"/>
    <n v="4"/>
    <n v="3912"/>
    <n v="550.09"/>
  </r>
  <r>
    <x v="130"/>
    <x v="0"/>
    <x v="0"/>
    <x v="0"/>
    <n v="9"/>
    <n v="3123"/>
    <n v="741.23"/>
  </r>
  <r>
    <x v="1048"/>
    <x v="0"/>
    <x v="0"/>
    <x v="3"/>
    <n v="4"/>
    <n v="700"/>
    <n v="120.19"/>
  </r>
  <r>
    <x v="592"/>
    <x v="2"/>
    <x v="2"/>
    <x v="2"/>
    <n v="8"/>
    <n v="408"/>
    <n v="83.16"/>
  </r>
  <r>
    <x v="675"/>
    <x v="7"/>
    <x v="2"/>
    <x v="2"/>
    <n v="4"/>
    <n v="4056"/>
    <n v="768.81"/>
  </r>
  <r>
    <x v="517"/>
    <x v="9"/>
    <x v="2"/>
    <x v="3"/>
    <n v="1"/>
    <n v="770"/>
    <n v="121.75"/>
  </r>
  <r>
    <x v="736"/>
    <x v="5"/>
    <x v="2"/>
    <x v="0"/>
    <n v="3"/>
    <n v="531"/>
    <n v="73.349999999999994"/>
  </r>
  <r>
    <x v="937"/>
    <x v="6"/>
    <x v="1"/>
    <x v="2"/>
    <n v="5"/>
    <n v="280"/>
    <n v="79.77"/>
  </r>
  <r>
    <x v="330"/>
    <x v="9"/>
    <x v="2"/>
    <x v="1"/>
    <n v="7"/>
    <n v="4550"/>
    <n v="892.73"/>
  </r>
  <r>
    <x v="529"/>
    <x v="5"/>
    <x v="2"/>
    <x v="3"/>
    <n v="5"/>
    <n v="2480"/>
    <n v="601.66"/>
  </r>
  <r>
    <x v="531"/>
    <x v="0"/>
    <x v="0"/>
    <x v="3"/>
    <n v="6"/>
    <n v="2604"/>
    <n v="305.73"/>
  </r>
  <r>
    <x v="543"/>
    <x v="8"/>
    <x v="1"/>
    <x v="3"/>
    <n v="7"/>
    <n v="1351"/>
    <n v="310.02999999999997"/>
  </r>
  <r>
    <x v="647"/>
    <x v="6"/>
    <x v="1"/>
    <x v="2"/>
    <n v="5"/>
    <n v="4615"/>
    <n v="251"/>
  </r>
  <r>
    <x v="122"/>
    <x v="1"/>
    <x v="1"/>
    <x v="3"/>
    <n v="1"/>
    <n v="829"/>
    <n v="165.05"/>
  </r>
  <r>
    <x v="878"/>
    <x v="3"/>
    <x v="2"/>
    <x v="3"/>
    <n v="3"/>
    <n v="177"/>
    <n v="43.41"/>
  </r>
  <r>
    <x v="717"/>
    <x v="4"/>
    <x v="1"/>
    <x v="3"/>
    <n v="1"/>
    <n v="1086"/>
    <n v="161.05000000000001"/>
  </r>
  <r>
    <x v="621"/>
    <x v="9"/>
    <x v="2"/>
    <x v="2"/>
    <n v="5"/>
    <n v="275"/>
    <n v="64.900000000000006"/>
  </r>
  <r>
    <x v="787"/>
    <x v="1"/>
    <x v="1"/>
    <x v="0"/>
    <n v="1"/>
    <n v="564"/>
    <n v="164.5"/>
  </r>
  <r>
    <x v="884"/>
    <x v="8"/>
    <x v="1"/>
    <x v="2"/>
    <n v="2"/>
    <n v="684"/>
    <n v="71.39"/>
  </r>
  <r>
    <x v="85"/>
    <x v="9"/>
    <x v="2"/>
    <x v="2"/>
    <n v="4"/>
    <n v="2656"/>
    <n v="687.63"/>
  </r>
  <r>
    <x v="681"/>
    <x v="9"/>
    <x v="2"/>
    <x v="3"/>
    <n v="5"/>
    <n v="1190"/>
    <n v="346.79"/>
  </r>
  <r>
    <x v="84"/>
    <x v="0"/>
    <x v="0"/>
    <x v="2"/>
    <n v="6"/>
    <n v="4854"/>
    <n v="510.88"/>
  </r>
  <r>
    <x v="921"/>
    <x v="0"/>
    <x v="0"/>
    <x v="3"/>
    <n v="5"/>
    <n v="1060"/>
    <n v="217.96"/>
  </r>
  <r>
    <x v="557"/>
    <x v="9"/>
    <x v="2"/>
    <x v="2"/>
    <n v="3"/>
    <n v="1527"/>
    <n v="364.05"/>
  </r>
  <r>
    <x v="668"/>
    <x v="1"/>
    <x v="1"/>
    <x v="1"/>
    <n v="4"/>
    <n v="1168"/>
    <n v="177.54"/>
  </r>
  <r>
    <x v="498"/>
    <x v="2"/>
    <x v="2"/>
    <x v="2"/>
    <n v="8"/>
    <n v="6328"/>
    <n v="1257.81"/>
  </r>
  <r>
    <x v="373"/>
    <x v="7"/>
    <x v="2"/>
    <x v="0"/>
    <n v="3"/>
    <n v="2193"/>
    <n v="477.95"/>
  </r>
  <r>
    <x v="869"/>
    <x v="5"/>
    <x v="2"/>
    <x v="1"/>
    <n v="8"/>
    <n v="7600"/>
    <n v="1099.8800000000001"/>
  </r>
  <r>
    <x v="745"/>
    <x v="0"/>
    <x v="0"/>
    <x v="3"/>
    <n v="9"/>
    <n v="1764"/>
    <n v="322.11"/>
  </r>
  <r>
    <x v="696"/>
    <x v="8"/>
    <x v="1"/>
    <x v="1"/>
    <n v="2"/>
    <n v="1270"/>
    <n v="84.29"/>
  </r>
  <r>
    <x v="304"/>
    <x v="2"/>
    <x v="2"/>
    <x v="0"/>
    <n v="1"/>
    <n v="607"/>
    <n v="33.770000000000003"/>
  </r>
  <r>
    <x v="580"/>
    <x v="1"/>
    <x v="1"/>
    <x v="2"/>
    <n v="2"/>
    <n v="1672"/>
    <n v="469.64"/>
  </r>
  <r>
    <x v="360"/>
    <x v="8"/>
    <x v="1"/>
    <x v="2"/>
    <n v="6"/>
    <n v="5718"/>
    <n v="1358.26"/>
  </r>
  <r>
    <x v="881"/>
    <x v="4"/>
    <x v="1"/>
    <x v="2"/>
    <n v="8"/>
    <n v="584"/>
    <n v="107.27"/>
  </r>
  <r>
    <x v="650"/>
    <x v="3"/>
    <x v="2"/>
    <x v="3"/>
    <n v="7"/>
    <n v="7455"/>
    <n v="966.64"/>
  </r>
  <r>
    <x v="219"/>
    <x v="8"/>
    <x v="1"/>
    <x v="0"/>
    <n v="7"/>
    <n v="7679"/>
    <n v="2270.08"/>
  </r>
  <r>
    <x v="928"/>
    <x v="2"/>
    <x v="2"/>
    <x v="3"/>
    <n v="7"/>
    <n v="847"/>
    <n v="154.05000000000001"/>
  </r>
  <r>
    <x v="462"/>
    <x v="1"/>
    <x v="1"/>
    <x v="3"/>
    <n v="3"/>
    <n v="1278"/>
    <n v="178.78"/>
  </r>
  <r>
    <x v="184"/>
    <x v="8"/>
    <x v="1"/>
    <x v="1"/>
    <n v="8"/>
    <n v="6592"/>
    <n v="1024.82"/>
  </r>
  <r>
    <x v="280"/>
    <x v="6"/>
    <x v="1"/>
    <x v="1"/>
    <n v="8"/>
    <n v="3544"/>
    <n v="454.14"/>
  </r>
  <r>
    <x v="453"/>
    <x v="3"/>
    <x v="2"/>
    <x v="3"/>
    <n v="3"/>
    <n v="1959"/>
    <n v="274.27"/>
  </r>
  <r>
    <x v="382"/>
    <x v="1"/>
    <x v="1"/>
    <x v="2"/>
    <n v="6"/>
    <n v="3384"/>
    <n v="924.03"/>
  </r>
  <r>
    <x v="574"/>
    <x v="7"/>
    <x v="2"/>
    <x v="0"/>
    <n v="1"/>
    <n v="307"/>
    <n v="50.2"/>
  </r>
  <r>
    <x v="559"/>
    <x v="3"/>
    <x v="2"/>
    <x v="3"/>
    <n v="9"/>
    <n v="10017"/>
    <n v="1468.72"/>
  </r>
  <r>
    <x v="143"/>
    <x v="2"/>
    <x v="2"/>
    <x v="2"/>
    <n v="7"/>
    <n v="7931"/>
    <n v="504.39"/>
  </r>
  <r>
    <x v="836"/>
    <x v="9"/>
    <x v="2"/>
    <x v="0"/>
    <n v="2"/>
    <n v="1168"/>
    <n v="198.4"/>
  </r>
  <r>
    <x v="740"/>
    <x v="7"/>
    <x v="2"/>
    <x v="2"/>
    <n v="9"/>
    <n v="9765"/>
    <n v="909.99"/>
  </r>
  <r>
    <x v="630"/>
    <x v="2"/>
    <x v="2"/>
    <x v="2"/>
    <n v="8"/>
    <n v="1456"/>
    <n v="271.26"/>
  </r>
  <r>
    <x v="815"/>
    <x v="7"/>
    <x v="2"/>
    <x v="2"/>
    <n v="5"/>
    <n v="950"/>
    <n v="61.9"/>
  </r>
  <r>
    <x v="839"/>
    <x v="5"/>
    <x v="2"/>
    <x v="3"/>
    <n v="2"/>
    <n v="2314"/>
    <n v="600.76"/>
  </r>
  <r>
    <x v="1049"/>
    <x v="5"/>
    <x v="2"/>
    <x v="0"/>
    <n v="1"/>
    <n v="915"/>
    <n v="264.3"/>
  </r>
  <r>
    <x v="521"/>
    <x v="9"/>
    <x v="2"/>
    <x v="0"/>
    <n v="1"/>
    <n v="290"/>
    <n v="61.14"/>
  </r>
  <r>
    <x v="147"/>
    <x v="2"/>
    <x v="2"/>
    <x v="0"/>
    <n v="7"/>
    <n v="3584"/>
    <n v="940.88"/>
  </r>
  <r>
    <x v="117"/>
    <x v="1"/>
    <x v="1"/>
    <x v="3"/>
    <n v="6"/>
    <n v="1254"/>
    <n v="205.57"/>
  </r>
  <r>
    <x v="955"/>
    <x v="9"/>
    <x v="2"/>
    <x v="0"/>
    <n v="5"/>
    <n v="2410"/>
    <n v="636.83000000000004"/>
  </r>
  <r>
    <x v="487"/>
    <x v="0"/>
    <x v="0"/>
    <x v="0"/>
    <n v="2"/>
    <n v="800"/>
    <n v="118.68"/>
  </r>
  <r>
    <x v="620"/>
    <x v="5"/>
    <x v="2"/>
    <x v="3"/>
    <n v="5"/>
    <n v="990"/>
    <n v="87.61"/>
  </r>
  <r>
    <x v="654"/>
    <x v="9"/>
    <x v="2"/>
    <x v="3"/>
    <n v="9"/>
    <n v="9702"/>
    <n v="2771.49"/>
  </r>
  <r>
    <x v="339"/>
    <x v="8"/>
    <x v="1"/>
    <x v="1"/>
    <n v="8"/>
    <n v="5888"/>
    <n v="354.27"/>
  </r>
  <r>
    <x v="39"/>
    <x v="2"/>
    <x v="2"/>
    <x v="1"/>
    <n v="4"/>
    <n v="1768"/>
    <n v="345.33"/>
  </r>
  <r>
    <x v="1041"/>
    <x v="4"/>
    <x v="1"/>
    <x v="0"/>
    <n v="2"/>
    <n v="1022"/>
    <n v="76.040000000000006"/>
  </r>
  <r>
    <x v="963"/>
    <x v="2"/>
    <x v="2"/>
    <x v="0"/>
    <n v="3"/>
    <n v="2883"/>
    <n v="671.91"/>
  </r>
  <r>
    <x v="831"/>
    <x v="6"/>
    <x v="1"/>
    <x v="0"/>
    <n v="4"/>
    <n v="4064"/>
    <n v="771.16"/>
  </r>
  <r>
    <x v="1026"/>
    <x v="6"/>
    <x v="1"/>
    <x v="1"/>
    <n v="1"/>
    <n v="1117"/>
    <n v="119.89"/>
  </r>
  <r>
    <x v="1050"/>
    <x v="9"/>
    <x v="2"/>
    <x v="2"/>
    <n v="4"/>
    <n v="260"/>
    <n v="66.02"/>
  </r>
  <r>
    <x v="842"/>
    <x v="0"/>
    <x v="0"/>
    <x v="2"/>
    <n v="3"/>
    <n v="222"/>
    <n v="50.28"/>
  </r>
  <r>
    <x v="252"/>
    <x v="5"/>
    <x v="2"/>
    <x v="1"/>
    <n v="9"/>
    <n v="10530"/>
    <n v="1777.3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00">
  <r>
    <d v="2024-12-31T00:00:00"/>
    <x v="0"/>
    <s v="Office"/>
    <s v="North"/>
    <n v="4"/>
    <n v="3640"/>
  </r>
  <r>
    <d v="2022-11-27T00:00:00"/>
    <x v="1"/>
    <s v="Accessories"/>
    <s v="East"/>
    <n v="7"/>
    <n v="1197"/>
  </r>
  <r>
    <d v="2022-05-11T00:00:00"/>
    <x v="2"/>
    <s v="Electronics"/>
    <s v="South"/>
    <n v="5"/>
    <n v="5865"/>
  </r>
  <r>
    <d v="2024-03-16T00:00:00"/>
    <x v="1"/>
    <s v="Accessories"/>
    <s v="South"/>
    <n v="2"/>
    <n v="786"/>
  </r>
  <r>
    <d v="2022-09-10T00:00:00"/>
    <x v="1"/>
    <s v="Accessories"/>
    <s v="West"/>
    <n v="1"/>
    <n v="509"/>
  </r>
  <r>
    <d v="2023-12-01T00:00:00"/>
    <x v="3"/>
    <s v="Electronics"/>
    <s v="West"/>
    <n v="1"/>
    <n v="524"/>
  </r>
  <r>
    <d v="2023-10-09T00:00:00"/>
    <x v="4"/>
    <s v="Accessories"/>
    <s v="North"/>
    <n v="7"/>
    <n v="6167"/>
  </r>
  <r>
    <d v="2022-01-14T00:00:00"/>
    <x v="3"/>
    <s v="Electronics"/>
    <s v="South"/>
    <n v="7"/>
    <n v="3059"/>
  </r>
  <r>
    <d v="2022-04-02T00:00:00"/>
    <x v="5"/>
    <s v="Electronics"/>
    <s v="East"/>
    <n v="9"/>
    <n v="5526"/>
  </r>
  <r>
    <d v="2024-10-22T00:00:00"/>
    <x v="0"/>
    <s v="Office"/>
    <s v="South"/>
    <n v="8"/>
    <n v="672"/>
  </r>
  <r>
    <d v="2023-12-04T00:00:00"/>
    <x v="6"/>
    <s v="Accessories"/>
    <s v="South"/>
    <n v="6"/>
    <n v="0"/>
  </r>
  <r>
    <d v="2022-09-27T00:00:00"/>
    <x v="5"/>
    <s v="Electronics"/>
    <s v="East"/>
    <n v="2"/>
    <n v="502"/>
  </r>
  <r>
    <d v="2023-12-21T00:00:00"/>
    <x v="2"/>
    <s v="Electronics"/>
    <s v="North"/>
    <n v="7"/>
    <n v="7462"/>
  </r>
  <r>
    <d v="2024-02-03T00:00:00"/>
    <x v="7"/>
    <s v="Electronics"/>
    <s v="West"/>
    <n v="5"/>
    <n v="4205"/>
  </r>
  <r>
    <d v="2023-10-10T00:00:00"/>
    <x v="3"/>
    <s v="Electronics"/>
    <s v="West"/>
    <n v="1"/>
    <n v="570"/>
  </r>
  <r>
    <d v="2022-10-16T00:00:00"/>
    <x v="4"/>
    <s v="Accessories"/>
    <s v="East"/>
    <n v="1"/>
    <n v="441"/>
  </r>
  <r>
    <d v="2022-05-15T00:00:00"/>
    <x v="1"/>
    <s v="Accessories"/>
    <s v="North"/>
    <n v="7"/>
    <n v="7469"/>
  </r>
  <r>
    <d v="2023-02-11T00:00:00"/>
    <x v="2"/>
    <s v="Electronics"/>
    <s v="South"/>
    <n v="2"/>
    <n v="2212"/>
  </r>
  <r>
    <d v="2023-12-27T00:00:00"/>
    <x v="2"/>
    <s v="Electronics"/>
    <s v="East"/>
    <n v="5"/>
    <n v="740"/>
  </r>
  <r>
    <d v="2023-10-05T00:00:00"/>
    <x v="4"/>
    <s v="Accessories"/>
    <s v="North"/>
    <n v="1"/>
    <n v="662"/>
  </r>
  <r>
    <d v="2024-03-05T00:00:00"/>
    <x v="1"/>
    <s v="Accessories"/>
    <s v="North"/>
    <n v="7"/>
    <n v="5712"/>
  </r>
  <r>
    <d v="2023-07-18T00:00:00"/>
    <x v="5"/>
    <s v="Electronics"/>
    <s v="North"/>
    <n v="3"/>
    <n v="2739"/>
  </r>
  <r>
    <d v="2023-06-25T00:00:00"/>
    <x v="8"/>
    <s v="Accessories"/>
    <s v="West"/>
    <n v="5"/>
    <n v="1400"/>
  </r>
  <r>
    <d v="2023-11-13T00:00:00"/>
    <x v="0"/>
    <s v="Office"/>
    <s v="North"/>
    <n v="3"/>
    <n v="3477"/>
  </r>
  <r>
    <d v="2022-07-09T00:00:00"/>
    <x v="3"/>
    <s v="Electronics"/>
    <s v="North"/>
    <n v="5"/>
    <n v="3475"/>
  </r>
  <r>
    <d v="2023-12-11T00:00:00"/>
    <x v="9"/>
    <s v="Electronics"/>
    <s v="West"/>
    <n v="9"/>
    <n v="6138"/>
  </r>
  <r>
    <d v="2023-03-18T00:00:00"/>
    <x v="3"/>
    <s v="Electronics"/>
    <s v="West"/>
    <n v="5"/>
    <n v="3665"/>
  </r>
  <r>
    <d v="2024-08-09T00:00:00"/>
    <x v="0"/>
    <s v="Office"/>
    <s v="North"/>
    <n v="2"/>
    <n v="2372"/>
  </r>
  <r>
    <d v="2024-05-04T00:00:00"/>
    <x v="9"/>
    <s v="Electronics"/>
    <s v="North"/>
    <n v="2"/>
    <n v="1382"/>
  </r>
  <r>
    <d v="2022-09-04T00:00:00"/>
    <x v="9"/>
    <s v="Electronics"/>
    <s v="West"/>
    <n v="1"/>
    <n v="1126"/>
  </r>
  <r>
    <d v="2022-10-21T00:00:00"/>
    <x v="0"/>
    <s v="Office"/>
    <s v="West"/>
    <n v="8"/>
    <n v="1376"/>
  </r>
  <r>
    <d v="2024-01-22T00:00:00"/>
    <x v="1"/>
    <s v="Accessories"/>
    <s v="West"/>
    <n v="4"/>
    <n v="988"/>
  </r>
  <r>
    <d v="2023-04-09T00:00:00"/>
    <x v="9"/>
    <s v="Electronics"/>
    <s v="North"/>
    <n v="9"/>
    <n v="10773"/>
  </r>
  <r>
    <d v="2023-02-07T00:00:00"/>
    <x v="4"/>
    <s v="Accessories"/>
    <s v="South"/>
    <n v="4"/>
    <n v="3252"/>
  </r>
  <r>
    <d v="2023-05-04T00:00:00"/>
    <x v="4"/>
    <s v="Accessories"/>
    <s v="North"/>
    <n v="3"/>
    <n v="2739"/>
  </r>
  <r>
    <d v="2023-04-18T00:00:00"/>
    <x v="2"/>
    <s v="Electronics"/>
    <s v="South"/>
    <n v="7"/>
    <n v="2709"/>
  </r>
  <r>
    <d v="2022-12-12T00:00:00"/>
    <x v="0"/>
    <s v="Office"/>
    <s v="West"/>
    <n v="3"/>
    <n v="936"/>
  </r>
  <r>
    <d v="2022-09-11T00:00:00"/>
    <x v="3"/>
    <s v="Electronics"/>
    <s v="West"/>
    <n v="4"/>
    <n v="3720"/>
  </r>
  <r>
    <d v="2024-03-26T00:00:00"/>
    <x v="1"/>
    <s v="Accessories"/>
    <s v="West"/>
    <n v="5"/>
    <n v="5320"/>
  </r>
  <r>
    <d v="2023-09-20T00:00:00"/>
    <x v="4"/>
    <s v="Accessories"/>
    <s v="East"/>
    <n v="4"/>
    <n v="804"/>
  </r>
  <r>
    <d v="2023-05-25T00:00:00"/>
    <x v="9"/>
    <s v="Electronics"/>
    <s v="North"/>
    <n v="8"/>
    <n v="1224"/>
  </r>
  <r>
    <d v="2022-12-04T00:00:00"/>
    <x v="4"/>
    <s v="Accessories"/>
    <s v="South"/>
    <n v="9"/>
    <n v="8667"/>
  </r>
  <r>
    <d v="2022-06-10T00:00:00"/>
    <x v="6"/>
    <s v="Accessories"/>
    <s v="West"/>
    <n v="3"/>
    <n v="3018"/>
  </r>
  <r>
    <d v="2023-02-05T00:00:00"/>
    <x v="9"/>
    <s v="Electronics"/>
    <s v="West"/>
    <n v="5"/>
    <n v="4325"/>
  </r>
  <r>
    <d v="2024-01-20T00:00:00"/>
    <x v="9"/>
    <s v="Electronics"/>
    <s v="South"/>
    <n v="3"/>
    <n v="1557"/>
  </r>
  <r>
    <d v="2022-01-27T00:00:00"/>
    <x v="6"/>
    <s v="Accessories"/>
    <s v="South"/>
    <n v="6"/>
    <n v="3672"/>
  </r>
  <r>
    <d v="2023-03-29T00:00:00"/>
    <x v="1"/>
    <s v="Accessories"/>
    <s v="West"/>
    <n v="1"/>
    <n v="333"/>
  </r>
  <r>
    <d v="2022-01-17T00:00:00"/>
    <x v="4"/>
    <s v="Accessories"/>
    <s v="West"/>
    <n v="4"/>
    <n v="2384"/>
  </r>
  <r>
    <d v="2024-11-26T00:00:00"/>
    <x v="1"/>
    <s v="Accessories"/>
    <s v="West"/>
    <n v="6"/>
    <n v="888"/>
  </r>
  <r>
    <d v="2024-09-19T00:00:00"/>
    <x v="9"/>
    <s v="Electronics"/>
    <s v="West"/>
    <n v="5"/>
    <n v="3280"/>
  </r>
  <r>
    <d v="2023-07-20T00:00:00"/>
    <x v="1"/>
    <s v="Accessories"/>
    <s v="South"/>
    <n v="7"/>
    <n v="1239"/>
  </r>
  <r>
    <d v="2024-05-03T00:00:00"/>
    <x v="4"/>
    <s v="Accessories"/>
    <s v="East"/>
    <n v="8"/>
    <n v="5880"/>
  </r>
  <r>
    <d v="2022-09-03T00:00:00"/>
    <x v="7"/>
    <s v="Electronics"/>
    <s v="West"/>
    <n v="2"/>
    <n v="1668"/>
  </r>
  <r>
    <d v="2024-07-09T00:00:00"/>
    <x v="0"/>
    <s v="Office"/>
    <s v="West"/>
    <n v="7"/>
    <n v="4109"/>
  </r>
  <r>
    <d v="2022-11-17T00:00:00"/>
    <x v="5"/>
    <s v="Electronics"/>
    <s v="West"/>
    <n v="7"/>
    <n v="595"/>
  </r>
  <r>
    <d v="2023-12-28T00:00:00"/>
    <x v="4"/>
    <s v="Accessories"/>
    <s v="East"/>
    <n v="7"/>
    <n v="8155"/>
  </r>
  <r>
    <d v="2022-05-30T00:00:00"/>
    <x v="6"/>
    <s v="Accessories"/>
    <s v="South"/>
    <n v="3"/>
    <n v="1872"/>
  </r>
  <r>
    <d v="2024-04-17T00:00:00"/>
    <x v="5"/>
    <s v="Electronics"/>
    <s v="East"/>
    <n v="6"/>
    <n v="2124"/>
  </r>
  <r>
    <d v="2024-09-30T00:00:00"/>
    <x v="6"/>
    <s v="Accessories"/>
    <s v="West"/>
    <n v="5"/>
    <n v="5210"/>
  </r>
  <r>
    <d v="2024-06-02T00:00:00"/>
    <x v="1"/>
    <s v="Accessories"/>
    <s v="South"/>
    <n v="7"/>
    <n v="5761"/>
  </r>
  <r>
    <d v="2022-09-26T00:00:00"/>
    <x v="4"/>
    <s v="Accessories"/>
    <s v="South"/>
    <n v="7"/>
    <n v="6895"/>
  </r>
  <r>
    <d v="2024-12-17T00:00:00"/>
    <x v="5"/>
    <s v="Electronics"/>
    <s v="East"/>
    <n v="3"/>
    <n v="2118"/>
  </r>
  <r>
    <d v="2024-10-09T00:00:00"/>
    <x v="5"/>
    <s v="Electronics"/>
    <s v="North"/>
    <n v="5"/>
    <n v="830"/>
  </r>
  <r>
    <d v="2023-07-14T00:00:00"/>
    <x v="5"/>
    <s v="Electronics"/>
    <s v="North"/>
    <n v="1"/>
    <n v="851"/>
  </r>
  <r>
    <d v="2023-12-05T00:00:00"/>
    <x v="2"/>
    <s v="Electronics"/>
    <s v="East"/>
    <n v="5"/>
    <n v="4730"/>
  </r>
  <r>
    <d v="2022-06-03T00:00:00"/>
    <x v="1"/>
    <s v="Accessories"/>
    <s v="West"/>
    <n v="6"/>
    <n v="5460"/>
  </r>
  <r>
    <d v="2024-12-28T00:00:00"/>
    <x v="4"/>
    <s v="Accessories"/>
    <s v="East"/>
    <n v="5"/>
    <n v="5795"/>
  </r>
  <r>
    <d v="2022-08-06T00:00:00"/>
    <x v="9"/>
    <s v="Electronics"/>
    <s v="South"/>
    <n v="4"/>
    <n v="2008"/>
  </r>
  <r>
    <d v="2023-06-06T00:00:00"/>
    <x v="1"/>
    <s v="Accessories"/>
    <s v="South"/>
    <n v="7"/>
    <n v="2842"/>
  </r>
  <r>
    <d v="2024-02-01T00:00:00"/>
    <x v="1"/>
    <s v="Accessories"/>
    <s v="East"/>
    <n v="4"/>
    <n v="3404"/>
  </r>
  <r>
    <d v="2023-05-31T00:00:00"/>
    <x v="5"/>
    <s v="Electronics"/>
    <s v="West"/>
    <n v="1"/>
    <n v="1065"/>
  </r>
  <r>
    <d v="2024-06-14T00:00:00"/>
    <x v="2"/>
    <s v="Electronics"/>
    <s v="West"/>
    <n v="7"/>
    <n v="2149"/>
  </r>
  <r>
    <d v="2024-08-14T00:00:00"/>
    <x v="8"/>
    <s v="Accessories"/>
    <s v="East"/>
    <n v="8"/>
    <n v="5912"/>
  </r>
  <r>
    <d v="2023-02-01T00:00:00"/>
    <x v="1"/>
    <s v="Accessories"/>
    <s v="West"/>
    <n v="3"/>
    <n v="3348"/>
  </r>
  <r>
    <d v="2024-04-28T00:00:00"/>
    <x v="7"/>
    <s v="Electronics"/>
    <s v="South"/>
    <n v="3"/>
    <n v="2409"/>
  </r>
  <r>
    <d v="2024-04-05T00:00:00"/>
    <x v="2"/>
    <s v="Electronics"/>
    <s v="North"/>
    <n v="2"/>
    <n v="328"/>
  </r>
  <r>
    <d v="2024-01-31T00:00:00"/>
    <x v="7"/>
    <s v="Electronics"/>
    <s v="West"/>
    <n v="8"/>
    <n v="6224"/>
  </r>
  <r>
    <d v="2024-01-09T00:00:00"/>
    <x v="5"/>
    <s v="Electronics"/>
    <s v="North"/>
    <n v="5"/>
    <n v="2530"/>
  </r>
  <r>
    <d v="2022-04-06T00:00:00"/>
    <x v="4"/>
    <s v="Accessories"/>
    <s v="West"/>
    <n v="4"/>
    <n v="4108"/>
  </r>
  <r>
    <d v="2024-05-22T00:00:00"/>
    <x v="0"/>
    <s v="Office"/>
    <s v="South"/>
    <n v="5"/>
    <n v="1640"/>
  </r>
  <r>
    <d v="2023-12-30T00:00:00"/>
    <x v="9"/>
    <s v="Electronics"/>
    <s v="South"/>
    <n v="1"/>
    <n v="111"/>
  </r>
  <r>
    <d v="2022-03-17T00:00:00"/>
    <x v="4"/>
    <s v="Accessories"/>
    <s v="North"/>
    <n v="1"/>
    <n v="445"/>
  </r>
  <r>
    <d v="2022-05-24T00:00:00"/>
    <x v="0"/>
    <s v="Office"/>
    <s v="North"/>
    <n v="4"/>
    <n v="3600"/>
  </r>
  <r>
    <d v="2024-06-09T00:00:00"/>
    <x v="1"/>
    <s v="Accessories"/>
    <s v="North"/>
    <n v="3"/>
    <n v="1335"/>
  </r>
  <r>
    <d v="2024-12-01T00:00:00"/>
    <x v="8"/>
    <s v="Accessories"/>
    <s v="South"/>
    <n v="5"/>
    <n v="3090"/>
  </r>
  <r>
    <d v="2023-10-20T00:00:00"/>
    <x v="0"/>
    <s v="Office"/>
    <s v="East"/>
    <n v="5"/>
    <n v="3910"/>
  </r>
  <r>
    <d v="2024-03-05T00:00:00"/>
    <x v="3"/>
    <s v="Electronics"/>
    <s v="South"/>
    <n v="1"/>
    <n v="219"/>
  </r>
  <r>
    <d v="2022-12-05T00:00:00"/>
    <x v="7"/>
    <s v="Electronics"/>
    <s v="West"/>
    <n v="5"/>
    <n v="390"/>
  </r>
  <r>
    <d v="2022-08-05T00:00:00"/>
    <x v="9"/>
    <s v="Electronics"/>
    <s v="North"/>
    <n v="6"/>
    <n v="3294"/>
  </r>
  <r>
    <d v="2023-03-21T00:00:00"/>
    <x v="8"/>
    <s v="Accessories"/>
    <s v="West"/>
    <n v="4"/>
    <n v="4572"/>
  </r>
  <r>
    <d v="2022-02-08T00:00:00"/>
    <x v="6"/>
    <s v="Accessories"/>
    <s v="South"/>
    <n v="7"/>
    <n v="980"/>
  </r>
  <r>
    <d v="2023-04-01T00:00:00"/>
    <x v="4"/>
    <s v="Accessories"/>
    <s v="North"/>
    <n v="2"/>
    <n v="2262"/>
  </r>
  <r>
    <d v="2022-12-14T00:00:00"/>
    <x v="3"/>
    <s v="Electronics"/>
    <s v="South"/>
    <n v="7"/>
    <n v="7518"/>
  </r>
  <r>
    <d v="2022-05-14T00:00:00"/>
    <x v="3"/>
    <s v="Electronics"/>
    <s v="South"/>
    <n v="1"/>
    <n v="873"/>
  </r>
  <r>
    <d v="2022-02-16T00:00:00"/>
    <x v="1"/>
    <s v="Accessories"/>
    <s v="North"/>
    <n v="6"/>
    <n v="1512"/>
  </r>
  <r>
    <d v="2024-08-28T00:00:00"/>
    <x v="9"/>
    <s v="Electronics"/>
    <s v="West"/>
    <n v="1"/>
    <n v="705"/>
  </r>
  <r>
    <d v="2023-10-30T00:00:00"/>
    <x v="5"/>
    <s v="Electronics"/>
    <s v="North"/>
    <n v="8"/>
    <n v="3256"/>
  </r>
  <r>
    <d v="2023-06-24T00:00:00"/>
    <x v="2"/>
    <s v="Electronics"/>
    <s v="West"/>
    <n v="4"/>
    <n v="556"/>
  </r>
  <r>
    <d v="2023-05-17T00:00:00"/>
    <x v="1"/>
    <s v="Accessories"/>
    <s v="East"/>
    <n v="9"/>
    <n v="7101"/>
  </r>
  <r>
    <d v="2023-04-06T00:00:00"/>
    <x v="9"/>
    <s v="Electronics"/>
    <s v="West"/>
    <n v="9"/>
    <n v="8802"/>
  </r>
  <r>
    <d v="2023-03-26T00:00:00"/>
    <x v="4"/>
    <s v="Accessories"/>
    <s v="South"/>
    <n v="6"/>
    <n v="5592"/>
  </r>
  <r>
    <d v="2024-10-12T00:00:00"/>
    <x v="2"/>
    <s v="Electronics"/>
    <s v="North"/>
    <n v="2"/>
    <n v="1852"/>
  </r>
  <r>
    <d v="2022-06-26T00:00:00"/>
    <x v="6"/>
    <s v="Accessories"/>
    <s v="East"/>
    <n v="1"/>
    <n v="195"/>
  </r>
  <r>
    <d v="2022-04-15T00:00:00"/>
    <x v="1"/>
    <s v="Accessories"/>
    <s v="East"/>
    <n v="9"/>
    <n v="7884"/>
  </r>
  <r>
    <d v="2023-12-10T00:00:00"/>
    <x v="9"/>
    <s v="Electronics"/>
    <s v="East"/>
    <n v="5"/>
    <n v="4360"/>
  </r>
  <r>
    <d v="2024-09-23T00:00:00"/>
    <x v="1"/>
    <s v="Accessories"/>
    <s v="North"/>
    <n v="6"/>
    <n v="4920"/>
  </r>
  <r>
    <d v="2022-01-01T00:00:00"/>
    <x v="1"/>
    <s v="Accessories"/>
    <s v="East"/>
    <n v="3"/>
    <n v="3474"/>
  </r>
  <r>
    <d v="2022-02-03T00:00:00"/>
    <x v="8"/>
    <s v="Accessories"/>
    <s v="West"/>
    <n v="1"/>
    <n v="930"/>
  </r>
  <r>
    <d v="2023-03-14T00:00:00"/>
    <x v="2"/>
    <s v="Electronics"/>
    <s v="South"/>
    <n v="7"/>
    <n v="1421"/>
  </r>
  <r>
    <d v="2022-08-24T00:00:00"/>
    <x v="4"/>
    <s v="Accessories"/>
    <s v="North"/>
    <n v="2"/>
    <n v="634"/>
  </r>
  <r>
    <d v="2024-07-07T00:00:00"/>
    <x v="3"/>
    <s v="Electronics"/>
    <s v="East"/>
    <n v="1"/>
    <n v="673"/>
  </r>
  <r>
    <d v="2022-04-13T00:00:00"/>
    <x v="1"/>
    <s v="Accessories"/>
    <s v="South"/>
    <n v="5"/>
    <n v="3135"/>
  </r>
  <r>
    <d v="2024-05-08T00:00:00"/>
    <x v="7"/>
    <s v="Electronics"/>
    <s v="East"/>
    <n v="6"/>
    <n v="882"/>
  </r>
  <r>
    <d v="2024-09-10T00:00:00"/>
    <x v="7"/>
    <s v="Electronics"/>
    <s v="East"/>
    <n v="4"/>
    <n v="1192"/>
  </r>
  <r>
    <d v="2024-06-18T00:00:00"/>
    <x v="0"/>
    <s v="Office"/>
    <s v="South"/>
    <n v="3"/>
    <n v="390"/>
  </r>
  <r>
    <d v="2024-09-10T00:00:00"/>
    <x v="2"/>
    <s v="Electronics"/>
    <s v="North"/>
    <n v="1"/>
    <n v="834"/>
  </r>
  <r>
    <d v="2022-05-06T00:00:00"/>
    <x v="7"/>
    <s v="Electronics"/>
    <s v="East"/>
    <n v="6"/>
    <n v="612"/>
  </r>
  <r>
    <d v="2024-06-18T00:00:00"/>
    <x v="4"/>
    <s v="Accessories"/>
    <s v="West"/>
    <n v="9"/>
    <n v="8073"/>
  </r>
  <r>
    <d v="2023-10-29T00:00:00"/>
    <x v="8"/>
    <s v="Accessories"/>
    <s v="North"/>
    <n v="8"/>
    <n v="2640"/>
  </r>
  <r>
    <d v="2023-11-13T00:00:00"/>
    <x v="7"/>
    <s v="Electronics"/>
    <s v="North"/>
    <n v="3"/>
    <n v="3234"/>
  </r>
  <r>
    <d v="2022-08-21T00:00:00"/>
    <x v="6"/>
    <s v="Accessories"/>
    <s v="West"/>
    <n v="5"/>
    <n v="4435"/>
  </r>
  <r>
    <d v="2024-03-04T00:00:00"/>
    <x v="5"/>
    <s v="Electronics"/>
    <s v="North"/>
    <n v="2"/>
    <n v="2302"/>
  </r>
  <r>
    <d v="2022-04-17T00:00:00"/>
    <x v="3"/>
    <s v="Electronics"/>
    <s v="East"/>
    <n v="6"/>
    <n v="1728"/>
  </r>
  <r>
    <d v="2023-12-20T00:00:00"/>
    <x v="9"/>
    <s v="Electronics"/>
    <s v="East"/>
    <n v="4"/>
    <n v="228"/>
  </r>
  <r>
    <d v="2022-03-19T00:00:00"/>
    <x v="2"/>
    <s v="Electronics"/>
    <s v="West"/>
    <n v="6"/>
    <n v="3450"/>
  </r>
  <r>
    <d v="2024-07-07T00:00:00"/>
    <x v="7"/>
    <s v="Electronics"/>
    <s v="South"/>
    <n v="8"/>
    <n v="7456"/>
  </r>
  <r>
    <d v="2023-04-30T00:00:00"/>
    <x v="7"/>
    <s v="Electronics"/>
    <s v="West"/>
    <n v="6"/>
    <n v="4728"/>
  </r>
  <r>
    <d v="2024-03-22T00:00:00"/>
    <x v="5"/>
    <s v="Electronics"/>
    <s v="North"/>
    <n v="7"/>
    <n v="945"/>
  </r>
  <r>
    <d v="2022-03-08T00:00:00"/>
    <x v="9"/>
    <s v="Electronics"/>
    <s v="North"/>
    <n v="4"/>
    <n v="296"/>
  </r>
  <r>
    <d v="2023-09-15T00:00:00"/>
    <x v="7"/>
    <s v="Electronics"/>
    <s v="West"/>
    <n v="4"/>
    <n v="640"/>
  </r>
  <r>
    <d v="2023-03-01T00:00:00"/>
    <x v="2"/>
    <s v="Electronics"/>
    <s v="North"/>
    <n v="1"/>
    <n v="797"/>
  </r>
  <r>
    <d v="2023-10-24T00:00:00"/>
    <x v="6"/>
    <s v="Accessories"/>
    <s v="North"/>
    <n v="4"/>
    <n v="1456"/>
  </r>
  <r>
    <d v="2024-04-22T00:00:00"/>
    <x v="6"/>
    <s v="Accessories"/>
    <s v="South"/>
    <n v="6"/>
    <n v="4038"/>
  </r>
  <r>
    <d v="2023-06-27T00:00:00"/>
    <x v="2"/>
    <s v="Electronics"/>
    <s v="West"/>
    <n v="7"/>
    <n v="5656"/>
  </r>
  <r>
    <d v="2023-04-13T00:00:00"/>
    <x v="1"/>
    <s v="Accessories"/>
    <s v="West"/>
    <n v="4"/>
    <n v="3876"/>
  </r>
  <r>
    <d v="2023-05-19T00:00:00"/>
    <x v="8"/>
    <s v="Accessories"/>
    <s v="South"/>
    <n v="6"/>
    <n v="1002"/>
  </r>
  <r>
    <d v="2024-11-15T00:00:00"/>
    <x v="4"/>
    <s v="Accessories"/>
    <s v="East"/>
    <n v="9"/>
    <n v="2187"/>
  </r>
  <r>
    <d v="2023-12-25T00:00:00"/>
    <x v="1"/>
    <s v="Accessories"/>
    <s v="North"/>
    <n v="6"/>
    <n v="7146"/>
  </r>
  <r>
    <d v="2022-03-31T00:00:00"/>
    <x v="8"/>
    <s v="Accessories"/>
    <s v="South"/>
    <n v="1"/>
    <n v="189"/>
  </r>
  <r>
    <d v="2024-04-24T00:00:00"/>
    <x v="6"/>
    <s v="Accessories"/>
    <s v="East"/>
    <n v="5"/>
    <n v="940"/>
  </r>
  <r>
    <d v="2022-01-10T00:00:00"/>
    <x v="4"/>
    <s v="Accessories"/>
    <s v="North"/>
    <n v="1"/>
    <n v="951"/>
  </r>
  <r>
    <d v="2022-11-17T00:00:00"/>
    <x v="0"/>
    <s v="Office"/>
    <s v="East"/>
    <n v="2"/>
    <n v="124"/>
  </r>
  <r>
    <d v="2024-06-29T00:00:00"/>
    <x v="1"/>
    <s v="Accessories"/>
    <s v="West"/>
    <n v="9"/>
    <n v="7506"/>
  </r>
  <r>
    <d v="2022-11-14T00:00:00"/>
    <x v="6"/>
    <s v="Accessories"/>
    <s v="West"/>
    <n v="7"/>
    <n v="8176"/>
  </r>
  <r>
    <d v="2023-08-11T00:00:00"/>
    <x v="7"/>
    <s v="Electronics"/>
    <s v="East"/>
    <n v="5"/>
    <n v="2125"/>
  </r>
  <r>
    <d v="2024-05-22T00:00:00"/>
    <x v="4"/>
    <s v="Accessories"/>
    <s v="North"/>
    <n v="1"/>
    <n v="967"/>
  </r>
  <r>
    <d v="2022-03-19T00:00:00"/>
    <x v="4"/>
    <s v="Accessories"/>
    <s v="South"/>
    <n v="5"/>
    <n v="270"/>
  </r>
  <r>
    <d v="2022-10-23T00:00:00"/>
    <x v="8"/>
    <s v="Accessories"/>
    <s v="West"/>
    <n v="9"/>
    <n v="10035"/>
  </r>
  <r>
    <d v="2023-02-26T00:00:00"/>
    <x v="0"/>
    <s v="Office"/>
    <s v="North"/>
    <n v="8"/>
    <n v="6792"/>
  </r>
  <r>
    <d v="2024-10-03T00:00:00"/>
    <x v="0"/>
    <s v="Office"/>
    <s v="East"/>
    <n v="1"/>
    <n v="714"/>
  </r>
  <r>
    <d v="2022-07-17T00:00:00"/>
    <x v="7"/>
    <s v="Electronics"/>
    <s v="South"/>
    <n v="5"/>
    <n v="765"/>
  </r>
  <r>
    <d v="2024-11-04T00:00:00"/>
    <x v="4"/>
    <s v="Accessories"/>
    <s v="East"/>
    <n v="7"/>
    <n v="4221"/>
  </r>
  <r>
    <d v="2023-02-24T00:00:00"/>
    <x v="9"/>
    <s v="Electronics"/>
    <s v="North"/>
    <n v="4"/>
    <n v="2108"/>
  </r>
  <r>
    <d v="2024-08-08T00:00:00"/>
    <x v="6"/>
    <s v="Accessories"/>
    <s v="North"/>
    <n v="9"/>
    <n v="10530"/>
  </r>
  <r>
    <d v="2024-05-14T00:00:00"/>
    <x v="8"/>
    <s v="Accessories"/>
    <s v="South"/>
    <n v="6"/>
    <n v="3396"/>
  </r>
  <r>
    <d v="2022-01-15T00:00:00"/>
    <x v="6"/>
    <s v="Accessories"/>
    <s v="North"/>
    <n v="4"/>
    <n v="1060"/>
  </r>
  <r>
    <d v="2022-05-10T00:00:00"/>
    <x v="2"/>
    <s v="Electronics"/>
    <s v="East"/>
    <n v="5"/>
    <n v="480"/>
  </r>
  <r>
    <d v="2022-03-10T00:00:00"/>
    <x v="4"/>
    <s v="Accessories"/>
    <s v="West"/>
    <n v="3"/>
    <n v="2529"/>
  </r>
  <r>
    <d v="2022-01-23T00:00:00"/>
    <x v="5"/>
    <s v="Electronics"/>
    <s v="East"/>
    <n v="8"/>
    <n v="4792"/>
  </r>
  <r>
    <d v="2024-09-19T00:00:00"/>
    <x v="5"/>
    <s v="Electronics"/>
    <s v="East"/>
    <n v="8"/>
    <n v="8056"/>
  </r>
  <r>
    <d v="2024-06-06T00:00:00"/>
    <x v="2"/>
    <s v="Electronics"/>
    <s v="North"/>
    <n v="4"/>
    <n v="4228"/>
  </r>
  <r>
    <d v="2024-10-10T00:00:00"/>
    <x v="2"/>
    <s v="Electronics"/>
    <s v="East"/>
    <n v="1"/>
    <n v="653"/>
  </r>
  <r>
    <d v="2024-03-24T00:00:00"/>
    <x v="2"/>
    <s v="Electronics"/>
    <s v="North"/>
    <n v="9"/>
    <n v="7452"/>
  </r>
  <r>
    <d v="2023-07-21T00:00:00"/>
    <x v="1"/>
    <s v="Accessories"/>
    <s v="East"/>
    <n v="4"/>
    <n v="4128"/>
  </r>
  <r>
    <d v="2022-07-21T00:00:00"/>
    <x v="2"/>
    <s v="Electronics"/>
    <s v="West"/>
    <n v="5"/>
    <n v="5090"/>
  </r>
  <r>
    <d v="2022-09-01T00:00:00"/>
    <x v="3"/>
    <s v="Electronics"/>
    <s v="North"/>
    <n v="5"/>
    <n v="4930"/>
  </r>
  <r>
    <d v="2023-04-20T00:00:00"/>
    <x v="5"/>
    <s v="Electronics"/>
    <s v="South"/>
    <n v="6"/>
    <n v="2610"/>
  </r>
  <r>
    <d v="2023-12-11T00:00:00"/>
    <x v="9"/>
    <s v="Electronics"/>
    <s v="North"/>
    <n v="3"/>
    <n v="2139"/>
  </r>
  <r>
    <d v="2024-09-29T00:00:00"/>
    <x v="2"/>
    <s v="Electronics"/>
    <s v="South"/>
    <n v="1"/>
    <n v="226"/>
  </r>
  <r>
    <d v="2023-11-20T00:00:00"/>
    <x v="5"/>
    <s v="Electronics"/>
    <s v="West"/>
    <n v="2"/>
    <n v="2244"/>
  </r>
  <r>
    <d v="2023-07-15T00:00:00"/>
    <x v="6"/>
    <s v="Accessories"/>
    <s v="East"/>
    <n v="6"/>
    <n v="3150"/>
  </r>
  <r>
    <d v="2023-12-24T00:00:00"/>
    <x v="9"/>
    <s v="Electronics"/>
    <s v="South"/>
    <n v="7"/>
    <n v="3388"/>
  </r>
  <r>
    <d v="2023-08-13T00:00:00"/>
    <x v="9"/>
    <s v="Electronics"/>
    <s v="East"/>
    <n v="8"/>
    <n v="8736"/>
  </r>
  <r>
    <d v="2022-04-24T00:00:00"/>
    <x v="7"/>
    <s v="Electronics"/>
    <s v="South"/>
    <n v="2"/>
    <n v="1102"/>
  </r>
  <r>
    <d v="2024-07-13T00:00:00"/>
    <x v="6"/>
    <s v="Accessories"/>
    <s v="East"/>
    <n v="3"/>
    <n v="2640"/>
  </r>
  <r>
    <d v="2022-06-11T00:00:00"/>
    <x v="0"/>
    <s v="Office"/>
    <s v="West"/>
    <n v="3"/>
    <n v="2547"/>
  </r>
  <r>
    <d v="2024-10-28T00:00:00"/>
    <x v="9"/>
    <s v="Electronics"/>
    <s v="North"/>
    <n v="7"/>
    <n v="728"/>
  </r>
  <r>
    <d v="2022-11-24T00:00:00"/>
    <x v="3"/>
    <s v="Electronics"/>
    <s v="South"/>
    <n v="7"/>
    <n v="3444"/>
  </r>
  <r>
    <d v="2024-10-03T00:00:00"/>
    <x v="3"/>
    <s v="Electronics"/>
    <s v="West"/>
    <n v="5"/>
    <n v="3140"/>
  </r>
  <r>
    <d v="2024-03-24T00:00:00"/>
    <x v="7"/>
    <s v="Electronics"/>
    <s v="East"/>
    <n v="3"/>
    <n v="435"/>
  </r>
  <r>
    <d v="2024-06-28T00:00:00"/>
    <x v="8"/>
    <s v="Accessories"/>
    <s v="East"/>
    <n v="4"/>
    <n v="856"/>
  </r>
  <r>
    <d v="2022-05-31T00:00:00"/>
    <x v="0"/>
    <s v="Office"/>
    <s v="North"/>
    <n v="2"/>
    <n v="112"/>
  </r>
  <r>
    <d v="2024-03-25T00:00:00"/>
    <x v="4"/>
    <s v="Accessories"/>
    <s v="North"/>
    <n v="3"/>
    <n v="2247"/>
  </r>
  <r>
    <d v="2023-01-31T00:00:00"/>
    <x v="8"/>
    <s v="Accessories"/>
    <s v="West"/>
    <n v="2"/>
    <n v="1512"/>
  </r>
  <r>
    <d v="2024-06-23T00:00:00"/>
    <x v="1"/>
    <s v="Accessories"/>
    <s v="South"/>
    <n v="5"/>
    <n v="4915"/>
  </r>
  <r>
    <d v="2023-08-16T00:00:00"/>
    <x v="1"/>
    <s v="Accessories"/>
    <s v="South"/>
    <n v="3"/>
    <n v="2709"/>
  </r>
  <r>
    <d v="2023-06-10T00:00:00"/>
    <x v="2"/>
    <s v="Electronics"/>
    <s v="North"/>
    <n v="7"/>
    <n v="1239"/>
  </r>
  <r>
    <d v="2023-05-09T00:00:00"/>
    <x v="2"/>
    <s v="Electronics"/>
    <s v="West"/>
    <n v="2"/>
    <n v="572"/>
  </r>
  <r>
    <d v="2022-05-08T00:00:00"/>
    <x v="5"/>
    <s v="Electronics"/>
    <s v="North"/>
    <n v="2"/>
    <n v="1708"/>
  </r>
  <r>
    <d v="2024-11-06T00:00:00"/>
    <x v="5"/>
    <s v="Electronics"/>
    <s v="North"/>
    <n v="4"/>
    <n v="360"/>
  </r>
  <r>
    <d v="2022-12-08T00:00:00"/>
    <x v="3"/>
    <s v="Electronics"/>
    <s v="North"/>
    <n v="6"/>
    <n v="3822"/>
  </r>
  <r>
    <d v="2022-09-25T00:00:00"/>
    <x v="3"/>
    <s v="Electronics"/>
    <s v="North"/>
    <n v="6"/>
    <n v="4680"/>
  </r>
  <r>
    <d v="2024-07-10T00:00:00"/>
    <x v="3"/>
    <s v="Electronics"/>
    <s v="North"/>
    <n v="5"/>
    <n v="2520"/>
  </r>
  <r>
    <d v="2024-03-29T00:00:00"/>
    <x v="5"/>
    <s v="Electronics"/>
    <s v="North"/>
    <n v="2"/>
    <n v="2138"/>
  </r>
  <r>
    <d v="2022-01-11T00:00:00"/>
    <x v="8"/>
    <s v="Accessories"/>
    <s v="West"/>
    <n v="3"/>
    <n v="2529"/>
  </r>
  <r>
    <d v="2022-04-08T00:00:00"/>
    <x v="8"/>
    <s v="Accessories"/>
    <s v="East"/>
    <n v="1"/>
    <n v="236"/>
  </r>
  <r>
    <d v="2024-01-21T00:00:00"/>
    <x v="2"/>
    <s v="Electronics"/>
    <s v="West"/>
    <n v="6"/>
    <n v="2730"/>
  </r>
  <r>
    <d v="2023-04-27T00:00:00"/>
    <x v="4"/>
    <s v="Accessories"/>
    <s v="North"/>
    <n v="3"/>
    <n v="3021"/>
  </r>
  <r>
    <d v="2024-11-06T00:00:00"/>
    <x v="5"/>
    <s v="Electronics"/>
    <s v="North"/>
    <n v="2"/>
    <n v="244"/>
  </r>
  <r>
    <d v="2022-05-11T00:00:00"/>
    <x v="3"/>
    <s v="Electronics"/>
    <s v="South"/>
    <n v="8"/>
    <n v="728"/>
  </r>
  <r>
    <d v="2022-10-02T00:00:00"/>
    <x v="1"/>
    <s v="Accessories"/>
    <s v="North"/>
    <n v="3"/>
    <n v="453"/>
  </r>
  <r>
    <d v="2022-01-12T00:00:00"/>
    <x v="9"/>
    <s v="Electronics"/>
    <s v="South"/>
    <n v="1"/>
    <n v="379"/>
  </r>
  <r>
    <d v="2023-01-09T00:00:00"/>
    <x v="2"/>
    <s v="Electronics"/>
    <s v="West"/>
    <n v="3"/>
    <n v="2130"/>
  </r>
  <r>
    <d v="2023-05-04T00:00:00"/>
    <x v="6"/>
    <s v="Accessories"/>
    <s v="North"/>
    <n v="8"/>
    <n v="4120"/>
  </r>
  <r>
    <d v="2024-09-07T00:00:00"/>
    <x v="5"/>
    <s v="Electronics"/>
    <s v="South"/>
    <n v="7"/>
    <n v="3150"/>
  </r>
  <r>
    <d v="2022-05-17T00:00:00"/>
    <x v="5"/>
    <s v="Electronics"/>
    <s v="East"/>
    <n v="7"/>
    <n v="2688"/>
  </r>
  <r>
    <d v="2023-08-17T00:00:00"/>
    <x v="2"/>
    <s v="Electronics"/>
    <s v="East"/>
    <n v="2"/>
    <n v="1752"/>
  </r>
  <r>
    <d v="2023-09-07T00:00:00"/>
    <x v="8"/>
    <s v="Accessories"/>
    <s v="North"/>
    <n v="7"/>
    <n v="7308"/>
  </r>
  <r>
    <d v="2022-05-11T00:00:00"/>
    <x v="2"/>
    <s v="Electronics"/>
    <s v="North"/>
    <n v="3"/>
    <n v="2007"/>
  </r>
  <r>
    <d v="2023-05-12T00:00:00"/>
    <x v="2"/>
    <s v="Electronics"/>
    <s v="West"/>
    <n v="7"/>
    <n v="7224"/>
  </r>
  <r>
    <d v="2023-05-08T00:00:00"/>
    <x v="6"/>
    <s v="Accessories"/>
    <s v="South"/>
    <n v="9"/>
    <n v="6939"/>
  </r>
  <r>
    <d v="2023-02-18T00:00:00"/>
    <x v="7"/>
    <s v="Electronics"/>
    <s v="East"/>
    <n v="7"/>
    <n v="5516"/>
  </r>
  <r>
    <d v="2022-01-29T00:00:00"/>
    <x v="0"/>
    <s v="Office"/>
    <s v="South"/>
    <n v="2"/>
    <n v="2224"/>
  </r>
  <r>
    <d v="2023-01-12T00:00:00"/>
    <x v="9"/>
    <s v="Electronics"/>
    <s v="South"/>
    <n v="5"/>
    <n v="3985"/>
  </r>
  <r>
    <d v="2022-01-03T00:00:00"/>
    <x v="3"/>
    <s v="Electronics"/>
    <s v="North"/>
    <n v="7"/>
    <n v="2723"/>
  </r>
  <r>
    <d v="2022-10-20T00:00:00"/>
    <x v="2"/>
    <s v="Electronics"/>
    <s v="North"/>
    <n v="2"/>
    <n v="746"/>
  </r>
  <r>
    <d v="2024-08-21T00:00:00"/>
    <x v="9"/>
    <s v="Electronics"/>
    <s v="West"/>
    <n v="5"/>
    <n v="3170"/>
  </r>
  <r>
    <d v="2023-12-11T00:00:00"/>
    <x v="5"/>
    <s v="Electronics"/>
    <s v="East"/>
    <n v="5"/>
    <n v="550"/>
  </r>
  <r>
    <d v="2022-08-14T00:00:00"/>
    <x v="2"/>
    <s v="Electronics"/>
    <s v="North"/>
    <n v="8"/>
    <n v="480"/>
  </r>
  <r>
    <d v="2024-06-03T00:00:00"/>
    <x v="0"/>
    <s v="Office"/>
    <s v="East"/>
    <n v="4"/>
    <n v="3284"/>
  </r>
  <r>
    <d v="2024-01-23T00:00:00"/>
    <x v="5"/>
    <s v="Electronics"/>
    <s v="South"/>
    <n v="2"/>
    <n v="1748"/>
  </r>
  <r>
    <d v="2023-11-20T00:00:00"/>
    <x v="4"/>
    <s v="Accessories"/>
    <s v="North"/>
    <n v="8"/>
    <n v="824"/>
  </r>
  <r>
    <d v="2022-03-03T00:00:00"/>
    <x v="4"/>
    <s v="Accessories"/>
    <s v="North"/>
    <n v="4"/>
    <n v="1872"/>
  </r>
  <r>
    <d v="2024-02-20T00:00:00"/>
    <x v="2"/>
    <s v="Electronics"/>
    <s v="West"/>
    <n v="3"/>
    <n v="627"/>
  </r>
  <r>
    <d v="2024-08-09T00:00:00"/>
    <x v="3"/>
    <s v="Electronics"/>
    <s v="East"/>
    <n v="9"/>
    <n v="5661"/>
  </r>
  <r>
    <d v="2022-06-19T00:00:00"/>
    <x v="3"/>
    <s v="Electronics"/>
    <s v="North"/>
    <n v="3"/>
    <n v="2910"/>
  </r>
  <r>
    <d v="2024-09-01T00:00:00"/>
    <x v="2"/>
    <s v="Electronics"/>
    <s v="South"/>
    <n v="9"/>
    <n v="9036"/>
  </r>
  <r>
    <d v="2024-08-30T00:00:00"/>
    <x v="2"/>
    <s v="Electronics"/>
    <s v="West"/>
    <n v="5"/>
    <n v="4815"/>
  </r>
  <r>
    <d v="2022-08-12T00:00:00"/>
    <x v="1"/>
    <s v="Accessories"/>
    <s v="South"/>
    <n v="1"/>
    <n v="1187"/>
  </r>
  <r>
    <d v="2022-08-04T00:00:00"/>
    <x v="4"/>
    <s v="Accessories"/>
    <s v="East"/>
    <n v="3"/>
    <n v="3339"/>
  </r>
  <r>
    <d v="2024-02-20T00:00:00"/>
    <x v="2"/>
    <s v="Electronics"/>
    <s v="East"/>
    <n v="1"/>
    <n v="620"/>
  </r>
  <r>
    <d v="2023-02-26T00:00:00"/>
    <x v="3"/>
    <s v="Electronics"/>
    <s v="West"/>
    <n v="5"/>
    <n v="2025"/>
  </r>
  <r>
    <d v="2024-11-20T00:00:00"/>
    <x v="0"/>
    <s v="Office"/>
    <s v="East"/>
    <n v="5"/>
    <n v="3030"/>
  </r>
  <r>
    <d v="2023-08-12T00:00:00"/>
    <x v="5"/>
    <s v="Electronics"/>
    <s v="North"/>
    <n v="5"/>
    <n v="655"/>
  </r>
  <r>
    <d v="2022-01-17T00:00:00"/>
    <x v="0"/>
    <s v="Office"/>
    <s v="West"/>
    <n v="2"/>
    <n v="2238"/>
  </r>
  <r>
    <d v="2023-04-12T00:00:00"/>
    <x v="7"/>
    <s v="Electronics"/>
    <s v="South"/>
    <n v="8"/>
    <n v="3312"/>
  </r>
  <r>
    <d v="2023-07-26T00:00:00"/>
    <x v="0"/>
    <s v="Office"/>
    <s v="East"/>
    <n v="9"/>
    <n v="9387"/>
  </r>
  <r>
    <d v="2024-01-01T00:00:00"/>
    <x v="1"/>
    <s v="Accessories"/>
    <s v="West"/>
    <n v="6"/>
    <n v="5790"/>
  </r>
  <r>
    <d v="2023-12-06T00:00:00"/>
    <x v="9"/>
    <s v="Electronics"/>
    <s v="South"/>
    <n v="6"/>
    <n v="2700"/>
  </r>
  <r>
    <d v="2023-12-05T00:00:00"/>
    <x v="5"/>
    <s v="Electronics"/>
    <s v="East"/>
    <n v="8"/>
    <n v="2072"/>
  </r>
  <r>
    <d v="2024-10-27T00:00:00"/>
    <x v="8"/>
    <s v="Accessories"/>
    <s v="North"/>
    <n v="3"/>
    <n v="2991"/>
  </r>
  <r>
    <d v="2024-08-04T00:00:00"/>
    <x v="9"/>
    <s v="Electronics"/>
    <s v="East"/>
    <n v="6"/>
    <n v="5568"/>
  </r>
  <r>
    <d v="2023-02-01T00:00:00"/>
    <x v="5"/>
    <s v="Electronics"/>
    <s v="North"/>
    <n v="7"/>
    <n v="5509"/>
  </r>
  <r>
    <d v="2024-06-02T00:00:00"/>
    <x v="0"/>
    <s v="Office"/>
    <s v="West"/>
    <n v="7"/>
    <n v="5922"/>
  </r>
  <r>
    <d v="2024-04-28T00:00:00"/>
    <x v="7"/>
    <s v="Electronics"/>
    <s v="South"/>
    <n v="4"/>
    <n v="4380"/>
  </r>
  <r>
    <d v="2022-03-25T00:00:00"/>
    <x v="2"/>
    <s v="Electronics"/>
    <s v="South"/>
    <n v="5"/>
    <n v="1760"/>
  </r>
  <r>
    <d v="2024-10-05T00:00:00"/>
    <x v="4"/>
    <s v="Accessories"/>
    <s v="North"/>
    <n v="9"/>
    <n v="5571"/>
  </r>
  <r>
    <d v="2024-12-19T00:00:00"/>
    <x v="2"/>
    <s v="Electronics"/>
    <s v="South"/>
    <n v="2"/>
    <n v="1082"/>
  </r>
  <r>
    <d v="2022-07-18T00:00:00"/>
    <x v="3"/>
    <s v="Electronics"/>
    <s v="East"/>
    <n v="1"/>
    <n v="569"/>
  </r>
  <r>
    <d v="2023-06-11T00:00:00"/>
    <x v="1"/>
    <s v="Accessories"/>
    <s v="North"/>
    <n v="8"/>
    <n v="3416"/>
  </r>
  <r>
    <d v="2024-10-13T00:00:00"/>
    <x v="0"/>
    <s v="Office"/>
    <s v="West"/>
    <n v="1"/>
    <n v="570"/>
  </r>
  <r>
    <d v="2023-08-07T00:00:00"/>
    <x v="6"/>
    <s v="Accessories"/>
    <s v="East"/>
    <n v="6"/>
    <n v="3300"/>
  </r>
  <r>
    <d v="2022-12-04T00:00:00"/>
    <x v="9"/>
    <s v="Electronics"/>
    <s v="South"/>
    <n v="8"/>
    <n v="2584"/>
  </r>
  <r>
    <d v="2024-02-18T00:00:00"/>
    <x v="6"/>
    <s v="Accessories"/>
    <s v="South"/>
    <n v="9"/>
    <n v="7650"/>
  </r>
  <r>
    <d v="2024-12-05T00:00:00"/>
    <x v="4"/>
    <s v="Accessories"/>
    <s v="West"/>
    <n v="8"/>
    <n v="3600"/>
  </r>
  <r>
    <d v="2023-12-15T00:00:00"/>
    <x v="6"/>
    <s v="Accessories"/>
    <s v="West"/>
    <n v="6"/>
    <n v="846"/>
  </r>
  <r>
    <d v="2023-08-12T00:00:00"/>
    <x v="7"/>
    <s v="Electronics"/>
    <s v="West"/>
    <n v="1"/>
    <n v="51"/>
  </r>
  <r>
    <d v="2024-05-20T00:00:00"/>
    <x v="5"/>
    <s v="Electronics"/>
    <s v="South"/>
    <n v="6"/>
    <n v="7056"/>
  </r>
  <r>
    <d v="2024-06-05T00:00:00"/>
    <x v="5"/>
    <s v="Electronics"/>
    <s v="West"/>
    <n v="2"/>
    <n v="384"/>
  </r>
  <r>
    <d v="2022-01-09T00:00:00"/>
    <x v="9"/>
    <s v="Electronics"/>
    <s v="South"/>
    <n v="8"/>
    <n v="2928"/>
  </r>
  <r>
    <d v="2023-12-17T00:00:00"/>
    <x v="3"/>
    <s v="Electronics"/>
    <s v="West"/>
    <n v="7"/>
    <n v="1904"/>
  </r>
  <r>
    <d v="2022-09-08T00:00:00"/>
    <x v="2"/>
    <s v="Electronics"/>
    <s v="East"/>
    <n v="2"/>
    <n v="2314"/>
  </r>
  <r>
    <d v="2022-01-22T00:00:00"/>
    <x v="0"/>
    <s v="Office"/>
    <s v="South"/>
    <n v="4"/>
    <n v="1028"/>
  </r>
  <r>
    <d v="2024-09-04T00:00:00"/>
    <x v="4"/>
    <s v="Accessories"/>
    <s v="South"/>
    <n v="9"/>
    <n v="8307"/>
  </r>
  <r>
    <d v="2024-01-20T00:00:00"/>
    <x v="0"/>
    <s v="Office"/>
    <s v="West"/>
    <n v="9"/>
    <n v="1539"/>
  </r>
  <r>
    <d v="2022-11-03T00:00:00"/>
    <x v="2"/>
    <s v="Electronics"/>
    <s v="West"/>
    <n v="7"/>
    <n v="2506"/>
  </r>
  <r>
    <d v="2023-07-03T00:00:00"/>
    <x v="7"/>
    <s v="Electronics"/>
    <s v="West"/>
    <n v="6"/>
    <n v="5778"/>
  </r>
  <r>
    <d v="2024-01-25T00:00:00"/>
    <x v="2"/>
    <s v="Electronics"/>
    <s v="East"/>
    <n v="9"/>
    <n v="10188"/>
  </r>
  <r>
    <d v="2024-05-11T00:00:00"/>
    <x v="6"/>
    <s v="Accessories"/>
    <s v="North"/>
    <n v="1"/>
    <n v="952"/>
  </r>
  <r>
    <d v="2024-01-02T00:00:00"/>
    <x v="5"/>
    <s v="Electronics"/>
    <s v="West"/>
    <n v="8"/>
    <n v="3624"/>
  </r>
  <r>
    <d v="2023-02-24T00:00:00"/>
    <x v="8"/>
    <s v="Accessories"/>
    <s v="South"/>
    <n v="8"/>
    <n v="7968"/>
  </r>
  <r>
    <d v="2024-07-20T00:00:00"/>
    <x v="1"/>
    <s v="Accessories"/>
    <s v="South"/>
    <n v="2"/>
    <n v="1254"/>
  </r>
  <r>
    <d v="2023-06-14T00:00:00"/>
    <x v="0"/>
    <s v="Office"/>
    <s v="West"/>
    <n v="3"/>
    <n v="705"/>
  </r>
  <r>
    <d v="2022-04-10T00:00:00"/>
    <x v="1"/>
    <s v="Accessories"/>
    <s v="West"/>
    <n v="1"/>
    <n v="916"/>
  </r>
  <r>
    <d v="2024-10-01T00:00:00"/>
    <x v="0"/>
    <s v="Office"/>
    <s v="North"/>
    <n v="2"/>
    <n v="848"/>
  </r>
  <r>
    <d v="2022-05-10T00:00:00"/>
    <x v="6"/>
    <s v="Accessories"/>
    <s v="East"/>
    <n v="8"/>
    <n v="2240"/>
  </r>
  <r>
    <d v="2022-01-28T00:00:00"/>
    <x v="6"/>
    <s v="Accessories"/>
    <s v="South"/>
    <n v="1"/>
    <n v="940"/>
  </r>
  <r>
    <d v="2023-04-05T00:00:00"/>
    <x v="4"/>
    <s v="Accessories"/>
    <s v="West"/>
    <n v="5"/>
    <n v="1550"/>
  </r>
  <r>
    <d v="2023-09-22T00:00:00"/>
    <x v="8"/>
    <s v="Accessories"/>
    <s v="South"/>
    <n v="7"/>
    <n v="2352"/>
  </r>
  <r>
    <d v="2024-08-29T00:00:00"/>
    <x v="5"/>
    <s v="Electronics"/>
    <s v="North"/>
    <n v="9"/>
    <n v="1638"/>
  </r>
  <r>
    <d v="2023-11-18T00:00:00"/>
    <x v="3"/>
    <s v="Electronics"/>
    <s v="North"/>
    <n v="6"/>
    <n v="7164"/>
  </r>
  <r>
    <d v="2023-09-12T00:00:00"/>
    <x v="1"/>
    <s v="Accessories"/>
    <s v="East"/>
    <n v="1"/>
    <n v="205"/>
  </r>
  <r>
    <d v="2023-05-26T00:00:00"/>
    <x v="8"/>
    <s v="Accessories"/>
    <s v="North"/>
    <n v="2"/>
    <n v="766"/>
  </r>
  <r>
    <d v="2023-04-30T00:00:00"/>
    <x v="8"/>
    <s v="Accessories"/>
    <s v="North"/>
    <n v="1"/>
    <n v="168"/>
  </r>
  <r>
    <d v="2024-11-01T00:00:00"/>
    <x v="1"/>
    <s v="Accessories"/>
    <s v="South"/>
    <n v="1"/>
    <n v="1058"/>
  </r>
  <r>
    <d v="2022-05-06T00:00:00"/>
    <x v="8"/>
    <s v="Accessories"/>
    <s v="South"/>
    <n v="5"/>
    <n v="1455"/>
  </r>
  <r>
    <d v="2023-05-10T00:00:00"/>
    <x v="3"/>
    <s v="Electronics"/>
    <s v="East"/>
    <n v="2"/>
    <n v="2224"/>
  </r>
  <r>
    <d v="2022-11-04T00:00:00"/>
    <x v="7"/>
    <s v="Electronics"/>
    <s v="West"/>
    <n v="7"/>
    <n v="1400"/>
  </r>
  <r>
    <d v="2022-05-09T00:00:00"/>
    <x v="7"/>
    <s v="Electronics"/>
    <s v="East"/>
    <n v="7"/>
    <n v="7567"/>
  </r>
  <r>
    <d v="2022-11-07T00:00:00"/>
    <x v="2"/>
    <s v="Electronics"/>
    <s v="East"/>
    <n v="6"/>
    <n v="3396"/>
  </r>
  <r>
    <d v="2023-08-11T00:00:00"/>
    <x v="5"/>
    <s v="Electronics"/>
    <s v="East"/>
    <n v="2"/>
    <n v="704"/>
  </r>
  <r>
    <d v="2024-10-21T00:00:00"/>
    <x v="2"/>
    <s v="Electronics"/>
    <s v="East"/>
    <n v="9"/>
    <n v="7767"/>
  </r>
  <r>
    <d v="2024-10-06T00:00:00"/>
    <x v="1"/>
    <s v="Accessories"/>
    <s v="West"/>
    <n v="5"/>
    <n v="2050"/>
  </r>
  <r>
    <d v="2023-08-08T00:00:00"/>
    <x v="6"/>
    <s v="Accessories"/>
    <s v="North"/>
    <n v="9"/>
    <n v="10458"/>
  </r>
  <r>
    <d v="2022-01-19T00:00:00"/>
    <x v="3"/>
    <s v="Electronics"/>
    <s v="South"/>
    <n v="4"/>
    <n v="4700"/>
  </r>
  <r>
    <d v="2024-04-30T00:00:00"/>
    <x v="7"/>
    <s v="Electronics"/>
    <s v="North"/>
    <n v="2"/>
    <n v="892"/>
  </r>
  <r>
    <d v="2023-12-26T00:00:00"/>
    <x v="9"/>
    <s v="Electronics"/>
    <s v="East"/>
    <n v="8"/>
    <n v="6968"/>
  </r>
  <r>
    <d v="2024-04-07T00:00:00"/>
    <x v="9"/>
    <s v="Electronics"/>
    <s v="North"/>
    <n v="7"/>
    <n v="1344"/>
  </r>
  <r>
    <d v="2022-10-18T00:00:00"/>
    <x v="3"/>
    <s v="Electronics"/>
    <s v="West"/>
    <n v="1"/>
    <n v="354"/>
  </r>
  <r>
    <d v="2024-04-21T00:00:00"/>
    <x v="6"/>
    <s v="Accessories"/>
    <s v="South"/>
    <n v="3"/>
    <n v="3051"/>
  </r>
  <r>
    <d v="2024-03-26T00:00:00"/>
    <x v="3"/>
    <s v="Electronics"/>
    <s v="South"/>
    <n v="3"/>
    <n v="402"/>
  </r>
  <r>
    <d v="2022-10-31T00:00:00"/>
    <x v="6"/>
    <s v="Accessories"/>
    <s v="North"/>
    <n v="5"/>
    <n v="3570"/>
  </r>
  <r>
    <d v="2023-03-03T00:00:00"/>
    <x v="8"/>
    <s v="Accessories"/>
    <s v="North"/>
    <n v="7"/>
    <n v="3829"/>
  </r>
  <r>
    <d v="2023-02-03T00:00:00"/>
    <x v="1"/>
    <s v="Accessories"/>
    <s v="North"/>
    <n v="7"/>
    <n v="4676"/>
  </r>
  <r>
    <d v="2023-04-15T00:00:00"/>
    <x v="8"/>
    <s v="Accessories"/>
    <s v="East"/>
    <n v="3"/>
    <n v="1119"/>
  </r>
  <r>
    <d v="2023-05-09T00:00:00"/>
    <x v="7"/>
    <s v="Electronics"/>
    <s v="East"/>
    <n v="4"/>
    <n v="4228"/>
  </r>
  <r>
    <d v="2022-01-02T00:00:00"/>
    <x v="4"/>
    <s v="Accessories"/>
    <s v="North"/>
    <n v="8"/>
    <n v="1240"/>
  </r>
  <r>
    <d v="2024-11-28T00:00:00"/>
    <x v="8"/>
    <s v="Accessories"/>
    <s v="North"/>
    <n v="9"/>
    <n v="3591"/>
  </r>
  <r>
    <d v="2022-02-05T00:00:00"/>
    <x v="0"/>
    <s v="Office"/>
    <s v="West"/>
    <n v="8"/>
    <n v="3952"/>
  </r>
  <r>
    <d v="2024-06-05T00:00:00"/>
    <x v="8"/>
    <s v="Accessories"/>
    <s v="South"/>
    <n v="6"/>
    <n v="3648"/>
  </r>
  <r>
    <d v="2024-11-15T00:00:00"/>
    <x v="6"/>
    <s v="Accessories"/>
    <s v="North"/>
    <n v="5"/>
    <n v="3875"/>
  </r>
  <r>
    <d v="2023-11-13T00:00:00"/>
    <x v="5"/>
    <s v="Electronics"/>
    <s v="West"/>
    <n v="8"/>
    <n v="3416"/>
  </r>
  <r>
    <d v="2022-02-19T00:00:00"/>
    <x v="2"/>
    <s v="Electronics"/>
    <s v="West"/>
    <n v="1"/>
    <n v="908"/>
  </r>
  <r>
    <d v="2024-05-06T00:00:00"/>
    <x v="4"/>
    <s v="Accessories"/>
    <s v="South"/>
    <n v="4"/>
    <n v="4532"/>
  </r>
  <r>
    <d v="2023-08-04T00:00:00"/>
    <x v="4"/>
    <s v="Accessories"/>
    <s v="East"/>
    <n v="4"/>
    <n v="4168"/>
  </r>
  <r>
    <d v="2023-09-23T00:00:00"/>
    <x v="9"/>
    <s v="Electronics"/>
    <s v="North"/>
    <n v="3"/>
    <n v="3543"/>
  </r>
  <r>
    <d v="2024-09-14T00:00:00"/>
    <x v="9"/>
    <s v="Electronics"/>
    <s v="East"/>
    <n v="6"/>
    <n v="5124"/>
  </r>
  <r>
    <d v="2023-03-17T00:00:00"/>
    <x v="5"/>
    <s v="Electronics"/>
    <s v="South"/>
    <n v="9"/>
    <n v="5751"/>
  </r>
  <r>
    <d v="2023-09-29T00:00:00"/>
    <x v="3"/>
    <s v="Electronics"/>
    <s v="East"/>
    <n v="2"/>
    <n v="624"/>
  </r>
  <r>
    <d v="2023-12-01T00:00:00"/>
    <x v="3"/>
    <s v="Electronics"/>
    <s v="South"/>
    <n v="1"/>
    <n v="508"/>
  </r>
  <r>
    <d v="2023-09-13T00:00:00"/>
    <x v="4"/>
    <s v="Accessories"/>
    <s v="South"/>
    <n v="4"/>
    <n v="4700"/>
  </r>
  <r>
    <d v="2022-03-14T00:00:00"/>
    <x v="8"/>
    <s v="Accessories"/>
    <s v="West"/>
    <n v="8"/>
    <n v="3216"/>
  </r>
  <r>
    <d v="2023-07-15T00:00:00"/>
    <x v="9"/>
    <s v="Electronics"/>
    <s v="West"/>
    <n v="6"/>
    <n v="2844"/>
  </r>
  <r>
    <d v="2022-05-29T00:00:00"/>
    <x v="7"/>
    <s v="Electronics"/>
    <s v="West"/>
    <n v="5"/>
    <n v="2385"/>
  </r>
  <r>
    <d v="2023-01-16T00:00:00"/>
    <x v="6"/>
    <s v="Accessories"/>
    <s v="South"/>
    <n v="8"/>
    <n v="928"/>
  </r>
  <r>
    <d v="2023-09-06T00:00:00"/>
    <x v="4"/>
    <s v="Accessories"/>
    <s v="North"/>
    <n v="6"/>
    <n v="4656"/>
  </r>
  <r>
    <d v="2023-03-29T00:00:00"/>
    <x v="4"/>
    <s v="Accessories"/>
    <s v="North"/>
    <n v="2"/>
    <n v="330"/>
  </r>
  <r>
    <d v="2023-11-01T00:00:00"/>
    <x v="3"/>
    <s v="Electronics"/>
    <s v="North"/>
    <n v="7"/>
    <n v="1799"/>
  </r>
  <r>
    <d v="2022-08-25T00:00:00"/>
    <x v="0"/>
    <s v="Office"/>
    <s v="East"/>
    <n v="1"/>
    <n v="1029"/>
  </r>
  <r>
    <d v="2022-12-30T00:00:00"/>
    <x v="4"/>
    <s v="Accessories"/>
    <s v="North"/>
    <n v="8"/>
    <n v="5432"/>
  </r>
  <r>
    <d v="2024-09-04T00:00:00"/>
    <x v="3"/>
    <s v="Electronics"/>
    <s v="West"/>
    <n v="5"/>
    <n v="5785"/>
  </r>
  <r>
    <d v="2024-01-08T00:00:00"/>
    <x v="0"/>
    <s v="Office"/>
    <s v="North"/>
    <n v="1"/>
    <n v="1062"/>
  </r>
  <r>
    <d v="2022-12-27T00:00:00"/>
    <x v="8"/>
    <s v="Accessories"/>
    <s v="North"/>
    <n v="1"/>
    <n v="163"/>
  </r>
  <r>
    <d v="2024-04-14T00:00:00"/>
    <x v="7"/>
    <s v="Electronics"/>
    <s v="West"/>
    <n v="9"/>
    <n v="9162"/>
  </r>
  <r>
    <d v="2023-02-10T00:00:00"/>
    <x v="0"/>
    <s v="Office"/>
    <s v="East"/>
    <n v="4"/>
    <n v="1440"/>
  </r>
  <r>
    <d v="2023-07-15T00:00:00"/>
    <x v="6"/>
    <s v="Accessories"/>
    <s v="South"/>
    <n v="5"/>
    <n v="1465"/>
  </r>
  <r>
    <d v="2024-10-27T00:00:00"/>
    <x v="6"/>
    <s v="Accessories"/>
    <s v="West"/>
    <n v="2"/>
    <n v="366"/>
  </r>
  <r>
    <d v="2024-07-19T00:00:00"/>
    <x v="3"/>
    <s v="Electronics"/>
    <s v="South"/>
    <n v="5"/>
    <n v="3135"/>
  </r>
  <r>
    <d v="2024-03-03T00:00:00"/>
    <x v="8"/>
    <s v="Accessories"/>
    <s v="North"/>
    <n v="2"/>
    <n v="630"/>
  </r>
  <r>
    <d v="2024-04-12T00:00:00"/>
    <x v="6"/>
    <s v="Accessories"/>
    <s v="South"/>
    <n v="1"/>
    <n v="213"/>
  </r>
  <r>
    <d v="2024-06-20T00:00:00"/>
    <x v="6"/>
    <s v="Accessories"/>
    <s v="North"/>
    <n v="4"/>
    <n v="3792"/>
  </r>
  <r>
    <d v="2023-06-21T00:00:00"/>
    <x v="1"/>
    <s v="Accessories"/>
    <s v="East"/>
    <n v="2"/>
    <n v="1932"/>
  </r>
  <r>
    <d v="2023-01-25T00:00:00"/>
    <x v="8"/>
    <s v="Accessories"/>
    <s v="West"/>
    <n v="4"/>
    <n v="4152"/>
  </r>
  <r>
    <d v="2024-02-17T00:00:00"/>
    <x v="7"/>
    <s v="Electronics"/>
    <s v="North"/>
    <n v="7"/>
    <n v="3612"/>
  </r>
  <r>
    <d v="2024-09-09T00:00:00"/>
    <x v="7"/>
    <s v="Electronics"/>
    <s v="East"/>
    <n v="2"/>
    <n v="2258"/>
  </r>
  <r>
    <d v="2022-07-09T00:00:00"/>
    <x v="3"/>
    <s v="Electronics"/>
    <s v="South"/>
    <n v="3"/>
    <n v="594"/>
  </r>
  <r>
    <d v="2023-09-01T00:00:00"/>
    <x v="4"/>
    <s v="Accessories"/>
    <s v="West"/>
    <n v="7"/>
    <n v="8071"/>
  </r>
  <r>
    <d v="2024-03-30T00:00:00"/>
    <x v="8"/>
    <s v="Accessories"/>
    <s v="North"/>
    <n v="7"/>
    <n v="5838"/>
  </r>
  <r>
    <d v="2024-12-22T00:00:00"/>
    <x v="8"/>
    <s v="Accessories"/>
    <s v="North"/>
    <n v="4"/>
    <n v="692"/>
  </r>
  <r>
    <d v="2024-09-08T00:00:00"/>
    <x v="8"/>
    <s v="Accessories"/>
    <s v="South"/>
    <n v="3"/>
    <n v="1704"/>
  </r>
  <r>
    <d v="2023-01-21T00:00:00"/>
    <x v="0"/>
    <s v="Office"/>
    <s v="South"/>
    <n v="5"/>
    <n v="3235"/>
  </r>
  <r>
    <d v="2023-10-12T00:00:00"/>
    <x v="1"/>
    <s v="Accessories"/>
    <s v="East"/>
    <n v="6"/>
    <n v="4746"/>
  </r>
  <r>
    <d v="2022-08-01T00:00:00"/>
    <x v="5"/>
    <s v="Electronics"/>
    <s v="South"/>
    <n v="8"/>
    <n v="7600"/>
  </r>
  <r>
    <d v="2023-11-03T00:00:00"/>
    <x v="7"/>
    <s v="Electronics"/>
    <s v="West"/>
    <n v="5"/>
    <n v="1935"/>
  </r>
  <r>
    <d v="2023-12-04T00:00:00"/>
    <x v="9"/>
    <s v="Electronics"/>
    <s v="North"/>
    <n v="3"/>
    <n v="1638"/>
  </r>
  <r>
    <d v="2023-06-30T00:00:00"/>
    <x v="8"/>
    <s v="Accessories"/>
    <s v="West"/>
    <n v="7"/>
    <n v="4746"/>
  </r>
  <r>
    <d v="2023-02-01T00:00:00"/>
    <x v="7"/>
    <s v="Electronics"/>
    <s v="North"/>
    <n v="8"/>
    <n v="4824"/>
  </r>
  <r>
    <d v="2022-05-09T00:00:00"/>
    <x v="3"/>
    <s v="Electronics"/>
    <s v="South"/>
    <n v="1"/>
    <n v="1193"/>
  </r>
  <r>
    <d v="2023-12-16T00:00:00"/>
    <x v="9"/>
    <s v="Electronics"/>
    <s v="East"/>
    <n v="2"/>
    <n v="562"/>
  </r>
  <r>
    <d v="2022-03-20T00:00:00"/>
    <x v="7"/>
    <s v="Electronics"/>
    <s v="North"/>
    <n v="8"/>
    <n v="6200"/>
  </r>
  <r>
    <d v="2024-07-28T00:00:00"/>
    <x v="0"/>
    <s v="Office"/>
    <s v="North"/>
    <n v="8"/>
    <n v="4128"/>
  </r>
  <r>
    <d v="2022-03-28T00:00:00"/>
    <x v="0"/>
    <s v="Office"/>
    <s v="East"/>
    <n v="5"/>
    <n v="5405"/>
  </r>
  <r>
    <d v="2024-11-06T00:00:00"/>
    <x v="9"/>
    <s v="Electronics"/>
    <s v="North"/>
    <n v="3"/>
    <n v="1371"/>
  </r>
  <r>
    <d v="2023-01-01T00:00:00"/>
    <x v="8"/>
    <s v="Accessories"/>
    <s v="West"/>
    <n v="5"/>
    <n v="1405"/>
  </r>
  <r>
    <d v="2023-03-18T00:00:00"/>
    <x v="8"/>
    <s v="Accessories"/>
    <s v="North"/>
    <n v="3"/>
    <n v="1644"/>
  </r>
  <r>
    <d v="2024-09-18T00:00:00"/>
    <x v="1"/>
    <s v="Accessories"/>
    <s v="West"/>
    <n v="6"/>
    <n v="3414"/>
  </r>
  <r>
    <d v="2024-08-19T00:00:00"/>
    <x v="9"/>
    <s v="Electronics"/>
    <s v="East"/>
    <n v="8"/>
    <n v="3272"/>
  </r>
  <r>
    <d v="2022-06-18T00:00:00"/>
    <x v="7"/>
    <s v="Electronics"/>
    <s v="North"/>
    <n v="3"/>
    <n v="2655"/>
  </r>
  <r>
    <d v="2022-05-29T00:00:00"/>
    <x v="5"/>
    <s v="Electronics"/>
    <s v="West"/>
    <n v="7"/>
    <n v="1673"/>
  </r>
  <r>
    <d v="2022-06-09T00:00:00"/>
    <x v="2"/>
    <s v="Electronics"/>
    <s v="East"/>
    <n v="2"/>
    <n v="846"/>
  </r>
  <r>
    <d v="2023-05-03T00:00:00"/>
    <x v="7"/>
    <s v="Electronics"/>
    <s v="East"/>
    <n v="1"/>
    <n v="985"/>
  </r>
  <r>
    <d v="2023-11-17T00:00:00"/>
    <x v="5"/>
    <s v="Electronics"/>
    <s v="North"/>
    <n v="9"/>
    <n v="7551"/>
  </r>
  <r>
    <d v="2022-02-08T00:00:00"/>
    <x v="2"/>
    <s v="Electronics"/>
    <s v="North"/>
    <n v="5"/>
    <n v="855"/>
  </r>
  <r>
    <d v="2023-10-23T00:00:00"/>
    <x v="3"/>
    <s v="Electronics"/>
    <s v="South"/>
    <n v="2"/>
    <n v="396"/>
  </r>
  <r>
    <d v="2022-08-24T00:00:00"/>
    <x v="2"/>
    <s v="Electronics"/>
    <s v="West"/>
    <n v="8"/>
    <n v="2296"/>
  </r>
  <r>
    <d v="2024-05-09T00:00:00"/>
    <x v="6"/>
    <s v="Accessories"/>
    <s v="North"/>
    <n v="6"/>
    <n v="1704"/>
  </r>
  <r>
    <d v="2023-03-12T00:00:00"/>
    <x v="7"/>
    <s v="Electronics"/>
    <s v="East"/>
    <n v="2"/>
    <n v="1180"/>
  </r>
  <r>
    <d v="2022-10-05T00:00:00"/>
    <x v="7"/>
    <s v="Electronics"/>
    <s v="East"/>
    <n v="3"/>
    <n v="411"/>
  </r>
  <r>
    <d v="2022-01-19T00:00:00"/>
    <x v="1"/>
    <s v="Accessories"/>
    <s v="East"/>
    <n v="1"/>
    <n v="745"/>
  </r>
  <r>
    <d v="2022-05-09T00:00:00"/>
    <x v="0"/>
    <s v="Office"/>
    <s v="West"/>
    <n v="9"/>
    <n v="10656"/>
  </r>
  <r>
    <d v="2024-05-23T00:00:00"/>
    <x v="1"/>
    <s v="Accessories"/>
    <s v="South"/>
    <n v="3"/>
    <n v="1494"/>
  </r>
  <r>
    <d v="2024-07-11T00:00:00"/>
    <x v="3"/>
    <s v="Electronics"/>
    <s v="South"/>
    <n v="5"/>
    <n v="1755"/>
  </r>
  <r>
    <d v="2022-08-22T00:00:00"/>
    <x v="3"/>
    <s v="Electronics"/>
    <s v="South"/>
    <n v="9"/>
    <n v="4941"/>
  </r>
  <r>
    <d v="2024-11-03T00:00:00"/>
    <x v="5"/>
    <s v="Electronics"/>
    <s v="North"/>
    <n v="6"/>
    <n v="6510"/>
  </r>
  <r>
    <d v="2024-10-11T00:00:00"/>
    <x v="7"/>
    <s v="Electronics"/>
    <s v="South"/>
    <n v="5"/>
    <n v="5465"/>
  </r>
  <r>
    <d v="2024-11-09T00:00:00"/>
    <x v="2"/>
    <s v="Electronics"/>
    <s v="South"/>
    <n v="3"/>
    <n v="3522"/>
  </r>
  <r>
    <d v="2024-04-01T00:00:00"/>
    <x v="2"/>
    <s v="Electronics"/>
    <s v="West"/>
    <n v="6"/>
    <n v="1656"/>
  </r>
  <r>
    <d v="2022-07-07T00:00:00"/>
    <x v="0"/>
    <s v="Office"/>
    <s v="North"/>
    <n v="5"/>
    <n v="1255"/>
  </r>
  <r>
    <d v="2023-06-10T00:00:00"/>
    <x v="8"/>
    <s v="Accessories"/>
    <s v="East"/>
    <n v="1"/>
    <n v="1192"/>
  </r>
  <r>
    <d v="2023-05-15T00:00:00"/>
    <x v="2"/>
    <s v="Electronics"/>
    <s v="West"/>
    <n v="5"/>
    <n v="1925"/>
  </r>
  <r>
    <d v="2022-06-08T00:00:00"/>
    <x v="2"/>
    <s v="Electronics"/>
    <s v="West"/>
    <n v="8"/>
    <n v="1688"/>
  </r>
  <r>
    <d v="2023-06-26T00:00:00"/>
    <x v="4"/>
    <s v="Accessories"/>
    <s v="South"/>
    <n v="1"/>
    <n v="260"/>
  </r>
  <r>
    <d v="2022-01-19T00:00:00"/>
    <x v="6"/>
    <s v="Accessories"/>
    <s v="West"/>
    <n v="5"/>
    <n v="4880"/>
  </r>
  <r>
    <d v="2024-04-10T00:00:00"/>
    <x v="8"/>
    <s v="Accessories"/>
    <s v="West"/>
    <n v="7"/>
    <n v="1134"/>
  </r>
  <r>
    <d v="2022-06-10T00:00:00"/>
    <x v="9"/>
    <s v="Electronics"/>
    <s v="North"/>
    <n v="9"/>
    <n v="9621"/>
  </r>
  <r>
    <d v="2023-02-03T00:00:00"/>
    <x v="6"/>
    <s v="Accessories"/>
    <s v="South"/>
    <n v="4"/>
    <n v="2836"/>
  </r>
  <r>
    <d v="2023-05-15T00:00:00"/>
    <x v="0"/>
    <s v="Office"/>
    <s v="North"/>
    <n v="9"/>
    <n v="5859"/>
  </r>
  <r>
    <d v="2022-09-11T00:00:00"/>
    <x v="5"/>
    <s v="Electronics"/>
    <s v="South"/>
    <n v="2"/>
    <n v="2044"/>
  </r>
  <r>
    <d v="2023-07-01T00:00:00"/>
    <x v="6"/>
    <s v="Accessories"/>
    <s v="South"/>
    <n v="1"/>
    <n v="612"/>
  </r>
  <r>
    <d v="2022-02-18T00:00:00"/>
    <x v="5"/>
    <s v="Electronics"/>
    <s v="North"/>
    <n v="3"/>
    <n v="1890"/>
  </r>
  <r>
    <d v="2023-09-30T00:00:00"/>
    <x v="5"/>
    <s v="Electronics"/>
    <s v="East"/>
    <n v="5"/>
    <n v="2025"/>
  </r>
  <r>
    <d v="2023-09-04T00:00:00"/>
    <x v="0"/>
    <s v="Office"/>
    <s v="South"/>
    <n v="2"/>
    <n v="1960"/>
  </r>
  <r>
    <d v="2022-07-07T00:00:00"/>
    <x v="3"/>
    <s v="Electronics"/>
    <s v="North"/>
    <n v="6"/>
    <n v="4410"/>
  </r>
  <r>
    <d v="2024-07-14T00:00:00"/>
    <x v="8"/>
    <s v="Accessories"/>
    <s v="West"/>
    <n v="8"/>
    <n v="8272"/>
  </r>
  <r>
    <d v="2022-09-27T00:00:00"/>
    <x v="5"/>
    <s v="Electronics"/>
    <s v="West"/>
    <n v="6"/>
    <n v="5712"/>
  </r>
  <r>
    <d v="2024-04-20T00:00:00"/>
    <x v="5"/>
    <s v="Electronics"/>
    <s v="North"/>
    <n v="6"/>
    <n v="1524"/>
  </r>
  <r>
    <d v="2024-05-24T00:00:00"/>
    <x v="8"/>
    <s v="Accessories"/>
    <s v="North"/>
    <n v="8"/>
    <n v="5160"/>
  </r>
  <r>
    <d v="2024-12-29T00:00:00"/>
    <x v="1"/>
    <s v="Accessories"/>
    <s v="East"/>
    <n v="4"/>
    <n v="2956"/>
  </r>
  <r>
    <d v="2023-05-07T00:00:00"/>
    <x v="7"/>
    <s v="Electronics"/>
    <s v="West"/>
    <n v="8"/>
    <n v="7944"/>
  </r>
  <r>
    <d v="2024-09-10T00:00:00"/>
    <x v="3"/>
    <s v="Electronics"/>
    <s v="North"/>
    <n v="5"/>
    <n v="1815"/>
  </r>
  <r>
    <d v="2023-03-21T00:00:00"/>
    <x v="4"/>
    <s v="Accessories"/>
    <s v="North"/>
    <n v="3"/>
    <n v="2706"/>
  </r>
  <r>
    <d v="2023-05-05T00:00:00"/>
    <x v="9"/>
    <s v="Electronics"/>
    <s v="North"/>
    <n v="2"/>
    <n v="1356"/>
  </r>
  <r>
    <d v="2023-07-27T00:00:00"/>
    <x v="0"/>
    <s v="Office"/>
    <s v="South"/>
    <n v="6"/>
    <n v="6384"/>
  </r>
  <r>
    <d v="2023-06-13T00:00:00"/>
    <x v="5"/>
    <s v="Electronics"/>
    <s v="South"/>
    <n v="9"/>
    <n v="4248"/>
  </r>
  <r>
    <d v="2024-05-02T00:00:00"/>
    <x v="6"/>
    <s v="Accessories"/>
    <s v="North"/>
    <n v="6"/>
    <n v="3954"/>
  </r>
  <r>
    <d v="2024-04-21T00:00:00"/>
    <x v="7"/>
    <s v="Electronics"/>
    <s v="South"/>
    <n v="6"/>
    <n v="7110"/>
  </r>
  <r>
    <d v="2023-07-25T00:00:00"/>
    <x v="4"/>
    <s v="Accessories"/>
    <s v="South"/>
    <n v="7"/>
    <n v="8113"/>
  </r>
  <r>
    <d v="2023-01-26T00:00:00"/>
    <x v="4"/>
    <s v="Accessories"/>
    <s v="North"/>
    <n v="3"/>
    <n v="1830"/>
  </r>
  <r>
    <d v="2023-01-11T00:00:00"/>
    <x v="8"/>
    <s v="Accessories"/>
    <s v="West"/>
    <n v="4"/>
    <n v="3732"/>
  </r>
  <r>
    <d v="2024-09-27T00:00:00"/>
    <x v="1"/>
    <s v="Accessories"/>
    <s v="West"/>
    <n v="6"/>
    <n v="4062"/>
  </r>
  <r>
    <d v="2024-12-03T00:00:00"/>
    <x v="5"/>
    <s v="Electronics"/>
    <s v="North"/>
    <n v="1"/>
    <n v="496"/>
  </r>
  <r>
    <d v="2023-08-24T00:00:00"/>
    <x v="5"/>
    <s v="Electronics"/>
    <s v="East"/>
    <n v="4"/>
    <n v="1104"/>
  </r>
  <r>
    <d v="2023-05-19T00:00:00"/>
    <x v="7"/>
    <s v="Electronics"/>
    <s v="West"/>
    <n v="3"/>
    <n v="2274"/>
  </r>
  <r>
    <d v="2022-06-13T00:00:00"/>
    <x v="5"/>
    <s v="Electronics"/>
    <s v="North"/>
    <n v="8"/>
    <n v="4456"/>
  </r>
  <r>
    <d v="2022-08-26T00:00:00"/>
    <x v="1"/>
    <s v="Accessories"/>
    <s v="West"/>
    <n v="8"/>
    <n v="4928"/>
  </r>
  <r>
    <d v="2023-01-22T00:00:00"/>
    <x v="7"/>
    <s v="Electronics"/>
    <s v="North"/>
    <n v="4"/>
    <n v="1740"/>
  </r>
  <r>
    <d v="2022-08-08T00:00:00"/>
    <x v="4"/>
    <s v="Accessories"/>
    <s v="North"/>
    <n v="2"/>
    <n v="178"/>
  </r>
  <r>
    <d v="2023-11-19T00:00:00"/>
    <x v="0"/>
    <s v="Office"/>
    <s v="East"/>
    <n v="8"/>
    <n v="5296"/>
  </r>
  <r>
    <d v="2023-06-28T00:00:00"/>
    <x v="1"/>
    <s v="Accessories"/>
    <s v="North"/>
    <n v="4"/>
    <n v="4156"/>
  </r>
  <r>
    <d v="2024-10-09T00:00:00"/>
    <x v="0"/>
    <s v="Office"/>
    <s v="North"/>
    <n v="1"/>
    <n v="624"/>
  </r>
  <r>
    <d v="2022-09-04T00:00:00"/>
    <x v="7"/>
    <s v="Electronics"/>
    <s v="West"/>
    <n v="4"/>
    <n v="3892"/>
  </r>
  <r>
    <d v="2024-07-18T00:00:00"/>
    <x v="1"/>
    <s v="Accessories"/>
    <s v="South"/>
    <n v="9"/>
    <n v="1620"/>
  </r>
  <r>
    <d v="2022-09-22T00:00:00"/>
    <x v="1"/>
    <s v="Accessories"/>
    <s v="West"/>
    <n v="3"/>
    <n v="2250"/>
  </r>
  <r>
    <d v="2024-07-31T00:00:00"/>
    <x v="6"/>
    <s v="Accessories"/>
    <s v="West"/>
    <n v="2"/>
    <n v="1390"/>
  </r>
  <r>
    <d v="2023-04-21T00:00:00"/>
    <x v="3"/>
    <s v="Electronics"/>
    <s v="South"/>
    <n v="5"/>
    <n v="5155"/>
  </r>
  <r>
    <d v="2022-07-09T00:00:00"/>
    <x v="5"/>
    <s v="Electronics"/>
    <s v="North"/>
    <n v="5"/>
    <n v="1025"/>
  </r>
  <r>
    <d v="2024-07-31T00:00:00"/>
    <x v="1"/>
    <s v="Accessories"/>
    <s v="South"/>
    <n v="3"/>
    <n v="1785"/>
  </r>
  <r>
    <d v="2022-09-30T00:00:00"/>
    <x v="5"/>
    <s v="Electronics"/>
    <s v="North"/>
    <n v="9"/>
    <n v="2952"/>
  </r>
  <r>
    <d v="2024-12-25T00:00:00"/>
    <x v="4"/>
    <s v="Accessories"/>
    <s v="East"/>
    <n v="1"/>
    <n v="773"/>
  </r>
  <r>
    <d v="2023-03-30T00:00:00"/>
    <x v="2"/>
    <s v="Electronics"/>
    <s v="North"/>
    <n v="8"/>
    <n v="1640"/>
  </r>
  <r>
    <d v="2023-10-02T00:00:00"/>
    <x v="8"/>
    <s v="Accessories"/>
    <s v="East"/>
    <n v="1"/>
    <n v="1017"/>
  </r>
  <r>
    <d v="2022-05-23T00:00:00"/>
    <x v="4"/>
    <s v="Accessories"/>
    <s v="East"/>
    <n v="4"/>
    <n v="1964"/>
  </r>
  <r>
    <d v="2023-04-05T00:00:00"/>
    <x v="1"/>
    <s v="Accessories"/>
    <s v="North"/>
    <n v="3"/>
    <n v="2994"/>
  </r>
  <r>
    <d v="2023-10-08T00:00:00"/>
    <x v="0"/>
    <s v="Office"/>
    <s v="East"/>
    <n v="9"/>
    <n v="8046"/>
  </r>
  <r>
    <d v="2022-05-22T00:00:00"/>
    <x v="0"/>
    <s v="Office"/>
    <s v="West"/>
    <n v="2"/>
    <n v="1874"/>
  </r>
  <r>
    <d v="2023-08-19T00:00:00"/>
    <x v="1"/>
    <s v="Accessories"/>
    <s v="North"/>
    <n v="8"/>
    <n v="6008"/>
  </r>
  <r>
    <d v="2023-09-06T00:00:00"/>
    <x v="3"/>
    <s v="Electronics"/>
    <s v="East"/>
    <n v="8"/>
    <n v="7240"/>
  </r>
  <r>
    <d v="2024-06-17T00:00:00"/>
    <x v="6"/>
    <s v="Accessories"/>
    <s v="South"/>
    <n v="9"/>
    <n v="1188"/>
  </r>
  <r>
    <d v="2024-12-22T00:00:00"/>
    <x v="4"/>
    <s v="Accessories"/>
    <s v="North"/>
    <n v="9"/>
    <n v="2997"/>
  </r>
  <r>
    <d v="2023-02-02T00:00:00"/>
    <x v="0"/>
    <s v="Office"/>
    <s v="West"/>
    <n v="9"/>
    <n v="7524"/>
  </r>
  <r>
    <d v="2022-10-13T00:00:00"/>
    <x v="6"/>
    <s v="Accessories"/>
    <s v="North"/>
    <n v="5"/>
    <n v="3625"/>
  </r>
  <r>
    <d v="2024-03-31T00:00:00"/>
    <x v="9"/>
    <s v="Electronics"/>
    <s v="East"/>
    <n v="8"/>
    <n v="6952"/>
  </r>
  <r>
    <d v="2023-05-29T00:00:00"/>
    <x v="3"/>
    <s v="Electronics"/>
    <s v="North"/>
    <n v="9"/>
    <n v="1053"/>
  </r>
  <r>
    <d v="2024-12-21T00:00:00"/>
    <x v="6"/>
    <s v="Accessories"/>
    <s v="North"/>
    <n v="9"/>
    <n v="6696"/>
  </r>
  <r>
    <d v="2024-10-09T00:00:00"/>
    <x v="4"/>
    <s v="Accessories"/>
    <s v="North"/>
    <n v="2"/>
    <n v="1420"/>
  </r>
  <r>
    <d v="2023-12-29T00:00:00"/>
    <x v="3"/>
    <s v="Electronics"/>
    <s v="West"/>
    <n v="9"/>
    <n v="9972"/>
  </r>
  <r>
    <d v="2022-11-28T00:00:00"/>
    <x v="9"/>
    <s v="Electronics"/>
    <s v="South"/>
    <n v="8"/>
    <n v="3136"/>
  </r>
  <r>
    <d v="2023-02-10T00:00:00"/>
    <x v="3"/>
    <s v="Electronics"/>
    <s v="West"/>
    <n v="3"/>
    <n v="225"/>
  </r>
  <r>
    <d v="2022-05-12T00:00:00"/>
    <x v="1"/>
    <s v="Accessories"/>
    <s v="East"/>
    <n v="3"/>
    <n v="1662"/>
  </r>
  <r>
    <d v="2024-05-03T00:00:00"/>
    <x v="0"/>
    <s v="Office"/>
    <s v="West"/>
    <n v="4"/>
    <n v="500"/>
  </r>
  <r>
    <d v="2022-08-02T00:00:00"/>
    <x v="7"/>
    <s v="Electronics"/>
    <s v="North"/>
    <n v="8"/>
    <n v="3168"/>
  </r>
  <r>
    <d v="2023-12-31T00:00:00"/>
    <x v="7"/>
    <s v="Electronics"/>
    <s v="East"/>
    <n v="1"/>
    <n v="622"/>
  </r>
  <r>
    <d v="2022-04-03T00:00:00"/>
    <x v="2"/>
    <s v="Electronics"/>
    <s v="North"/>
    <n v="3"/>
    <n v="1233"/>
  </r>
  <r>
    <d v="2024-01-19T00:00:00"/>
    <x v="9"/>
    <s v="Electronics"/>
    <s v="West"/>
    <n v="3"/>
    <n v="573"/>
  </r>
  <r>
    <d v="2022-02-18T00:00:00"/>
    <x v="2"/>
    <s v="Electronics"/>
    <s v="South"/>
    <n v="1"/>
    <n v="702"/>
  </r>
  <r>
    <d v="2024-05-14T00:00:00"/>
    <x v="9"/>
    <s v="Electronics"/>
    <s v="South"/>
    <n v="8"/>
    <n v="4832"/>
  </r>
  <r>
    <d v="2023-01-17T00:00:00"/>
    <x v="0"/>
    <s v="Office"/>
    <s v="North"/>
    <n v="5"/>
    <n v="3765"/>
  </r>
  <r>
    <d v="2024-05-05T00:00:00"/>
    <x v="3"/>
    <s v="Electronics"/>
    <s v="North"/>
    <n v="8"/>
    <n v="6928"/>
  </r>
  <r>
    <d v="2023-02-01T00:00:00"/>
    <x v="4"/>
    <s v="Accessories"/>
    <s v="West"/>
    <n v="7"/>
    <n v="1624"/>
  </r>
  <r>
    <d v="2023-04-01T00:00:00"/>
    <x v="4"/>
    <s v="Accessories"/>
    <s v="North"/>
    <n v="1"/>
    <n v="68"/>
  </r>
  <r>
    <d v="2023-06-04T00:00:00"/>
    <x v="1"/>
    <s v="Accessories"/>
    <s v="North"/>
    <n v="1"/>
    <n v="651"/>
  </r>
  <r>
    <d v="2024-09-16T00:00:00"/>
    <x v="0"/>
    <s v="Office"/>
    <s v="North"/>
    <n v="7"/>
    <n v="6293"/>
  </r>
  <r>
    <d v="2023-02-16T00:00:00"/>
    <x v="8"/>
    <s v="Accessories"/>
    <s v="West"/>
    <n v="2"/>
    <n v="1068"/>
  </r>
  <r>
    <d v="2023-10-17T00:00:00"/>
    <x v="8"/>
    <s v="Accessories"/>
    <s v="North"/>
    <n v="1"/>
    <n v="381"/>
  </r>
  <r>
    <d v="2022-07-21T00:00:00"/>
    <x v="0"/>
    <s v="Office"/>
    <s v="South"/>
    <n v="2"/>
    <n v="2016"/>
  </r>
  <r>
    <d v="2024-02-10T00:00:00"/>
    <x v="4"/>
    <s v="Accessories"/>
    <s v="West"/>
    <n v="2"/>
    <n v="1224"/>
  </r>
  <r>
    <d v="2022-10-23T00:00:00"/>
    <x v="6"/>
    <s v="Accessories"/>
    <s v="South"/>
    <n v="5"/>
    <n v="2180"/>
  </r>
  <r>
    <d v="2024-09-12T00:00:00"/>
    <x v="9"/>
    <s v="Electronics"/>
    <s v="North"/>
    <n v="9"/>
    <n v="2853"/>
  </r>
  <r>
    <d v="2022-10-04T00:00:00"/>
    <x v="1"/>
    <s v="Accessories"/>
    <s v="South"/>
    <n v="1"/>
    <n v="272"/>
  </r>
  <r>
    <d v="2022-03-14T00:00:00"/>
    <x v="7"/>
    <s v="Electronics"/>
    <s v="North"/>
    <n v="4"/>
    <n v="2640"/>
  </r>
  <r>
    <d v="2024-04-26T00:00:00"/>
    <x v="6"/>
    <s v="Accessories"/>
    <s v="North"/>
    <n v="2"/>
    <n v="488"/>
  </r>
  <r>
    <d v="2023-11-10T00:00:00"/>
    <x v="0"/>
    <s v="Office"/>
    <s v="South"/>
    <n v="8"/>
    <n v="9184"/>
  </r>
  <r>
    <d v="2024-04-12T00:00:00"/>
    <x v="2"/>
    <s v="Electronics"/>
    <s v="North"/>
    <n v="5"/>
    <n v="280"/>
  </r>
  <r>
    <d v="2024-10-03T00:00:00"/>
    <x v="8"/>
    <s v="Accessories"/>
    <s v="East"/>
    <n v="3"/>
    <n v="2889"/>
  </r>
  <r>
    <d v="2024-07-18T00:00:00"/>
    <x v="9"/>
    <s v="Electronics"/>
    <s v="West"/>
    <n v="1"/>
    <n v="625"/>
  </r>
  <r>
    <d v="2024-04-16T00:00:00"/>
    <x v="8"/>
    <s v="Accessories"/>
    <s v="South"/>
    <n v="8"/>
    <n v="7056"/>
  </r>
  <r>
    <d v="2023-07-11T00:00:00"/>
    <x v="2"/>
    <s v="Electronics"/>
    <s v="West"/>
    <n v="8"/>
    <n v="3936"/>
  </r>
  <r>
    <d v="2022-09-19T00:00:00"/>
    <x v="5"/>
    <s v="Electronics"/>
    <s v="East"/>
    <n v="6"/>
    <n v="2472"/>
  </r>
  <r>
    <d v="2022-06-19T00:00:00"/>
    <x v="1"/>
    <s v="Accessories"/>
    <s v="West"/>
    <n v="5"/>
    <n v="855"/>
  </r>
  <r>
    <d v="2024-02-25T00:00:00"/>
    <x v="1"/>
    <s v="Accessories"/>
    <s v="West"/>
    <n v="3"/>
    <n v="3480"/>
  </r>
  <r>
    <d v="2023-03-07T00:00:00"/>
    <x v="3"/>
    <s v="Electronics"/>
    <s v="South"/>
    <n v="1"/>
    <n v="846"/>
  </r>
  <r>
    <d v="2022-03-09T00:00:00"/>
    <x v="8"/>
    <s v="Accessories"/>
    <s v="North"/>
    <n v="1"/>
    <n v="158"/>
  </r>
  <r>
    <d v="2022-12-31T00:00:00"/>
    <x v="1"/>
    <s v="Accessories"/>
    <s v="South"/>
    <n v="9"/>
    <n v="3186"/>
  </r>
  <r>
    <d v="2024-02-01T00:00:00"/>
    <x v="1"/>
    <s v="Accessories"/>
    <s v="North"/>
    <n v="7"/>
    <n v="6972"/>
  </r>
  <r>
    <d v="2024-04-15T00:00:00"/>
    <x v="1"/>
    <s v="Accessories"/>
    <s v="East"/>
    <n v="5"/>
    <n v="1745"/>
  </r>
  <r>
    <d v="2024-05-15T00:00:00"/>
    <x v="9"/>
    <s v="Electronics"/>
    <s v="East"/>
    <n v="8"/>
    <n v="4256"/>
  </r>
  <r>
    <d v="2022-04-14T00:00:00"/>
    <x v="8"/>
    <s v="Accessories"/>
    <s v="South"/>
    <n v="3"/>
    <n v="1674"/>
  </r>
  <r>
    <d v="2024-09-25T00:00:00"/>
    <x v="3"/>
    <s v="Electronics"/>
    <s v="North"/>
    <n v="8"/>
    <n v="6488"/>
  </r>
  <r>
    <d v="2022-03-05T00:00:00"/>
    <x v="2"/>
    <s v="Electronics"/>
    <s v="East"/>
    <n v="5"/>
    <n v="3530"/>
  </r>
  <r>
    <d v="2022-09-03T00:00:00"/>
    <x v="1"/>
    <s v="Accessories"/>
    <s v="North"/>
    <n v="2"/>
    <n v="632"/>
  </r>
  <r>
    <d v="2024-11-09T00:00:00"/>
    <x v="6"/>
    <s v="Accessories"/>
    <s v="North"/>
    <n v="7"/>
    <n v="3675"/>
  </r>
  <r>
    <d v="2023-09-12T00:00:00"/>
    <x v="5"/>
    <s v="Electronics"/>
    <s v="West"/>
    <n v="6"/>
    <n v="5592"/>
  </r>
  <r>
    <d v="2023-02-11T00:00:00"/>
    <x v="8"/>
    <s v="Accessories"/>
    <s v="East"/>
    <n v="6"/>
    <n v="6432"/>
  </r>
  <r>
    <d v="2023-08-27T00:00:00"/>
    <x v="3"/>
    <s v="Electronics"/>
    <s v="East"/>
    <n v="3"/>
    <n v="3069"/>
  </r>
  <r>
    <d v="2023-05-26T00:00:00"/>
    <x v="8"/>
    <s v="Accessories"/>
    <s v="North"/>
    <n v="7"/>
    <n v="2898"/>
  </r>
  <r>
    <d v="2024-05-30T00:00:00"/>
    <x v="2"/>
    <s v="Electronics"/>
    <s v="North"/>
    <n v="4"/>
    <n v="3960"/>
  </r>
  <r>
    <d v="2024-07-31T00:00:00"/>
    <x v="2"/>
    <s v="Electronics"/>
    <s v="South"/>
    <n v="3"/>
    <n v="1476"/>
  </r>
  <r>
    <d v="2023-11-14T00:00:00"/>
    <x v="0"/>
    <s v="Office"/>
    <s v="East"/>
    <n v="2"/>
    <n v="1058"/>
  </r>
  <r>
    <d v="2023-11-27T00:00:00"/>
    <x v="6"/>
    <s v="Accessories"/>
    <s v="South"/>
    <n v="5"/>
    <n v="1215"/>
  </r>
  <r>
    <d v="2024-03-04T00:00:00"/>
    <x v="3"/>
    <s v="Electronics"/>
    <s v="North"/>
    <n v="3"/>
    <n v="204"/>
  </r>
  <r>
    <d v="2024-12-24T00:00:00"/>
    <x v="2"/>
    <s v="Electronics"/>
    <s v="West"/>
    <n v="7"/>
    <n v="4137"/>
  </r>
  <r>
    <d v="2022-05-21T00:00:00"/>
    <x v="3"/>
    <s v="Electronics"/>
    <s v="West"/>
    <n v="5"/>
    <n v="250"/>
  </r>
  <r>
    <d v="2022-09-14T00:00:00"/>
    <x v="2"/>
    <s v="Electronics"/>
    <s v="West"/>
    <n v="5"/>
    <n v="1185"/>
  </r>
  <r>
    <d v="2024-03-12T00:00:00"/>
    <x v="4"/>
    <s v="Accessories"/>
    <s v="South"/>
    <n v="2"/>
    <n v="1504"/>
  </r>
  <r>
    <d v="2024-06-28T00:00:00"/>
    <x v="8"/>
    <s v="Accessories"/>
    <s v="West"/>
    <n v="6"/>
    <n v="6888"/>
  </r>
  <r>
    <d v="2024-12-25T00:00:00"/>
    <x v="7"/>
    <s v="Electronics"/>
    <s v="West"/>
    <n v="3"/>
    <n v="3588"/>
  </r>
  <r>
    <d v="2022-11-18T00:00:00"/>
    <x v="9"/>
    <s v="Electronics"/>
    <s v="South"/>
    <n v="7"/>
    <n v="1477"/>
  </r>
  <r>
    <d v="2022-10-22T00:00:00"/>
    <x v="5"/>
    <s v="Electronics"/>
    <s v="East"/>
    <n v="8"/>
    <n v="1280"/>
  </r>
  <r>
    <d v="2024-11-16T00:00:00"/>
    <x v="2"/>
    <s v="Electronics"/>
    <s v="South"/>
    <n v="7"/>
    <n v="7161"/>
  </r>
  <r>
    <d v="2023-03-13T00:00:00"/>
    <x v="0"/>
    <s v="Office"/>
    <s v="North"/>
    <n v="5"/>
    <n v="1850"/>
  </r>
  <r>
    <d v="2023-12-27T00:00:00"/>
    <x v="1"/>
    <s v="Accessories"/>
    <s v="East"/>
    <n v="3"/>
    <n v="3378"/>
  </r>
  <r>
    <d v="2024-10-30T00:00:00"/>
    <x v="9"/>
    <s v="Electronics"/>
    <s v="West"/>
    <n v="7"/>
    <n v="7672"/>
  </r>
  <r>
    <d v="2024-11-03T00:00:00"/>
    <x v="2"/>
    <s v="Electronics"/>
    <s v="South"/>
    <n v="6"/>
    <n v="4254"/>
  </r>
  <r>
    <d v="2024-11-19T00:00:00"/>
    <x v="8"/>
    <s v="Accessories"/>
    <s v="East"/>
    <n v="5"/>
    <n v="2285"/>
  </r>
  <r>
    <d v="2024-04-29T00:00:00"/>
    <x v="8"/>
    <s v="Accessories"/>
    <s v="West"/>
    <n v="7"/>
    <n v="5775"/>
  </r>
  <r>
    <d v="2022-10-21T00:00:00"/>
    <x v="7"/>
    <s v="Electronics"/>
    <s v="North"/>
    <n v="9"/>
    <n v="9360"/>
  </r>
  <r>
    <d v="2023-01-25T00:00:00"/>
    <x v="0"/>
    <s v="Office"/>
    <s v="North"/>
    <n v="8"/>
    <n v="6936"/>
  </r>
  <r>
    <d v="2022-05-17T00:00:00"/>
    <x v="3"/>
    <s v="Electronics"/>
    <s v="East"/>
    <n v="9"/>
    <n v="5634"/>
  </r>
  <r>
    <d v="2024-03-29T00:00:00"/>
    <x v="7"/>
    <s v="Electronics"/>
    <s v="North"/>
    <n v="4"/>
    <n v="2644"/>
  </r>
  <r>
    <d v="2023-11-22T00:00:00"/>
    <x v="4"/>
    <s v="Accessories"/>
    <s v="North"/>
    <n v="1"/>
    <n v="247"/>
  </r>
  <r>
    <d v="2023-09-24T00:00:00"/>
    <x v="9"/>
    <s v="Electronics"/>
    <s v="East"/>
    <n v="7"/>
    <n v="1869"/>
  </r>
  <r>
    <d v="2024-07-17T00:00:00"/>
    <x v="5"/>
    <s v="Electronics"/>
    <s v="West"/>
    <n v="7"/>
    <n v="1988"/>
  </r>
  <r>
    <d v="2023-06-17T00:00:00"/>
    <x v="9"/>
    <s v="Electronics"/>
    <s v="West"/>
    <n v="4"/>
    <n v="1920"/>
  </r>
  <r>
    <d v="2024-05-20T00:00:00"/>
    <x v="4"/>
    <s v="Accessories"/>
    <s v="West"/>
    <n v="3"/>
    <n v="2577"/>
  </r>
  <r>
    <d v="2024-06-10T00:00:00"/>
    <x v="3"/>
    <s v="Electronics"/>
    <s v="East"/>
    <n v="3"/>
    <n v="828"/>
  </r>
  <r>
    <d v="2022-01-31T00:00:00"/>
    <x v="3"/>
    <s v="Electronics"/>
    <s v="South"/>
    <n v="2"/>
    <n v="1580"/>
  </r>
  <r>
    <d v="2023-09-13T00:00:00"/>
    <x v="3"/>
    <s v="Electronics"/>
    <s v="East"/>
    <n v="9"/>
    <n v="9009"/>
  </r>
  <r>
    <d v="2022-10-01T00:00:00"/>
    <x v="7"/>
    <s v="Electronics"/>
    <s v="East"/>
    <n v="9"/>
    <n v="7425"/>
  </r>
  <r>
    <d v="2024-12-24T00:00:00"/>
    <x v="6"/>
    <s v="Accessories"/>
    <s v="West"/>
    <n v="5"/>
    <n v="2945"/>
  </r>
  <r>
    <d v="2023-07-19T00:00:00"/>
    <x v="1"/>
    <s v="Accessories"/>
    <s v="West"/>
    <n v="3"/>
    <n v="294"/>
  </r>
  <r>
    <d v="2024-05-17T00:00:00"/>
    <x v="1"/>
    <s v="Accessories"/>
    <s v="South"/>
    <n v="5"/>
    <n v="5875"/>
  </r>
  <r>
    <d v="2022-01-17T00:00:00"/>
    <x v="5"/>
    <s v="Electronics"/>
    <s v="West"/>
    <n v="3"/>
    <n v="1308"/>
  </r>
  <r>
    <d v="2024-01-10T00:00:00"/>
    <x v="6"/>
    <s v="Accessories"/>
    <s v="South"/>
    <n v="4"/>
    <n v="2360"/>
  </r>
  <r>
    <d v="2023-04-10T00:00:00"/>
    <x v="5"/>
    <s v="Electronics"/>
    <s v="West"/>
    <n v="6"/>
    <n v="1008"/>
  </r>
  <r>
    <d v="2023-10-27T00:00:00"/>
    <x v="5"/>
    <s v="Electronics"/>
    <s v="North"/>
    <n v="6"/>
    <n v="1344"/>
  </r>
  <r>
    <d v="2022-01-12T00:00:00"/>
    <x v="0"/>
    <s v="Office"/>
    <s v="West"/>
    <n v="7"/>
    <n v="5635"/>
  </r>
  <r>
    <d v="2023-09-15T00:00:00"/>
    <x v="1"/>
    <s v="Accessories"/>
    <s v="East"/>
    <n v="4"/>
    <n v="4088"/>
  </r>
  <r>
    <d v="2024-12-04T00:00:00"/>
    <x v="3"/>
    <s v="Electronics"/>
    <s v="South"/>
    <n v="8"/>
    <n v="2192"/>
  </r>
  <r>
    <d v="2022-06-06T00:00:00"/>
    <x v="8"/>
    <s v="Accessories"/>
    <s v="South"/>
    <n v="8"/>
    <n v="1952"/>
  </r>
  <r>
    <d v="2023-01-28T00:00:00"/>
    <x v="7"/>
    <s v="Electronics"/>
    <s v="East"/>
    <n v="7"/>
    <n v="3955"/>
  </r>
  <r>
    <d v="2023-06-24T00:00:00"/>
    <x v="1"/>
    <s v="Accessories"/>
    <s v="South"/>
    <n v="8"/>
    <n v="5256"/>
  </r>
  <r>
    <d v="2022-12-28T00:00:00"/>
    <x v="3"/>
    <s v="Electronics"/>
    <s v="North"/>
    <n v="1"/>
    <n v="1163"/>
  </r>
  <r>
    <d v="2022-09-24T00:00:00"/>
    <x v="5"/>
    <s v="Electronics"/>
    <s v="North"/>
    <n v="9"/>
    <n v="5004"/>
  </r>
  <r>
    <d v="2023-05-06T00:00:00"/>
    <x v="1"/>
    <s v="Accessories"/>
    <s v="North"/>
    <n v="8"/>
    <n v="9128"/>
  </r>
  <r>
    <d v="2023-07-13T00:00:00"/>
    <x v="9"/>
    <s v="Electronics"/>
    <s v="East"/>
    <n v="4"/>
    <n v="4700"/>
  </r>
  <r>
    <d v="2022-01-05T00:00:00"/>
    <x v="3"/>
    <s v="Electronics"/>
    <s v="West"/>
    <n v="2"/>
    <n v="1686"/>
  </r>
  <r>
    <d v="2024-08-03T00:00:00"/>
    <x v="8"/>
    <s v="Accessories"/>
    <s v="South"/>
    <n v="9"/>
    <n v="4572"/>
  </r>
  <r>
    <d v="2023-08-21T00:00:00"/>
    <x v="7"/>
    <s v="Electronics"/>
    <s v="South"/>
    <n v="5"/>
    <n v="2510"/>
  </r>
  <r>
    <d v="2023-06-04T00:00:00"/>
    <x v="7"/>
    <s v="Electronics"/>
    <s v="West"/>
    <n v="3"/>
    <n v="3117"/>
  </r>
  <r>
    <d v="2024-05-12T00:00:00"/>
    <x v="9"/>
    <s v="Electronics"/>
    <s v="West"/>
    <n v="1"/>
    <n v="380"/>
  </r>
  <r>
    <d v="2023-07-14T00:00:00"/>
    <x v="6"/>
    <s v="Accessories"/>
    <s v="West"/>
    <n v="9"/>
    <n v="2889"/>
  </r>
  <r>
    <d v="2024-11-08T00:00:00"/>
    <x v="5"/>
    <s v="Electronics"/>
    <s v="East"/>
    <n v="9"/>
    <n v="3654"/>
  </r>
  <r>
    <d v="2023-09-12T00:00:00"/>
    <x v="0"/>
    <s v="Office"/>
    <s v="East"/>
    <n v="6"/>
    <n v="5610"/>
  </r>
  <r>
    <d v="2024-04-27T00:00:00"/>
    <x v="7"/>
    <s v="Electronics"/>
    <s v="South"/>
    <n v="1"/>
    <n v="668"/>
  </r>
  <r>
    <d v="2022-01-08T00:00:00"/>
    <x v="7"/>
    <s v="Electronics"/>
    <s v="South"/>
    <n v="7"/>
    <n v="3983"/>
  </r>
  <r>
    <d v="2024-01-24T00:00:00"/>
    <x v="8"/>
    <s v="Accessories"/>
    <s v="South"/>
    <n v="1"/>
    <n v="1112"/>
  </r>
  <r>
    <d v="2022-06-20T00:00:00"/>
    <x v="6"/>
    <s v="Accessories"/>
    <s v="North"/>
    <n v="9"/>
    <n v="4230"/>
  </r>
  <r>
    <d v="2024-08-01T00:00:00"/>
    <x v="2"/>
    <s v="Electronics"/>
    <s v="East"/>
    <n v="8"/>
    <n v="2968"/>
  </r>
  <r>
    <d v="2022-01-10T00:00:00"/>
    <x v="6"/>
    <s v="Accessories"/>
    <s v="West"/>
    <n v="5"/>
    <n v="4690"/>
  </r>
  <r>
    <d v="2022-05-09T00:00:00"/>
    <x v="3"/>
    <s v="Electronics"/>
    <s v="West"/>
    <n v="6"/>
    <n v="4296"/>
  </r>
  <r>
    <d v="2023-12-19T00:00:00"/>
    <x v="3"/>
    <s v="Electronics"/>
    <s v="North"/>
    <n v="7"/>
    <n v="7203"/>
  </r>
  <r>
    <d v="2022-11-20T00:00:00"/>
    <x v="7"/>
    <s v="Electronics"/>
    <s v="North"/>
    <n v="4"/>
    <n v="3640"/>
  </r>
  <r>
    <d v="2022-11-11T00:00:00"/>
    <x v="7"/>
    <s v="Electronics"/>
    <s v="East"/>
    <n v="1"/>
    <n v="1131"/>
  </r>
  <r>
    <d v="2024-01-03T00:00:00"/>
    <x v="3"/>
    <s v="Electronics"/>
    <s v="West"/>
    <n v="9"/>
    <n v="3627"/>
  </r>
  <r>
    <d v="2023-08-11T00:00:00"/>
    <x v="1"/>
    <s v="Accessories"/>
    <s v="South"/>
    <n v="8"/>
    <n v="7968"/>
  </r>
  <r>
    <d v="2022-11-23T00:00:00"/>
    <x v="4"/>
    <s v="Accessories"/>
    <s v="South"/>
    <n v="3"/>
    <n v="3546"/>
  </r>
  <r>
    <d v="2024-03-01T00:00:00"/>
    <x v="2"/>
    <s v="Electronics"/>
    <s v="South"/>
    <n v="5"/>
    <n v="2270"/>
  </r>
  <r>
    <d v="2023-07-07T00:00:00"/>
    <x v="8"/>
    <s v="Accessories"/>
    <s v="West"/>
    <n v="2"/>
    <n v="1354"/>
  </r>
  <r>
    <d v="2023-04-20T00:00:00"/>
    <x v="4"/>
    <s v="Accessories"/>
    <s v="West"/>
    <n v="7"/>
    <n v="6811"/>
  </r>
  <r>
    <d v="2022-02-09T00:00:00"/>
    <x v="5"/>
    <s v="Electronics"/>
    <s v="East"/>
    <n v="3"/>
    <n v="1410"/>
  </r>
  <r>
    <d v="2022-10-17T00:00:00"/>
    <x v="8"/>
    <s v="Accessories"/>
    <s v="North"/>
    <n v="2"/>
    <n v="1170"/>
  </r>
  <r>
    <d v="2023-08-04T00:00:00"/>
    <x v="9"/>
    <s v="Electronics"/>
    <s v="East"/>
    <n v="7"/>
    <n v="4739"/>
  </r>
  <r>
    <d v="2023-12-01T00:00:00"/>
    <x v="1"/>
    <s v="Accessories"/>
    <s v="South"/>
    <n v="9"/>
    <n v="7866"/>
  </r>
  <r>
    <d v="2022-07-31T00:00:00"/>
    <x v="6"/>
    <s v="Accessories"/>
    <s v="East"/>
    <n v="5"/>
    <n v="3645"/>
  </r>
  <r>
    <d v="2023-02-24T00:00:00"/>
    <x v="4"/>
    <s v="Accessories"/>
    <s v="East"/>
    <n v="6"/>
    <n v="5358"/>
  </r>
  <r>
    <d v="2024-05-18T00:00:00"/>
    <x v="3"/>
    <s v="Electronics"/>
    <s v="North"/>
    <n v="5"/>
    <n v="1775"/>
  </r>
  <r>
    <d v="2023-05-19T00:00:00"/>
    <x v="4"/>
    <s v="Accessories"/>
    <s v="South"/>
    <n v="9"/>
    <n v="4905"/>
  </r>
  <r>
    <d v="2022-09-29T00:00:00"/>
    <x v="1"/>
    <s v="Accessories"/>
    <s v="East"/>
    <n v="6"/>
    <n v="4260"/>
  </r>
  <r>
    <d v="2024-09-03T00:00:00"/>
    <x v="0"/>
    <s v="Office"/>
    <s v="East"/>
    <n v="2"/>
    <n v="1632"/>
  </r>
  <r>
    <d v="2023-03-12T00:00:00"/>
    <x v="5"/>
    <s v="Electronics"/>
    <s v="East"/>
    <n v="6"/>
    <n v="3324"/>
  </r>
  <r>
    <d v="2023-07-17T00:00:00"/>
    <x v="3"/>
    <s v="Electronics"/>
    <s v="West"/>
    <n v="5"/>
    <n v="4590"/>
  </r>
  <r>
    <d v="2022-04-14T00:00:00"/>
    <x v="9"/>
    <s v="Electronics"/>
    <s v="East"/>
    <n v="9"/>
    <n v="8496"/>
  </r>
  <r>
    <d v="2022-06-16T00:00:00"/>
    <x v="0"/>
    <s v="Office"/>
    <s v="North"/>
    <n v="6"/>
    <n v="6444"/>
  </r>
  <r>
    <d v="2022-03-14T00:00:00"/>
    <x v="3"/>
    <s v="Electronics"/>
    <s v="North"/>
    <n v="1"/>
    <n v="812"/>
  </r>
  <r>
    <d v="2023-07-15T00:00:00"/>
    <x v="6"/>
    <s v="Accessories"/>
    <s v="West"/>
    <n v="6"/>
    <n v="1764"/>
  </r>
  <r>
    <d v="2024-05-13T00:00:00"/>
    <x v="0"/>
    <s v="Office"/>
    <s v="West"/>
    <n v="1"/>
    <n v="1012"/>
  </r>
  <r>
    <d v="2023-05-03T00:00:00"/>
    <x v="8"/>
    <s v="Accessories"/>
    <s v="South"/>
    <n v="2"/>
    <n v="836"/>
  </r>
  <r>
    <d v="2023-12-29T00:00:00"/>
    <x v="5"/>
    <s v="Electronics"/>
    <s v="East"/>
    <n v="1"/>
    <n v="723"/>
  </r>
  <r>
    <d v="2022-12-05T00:00:00"/>
    <x v="4"/>
    <s v="Accessories"/>
    <s v="North"/>
    <n v="6"/>
    <n v="5628"/>
  </r>
  <r>
    <d v="2024-09-26T00:00:00"/>
    <x v="9"/>
    <s v="Electronics"/>
    <s v="North"/>
    <n v="5"/>
    <n v="1660"/>
  </r>
  <r>
    <d v="2023-03-28T00:00:00"/>
    <x v="4"/>
    <s v="Accessories"/>
    <s v="West"/>
    <n v="3"/>
    <n v="2295"/>
  </r>
  <r>
    <d v="2024-04-19T00:00:00"/>
    <x v="0"/>
    <s v="Office"/>
    <s v="East"/>
    <n v="2"/>
    <n v="2190"/>
  </r>
  <r>
    <d v="2024-10-11T00:00:00"/>
    <x v="2"/>
    <s v="Electronics"/>
    <s v="East"/>
    <n v="7"/>
    <n v="3500"/>
  </r>
  <r>
    <d v="2022-04-23T00:00:00"/>
    <x v="4"/>
    <s v="Accessories"/>
    <s v="West"/>
    <n v="2"/>
    <n v="1098"/>
  </r>
  <r>
    <d v="2023-06-01T00:00:00"/>
    <x v="1"/>
    <s v="Accessories"/>
    <s v="North"/>
    <n v="5"/>
    <n v="945"/>
  </r>
  <r>
    <d v="2022-02-19T00:00:00"/>
    <x v="1"/>
    <s v="Accessories"/>
    <s v="West"/>
    <n v="6"/>
    <n v="5622"/>
  </r>
  <r>
    <d v="2023-07-13T00:00:00"/>
    <x v="3"/>
    <s v="Electronics"/>
    <s v="East"/>
    <n v="3"/>
    <n v="2325"/>
  </r>
  <r>
    <d v="2022-08-03T00:00:00"/>
    <x v="8"/>
    <s v="Accessories"/>
    <s v="South"/>
    <n v="1"/>
    <n v="1157"/>
  </r>
  <r>
    <d v="2024-01-30T00:00:00"/>
    <x v="0"/>
    <s v="Office"/>
    <s v="West"/>
    <n v="3"/>
    <n v="531"/>
  </r>
  <r>
    <d v="2023-07-23T00:00:00"/>
    <x v="2"/>
    <s v="Electronics"/>
    <s v="West"/>
    <n v="2"/>
    <n v="1760"/>
  </r>
  <r>
    <d v="2023-11-12T00:00:00"/>
    <x v="5"/>
    <s v="Electronics"/>
    <s v="North"/>
    <n v="1"/>
    <n v="371"/>
  </r>
  <r>
    <d v="2024-10-15T00:00:00"/>
    <x v="7"/>
    <s v="Electronics"/>
    <s v="East"/>
    <n v="4"/>
    <n v="1896"/>
  </r>
  <r>
    <d v="2023-08-09T00:00:00"/>
    <x v="5"/>
    <s v="Electronics"/>
    <s v="South"/>
    <n v="2"/>
    <n v="514"/>
  </r>
  <r>
    <d v="2022-08-18T00:00:00"/>
    <x v="6"/>
    <s v="Accessories"/>
    <s v="West"/>
    <n v="7"/>
    <n v="1876"/>
  </r>
  <r>
    <d v="2023-08-19T00:00:00"/>
    <x v="3"/>
    <s v="Electronics"/>
    <s v="East"/>
    <n v="6"/>
    <n v="1182"/>
  </r>
  <r>
    <d v="2022-03-14T00:00:00"/>
    <x v="7"/>
    <s v="Electronics"/>
    <s v="North"/>
    <n v="5"/>
    <n v="4255"/>
  </r>
  <r>
    <d v="2022-09-15T00:00:00"/>
    <x v="6"/>
    <s v="Accessories"/>
    <s v="North"/>
    <n v="9"/>
    <n v="1341"/>
  </r>
  <r>
    <d v="2022-09-23T00:00:00"/>
    <x v="8"/>
    <s v="Accessories"/>
    <s v="North"/>
    <n v="1"/>
    <n v="644"/>
  </r>
  <r>
    <d v="2024-05-17T00:00:00"/>
    <x v="6"/>
    <s v="Accessories"/>
    <s v="South"/>
    <n v="3"/>
    <n v="1827"/>
  </r>
  <r>
    <d v="2024-10-27T00:00:00"/>
    <x v="3"/>
    <s v="Electronics"/>
    <s v="North"/>
    <n v="1"/>
    <n v="930"/>
  </r>
  <r>
    <d v="2022-02-15T00:00:00"/>
    <x v="3"/>
    <s v="Electronics"/>
    <s v="South"/>
    <n v="4"/>
    <n v="528"/>
  </r>
  <r>
    <d v="2022-02-23T00:00:00"/>
    <x v="6"/>
    <s v="Accessories"/>
    <s v="South"/>
    <n v="6"/>
    <n v="4236"/>
  </r>
  <r>
    <d v="2023-01-14T00:00:00"/>
    <x v="4"/>
    <s v="Accessories"/>
    <s v="North"/>
    <n v="4"/>
    <n v="1664"/>
  </r>
  <r>
    <d v="2023-01-12T00:00:00"/>
    <x v="5"/>
    <s v="Electronics"/>
    <s v="North"/>
    <n v="3"/>
    <n v="2727"/>
  </r>
  <r>
    <d v="2022-02-08T00:00:00"/>
    <x v="5"/>
    <s v="Electronics"/>
    <s v="North"/>
    <n v="2"/>
    <n v="522"/>
  </r>
  <r>
    <d v="2024-12-06T00:00:00"/>
    <x v="1"/>
    <s v="Accessories"/>
    <s v="West"/>
    <n v="7"/>
    <n v="8288"/>
  </r>
  <r>
    <d v="2024-03-12T00:00:00"/>
    <x v="9"/>
    <s v="Electronics"/>
    <s v="West"/>
    <n v="9"/>
    <n v="1062"/>
  </r>
  <r>
    <d v="2023-10-01T00:00:00"/>
    <x v="7"/>
    <s v="Electronics"/>
    <s v="East"/>
    <n v="3"/>
    <n v="1140"/>
  </r>
  <r>
    <d v="2024-04-12T00:00:00"/>
    <x v="8"/>
    <s v="Accessories"/>
    <s v="East"/>
    <n v="8"/>
    <n v="3488"/>
  </r>
  <r>
    <d v="2023-12-22T00:00:00"/>
    <x v="2"/>
    <s v="Electronics"/>
    <s v="North"/>
    <n v="8"/>
    <n v="5920"/>
  </r>
  <r>
    <d v="2024-03-06T00:00:00"/>
    <x v="6"/>
    <s v="Accessories"/>
    <s v="North"/>
    <n v="9"/>
    <n v="3096"/>
  </r>
  <r>
    <d v="2024-05-02T00:00:00"/>
    <x v="6"/>
    <s v="Accessories"/>
    <s v="South"/>
    <n v="5"/>
    <n v="3490"/>
  </r>
  <r>
    <d v="2022-04-02T00:00:00"/>
    <x v="5"/>
    <s v="Electronics"/>
    <s v="South"/>
    <n v="6"/>
    <n v="4374"/>
  </r>
  <r>
    <d v="2024-02-11T00:00:00"/>
    <x v="7"/>
    <s v="Electronics"/>
    <s v="South"/>
    <n v="6"/>
    <n v="3366"/>
  </r>
  <r>
    <d v="2024-04-02T00:00:00"/>
    <x v="0"/>
    <s v="Office"/>
    <s v="East"/>
    <n v="6"/>
    <n v="822"/>
  </r>
  <r>
    <d v="2024-11-27T00:00:00"/>
    <x v="6"/>
    <s v="Accessories"/>
    <s v="North"/>
    <n v="2"/>
    <n v="340"/>
  </r>
  <r>
    <d v="2022-08-30T00:00:00"/>
    <x v="1"/>
    <s v="Accessories"/>
    <s v="East"/>
    <n v="1"/>
    <n v="763"/>
  </r>
  <r>
    <d v="2022-07-15T00:00:00"/>
    <x v="4"/>
    <s v="Accessories"/>
    <s v="West"/>
    <n v="4"/>
    <n v="3408"/>
  </r>
  <r>
    <d v="2022-02-21T00:00:00"/>
    <x v="2"/>
    <s v="Electronics"/>
    <s v="West"/>
    <n v="7"/>
    <n v="2282"/>
  </r>
  <r>
    <d v="2023-09-14T00:00:00"/>
    <x v="3"/>
    <s v="Electronics"/>
    <s v="South"/>
    <n v="7"/>
    <n v="4151"/>
  </r>
  <r>
    <d v="2024-04-08T00:00:00"/>
    <x v="9"/>
    <s v="Electronics"/>
    <s v="North"/>
    <n v="7"/>
    <n v="6279"/>
  </r>
  <r>
    <d v="2023-10-24T00:00:00"/>
    <x v="6"/>
    <s v="Accessories"/>
    <s v="North"/>
    <n v="3"/>
    <n v="474"/>
  </r>
  <r>
    <d v="2023-04-16T00:00:00"/>
    <x v="6"/>
    <s v="Accessories"/>
    <s v="West"/>
    <n v="5"/>
    <n v="680"/>
  </r>
  <r>
    <d v="2023-10-15T00:00:00"/>
    <x v="4"/>
    <s v="Accessories"/>
    <s v="West"/>
    <n v="9"/>
    <n v="8496"/>
  </r>
  <r>
    <d v="2023-08-20T00:00:00"/>
    <x v="8"/>
    <s v="Accessories"/>
    <s v="South"/>
    <n v="7"/>
    <n v="7826"/>
  </r>
  <r>
    <d v="2023-10-24T00:00:00"/>
    <x v="1"/>
    <s v="Accessories"/>
    <s v="South"/>
    <n v="6"/>
    <n v="4014"/>
  </r>
  <r>
    <d v="2024-07-26T00:00:00"/>
    <x v="9"/>
    <s v="Electronics"/>
    <s v="East"/>
    <n v="1"/>
    <n v="687"/>
  </r>
  <r>
    <d v="2024-10-31T00:00:00"/>
    <x v="5"/>
    <s v="Electronics"/>
    <s v="South"/>
    <n v="3"/>
    <n v="2943"/>
  </r>
  <r>
    <d v="2022-04-28T00:00:00"/>
    <x v="0"/>
    <s v="Office"/>
    <s v="East"/>
    <n v="7"/>
    <n v="5649"/>
  </r>
  <r>
    <d v="2024-08-15T00:00:00"/>
    <x v="2"/>
    <s v="Electronics"/>
    <s v="North"/>
    <n v="8"/>
    <n v="3296"/>
  </r>
  <r>
    <d v="2024-09-28T00:00:00"/>
    <x v="4"/>
    <s v="Accessories"/>
    <s v="North"/>
    <n v="3"/>
    <n v="1137"/>
  </r>
  <r>
    <d v="2024-07-18T00:00:00"/>
    <x v="7"/>
    <s v="Electronics"/>
    <s v="North"/>
    <n v="2"/>
    <n v="380"/>
  </r>
  <r>
    <d v="2022-10-22T00:00:00"/>
    <x v="9"/>
    <s v="Electronics"/>
    <s v="West"/>
    <n v="5"/>
    <n v="4405"/>
  </r>
  <r>
    <d v="2022-11-01T00:00:00"/>
    <x v="2"/>
    <s v="Electronics"/>
    <s v="East"/>
    <n v="1"/>
    <n v="120"/>
  </r>
  <r>
    <d v="2023-06-13T00:00:00"/>
    <x v="0"/>
    <s v="Office"/>
    <s v="East"/>
    <n v="1"/>
    <n v="1176"/>
  </r>
  <r>
    <d v="2023-02-20T00:00:00"/>
    <x v="3"/>
    <s v="Electronics"/>
    <s v="South"/>
    <n v="3"/>
    <n v="1770"/>
  </r>
  <r>
    <d v="2023-05-20T00:00:00"/>
    <x v="3"/>
    <s v="Electronics"/>
    <s v="South"/>
    <n v="6"/>
    <n v="4302"/>
  </r>
  <r>
    <d v="2023-12-19T00:00:00"/>
    <x v="3"/>
    <s v="Electronics"/>
    <s v="North"/>
    <n v="3"/>
    <n v="2988"/>
  </r>
  <r>
    <d v="2024-06-17T00:00:00"/>
    <x v="4"/>
    <s v="Accessories"/>
    <s v="East"/>
    <n v="3"/>
    <n v="3033"/>
  </r>
  <r>
    <d v="2023-07-14T00:00:00"/>
    <x v="1"/>
    <s v="Accessories"/>
    <s v="South"/>
    <n v="9"/>
    <n v="6363"/>
  </r>
  <r>
    <d v="2022-07-04T00:00:00"/>
    <x v="2"/>
    <s v="Electronics"/>
    <s v="West"/>
    <n v="6"/>
    <n v="3402"/>
  </r>
  <r>
    <d v="2022-03-23T00:00:00"/>
    <x v="8"/>
    <s v="Accessories"/>
    <s v="South"/>
    <n v="4"/>
    <n v="3496"/>
  </r>
  <r>
    <d v="2022-11-19T00:00:00"/>
    <x v="6"/>
    <s v="Accessories"/>
    <s v="East"/>
    <n v="4"/>
    <n v="1080"/>
  </r>
  <r>
    <d v="2022-02-28T00:00:00"/>
    <x v="4"/>
    <s v="Accessories"/>
    <s v="East"/>
    <n v="6"/>
    <n v="1530"/>
  </r>
  <r>
    <d v="2023-09-11T00:00:00"/>
    <x v="8"/>
    <s v="Accessories"/>
    <s v="West"/>
    <n v="4"/>
    <n v="3568"/>
  </r>
  <r>
    <d v="2022-11-13T00:00:00"/>
    <x v="7"/>
    <s v="Electronics"/>
    <s v="West"/>
    <n v="1"/>
    <n v="954"/>
  </r>
  <r>
    <d v="2024-03-17T00:00:00"/>
    <x v="3"/>
    <s v="Electronics"/>
    <s v="West"/>
    <n v="4"/>
    <n v="1196"/>
  </r>
  <r>
    <d v="2022-02-13T00:00:00"/>
    <x v="5"/>
    <s v="Electronics"/>
    <s v="North"/>
    <n v="4"/>
    <n v="2136"/>
  </r>
  <r>
    <d v="2024-07-13T00:00:00"/>
    <x v="0"/>
    <s v="Office"/>
    <s v="South"/>
    <n v="9"/>
    <n v="8496"/>
  </r>
  <r>
    <d v="2024-05-07T00:00:00"/>
    <x v="9"/>
    <s v="Electronics"/>
    <s v="West"/>
    <n v="7"/>
    <n v="7280"/>
  </r>
  <r>
    <d v="2022-09-24T00:00:00"/>
    <x v="5"/>
    <s v="Electronics"/>
    <s v="South"/>
    <n v="5"/>
    <n v="4935"/>
  </r>
  <r>
    <d v="2024-08-12T00:00:00"/>
    <x v="2"/>
    <s v="Electronics"/>
    <s v="South"/>
    <n v="8"/>
    <n v="9056"/>
  </r>
  <r>
    <d v="2023-01-06T00:00:00"/>
    <x v="5"/>
    <s v="Electronics"/>
    <s v="South"/>
    <n v="1"/>
    <n v="563"/>
  </r>
  <r>
    <d v="2022-03-03T00:00:00"/>
    <x v="0"/>
    <s v="Office"/>
    <s v="South"/>
    <n v="2"/>
    <n v="1570"/>
  </r>
  <r>
    <d v="2022-03-02T00:00:00"/>
    <x v="3"/>
    <s v="Electronics"/>
    <s v="North"/>
    <n v="3"/>
    <n v="2181"/>
  </r>
  <r>
    <d v="2024-09-25T00:00:00"/>
    <x v="1"/>
    <s v="Accessories"/>
    <s v="North"/>
    <n v="4"/>
    <n v="3808"/>
  </r>
  <r>
    <d v="2022-12-06T00:00:00"/>
    <x v="8"/>
    <s v="Accessories"/>
    <s v="West"/>
    <n v="7"/>
    <n v="6552"/>
  </r>
  <r>
    <d v="2023-06-18T00:00:00"/>
    <x v="9"/>
    <s v="Electronics"/>
    <s v="South"/>
    <n v="8"/>
    <n v="6544"/>
  </r>
  <r>
    <d v="2023-11-21T00:00:00"/>
    <x v="1"/>
    <s v="Accessories"/>
    <s v="West"/>
    <n v="3"/>
    <n v="2631"/>
  </r>
  <r>
    <d v="2023-03-31T00:00:00"/>
    <x v="6"/>
    <s v="Accessories"/>
    <s v="West"/>
    <n v="9"/>
    <n v="945"/>
  </r>
  <r>
    <d v="2024-06-11T00:00:00"/>
    <x v="6"/>
    <s v="Accessories"/>
    <s v="West"/>
    <n v="2"/>
    <n v="760"/>
  </r>
  <r>
    <d v="2023-04-25T00:00:00"/>
    <x v="6"/>
    <s v="Accessories"/>
    <s v="North"/>
    <n v="4"/>
    <n v="1392"/>
  </r>
  <r>
    <d v="2022-12-17T00:00:00"/>
    <x v="5"/>
    <s v="Electronics"/>
    <s v="East"/>
    <n v="3"/>
    <n v="1242"/>
  </r>
  <r>
    <d v="2024-07-05T00:00:00"/>
    <x v="9"/>
    <s v="Electronics"/>
    <s v="East"/>
    <n v="3"/>
    <n v="3183"/>
  </r>
  <r>
    <d v="2023-04-07T00:00:00"/>
    <x v="6"/>
    <s v="Accessories"/>
    <s v="West"/>
    <n v="5"/>
    <n v="4260"/>
  </r>
  <r>
    <d v="2022-07-26T00:00:00"/>
    <x v="7"/>
    <s v="Electronics"/>
    <s v="West"/>
    <n v="1"/>
    <n v="1041"/>
  </r>
  <r>
    <d v="2022-05-18T00:00:00"/>
    <x v="5"/>
    <s v="Electronics"/>
    <s v="East"/>
    <n v="3"/>
    <n v="1692"/>
  </r>
  <r>
    <d v="2022-03-15T00:00:00"/>
    <x v="3"/>
    <s v="Electronics"/>
    <s v="North"/>
    <n v="4"/>
    <n v="1728"/>
  </r>
  <r>
    <d v="2023-10-13T00:00:00"/>
    <x v="3"/>
    <s v="Electronics"/>
    <s v="South"/>
    <n v="4"/>
    <n v="4484"/>
  </r>
  <r>
    <d v="2024-06-19T00:00:00"/>
    <x v="7"/>
    <s v="Electronics"/>
    <s v="East"/>
    <n v="7"/>
    <n v="4123"/>
  </r>
  <r>
    <d v="2024-11-03T00:00:00"/>
    <x v="1"/>
    <s v="Accessories"/>
    <s v="East"/>
    <n v="2"/>
    <n v="2372"/>
  </r>
  <r>
    <d v="2023-04-16T00:00:00"/>
    <x v="7"/>
    <s v="Electronics"/>
    <s v="East"/>
    <n v="7"/>
    <n v="5201"/>
  </r>
  <r>
    <d v="2024-09-27T00:00:00"/>
    <x v="1"/>
    <s v="Accessories"/>
    <s v="South"/>
    <n v="5"/>
    <n v="3100"/>
  </r>
  <r>
    <d v="2022-07-12T00:00:00"/>
    <x v="5"/>
    <s v="Electronics"/>
    <s v="East"/>
    <n v="6"/>
    <n v="5292"/>
  </r>
  <r>
    <d v="2023-03-06T00:00:00"/>
    <x v="2"/>
    <s v="Electronics"/>
    <s v="South"/>
    <n v="6"/>
    <n v="5952"/>
  </r>
  <r>
    <d v="2023-01-10T00:00:00"/>
    <x v="7"/>
    <s v="Electronics"/>
    <s v="East"/>
    <n v="4"/>
    <n v="1932"/>
  </r>
  <r>
    <d v="2023-10-05T00:00:00"/>
    <x v="2"/>
    <s v="Electronics"/>
    <s v="West"/>
    <n v="6"/>
    <n v="3486"/>
  </r>
  <r>
    <d v="2024-05-25T00:00:00"/>
    <x v="2"/>
    <s v="Electronics"/>
    <s v="West"/>
    <n v="2"/>
    <n v="1708"/>
  </r>
  <r>
    <d v="2024-09-12T00:00:00"/>
    <x v="6"/>
    <s v="Accessories"/>
    <s v="South"/>
    <n v="4"/>
    <n v="4324"/>
  </r>
  <r>
    <d v="2024-07-30T00:00:00"/>
    <x v="9"/>
    <s v="Electronics"/>
    <s v="South"/>
    <n v="4"/>
    <n v="2708"/>
  </r>
  <r>
    <d v="2022-03-29T00:00:00"/>
    <x v="0"/>
    <s v="Office"/>
    <s v="West"/>
    <n v="8"/>
    <n v="7944"/>
  </r>
  <r>
    <d v="2023-04-10T00:00:00"/>
    <x v="3"/>
    <s v="Electronics"/>
    <s v="East"/>
    <n v="3"/>
    <n v="684"/>
  </r>
  <r>
    <d v="2023-01-01T00:00:00"/>
    <x v="0"/>
    <s v="Office"/>
    <s v="West"/>
    <n v="9"/>
    <n v="5904"/>
  </r>
  <r>
    <d v="2024-03-20T00:00:00"/>
    <x v="0"/>
    <s v="Office"/>
    <s v="South"/>
    <n v="5"/>
    <n v="4970"/>
  </r>
  <r>
    <d v="2024-02-02T00:00:00"/>
    <x v="4"/>
    <s v="Accessories"/>
    <s v="West"/>
    <n v="2"/>
    <n v="2288"/>
  </r>
  <r>
    <d v="2023-07-18T00:00:00"/>
    <x v="7"/>
    <s v="Electronics"/>
    <s v="East"/>
    <n v="6"/>
    <n v="4662"/>
  </r>
  <r>
    <d v="2022-02-25T00:00:00"/>
    <x v="1"/>
    <s v="Accessories"/>
    <s v="East"/>
    <n v="4"/>
    <n v="2532"/>
  </r>
  <r>
    <d v="2024-12-19T00:00:00"/>
    <x v="2"/>
    <s v="Electronics"/>
    <s v="South"/>
    <n v="8"/>
    <n v="9328"/>
  </r>
  <r>
    <d v="2022-02-05T00:00:00"/>
    <x v="0"/>
    <s v="Office"/>
    <s v="North"/>
    <n v="1"/>
    <n v="686"/>
  </r>
  <r>
    <d v="2024-02-29T00:00:00"/>
    <x v="5"/>
    <s v="Electronics"/>
    <s v="South"/>
    <n v="6"/>
    <n v="1290"/>
  </r>
  <r>
    <d v="2022-08-26T00:00:00"/>
    <x v="0"/>
    <s v="Office"/>
    <s v="West"/>
    <n v="5"/>
    <n v="1205"/>
  </r>
  <r>
    <d v="2024-09-17T00:00:00"/>
    <x v="4"/>
    <s v="Accessories"/>
    <s v="South"/>
    <n v="7"/>
    <n v="7966"/>
  </r>
  <r>
    <d v="2022-08-14T00:00:00"/>
    <x v="3"/>
    <s v="Electronics"/>
    <s v="North"/>
    <n v="7"/>
    <n v="1085"/>
  </r>
  <r>
    <d v="2024-08-29T00:00:00"/>
    <x v="6"/>
    <s v="Accessories"/>
    <s v="West"/>
    <n v="9"/>
    <n v="6633"/>
  </r>
  <r>
    <d v="2024-11-21T00:00:00"/>
    <x v="9"/>
    <s v="Electronics"/>
    <s v="North"/>
    <n v="7"/>
    <n v="5096"/>
  </r>
  <r>
    <d v="2022-07-20T00:00:00"/>
    <x v="2"/>
    <s v="Electronics"/>
    <s v="East"/>
    <n v="4"/>
    <n v="4120"/>
  </r>
  <r>
    <d v="2022-08-15T00:00:00"/>
    <x v="6"/>
    <s v="Accessories"/>
    <s v="West"/>
    <n v="3"/>
    <n v="1479"/>
  </r>
  <r>
    <d v="2024-04-09T00:00:00"/>
    <x v="7"/>
    <s v="Electronics"/>
    <s v="West"/>
    <n v="7"/>
    <n v="1652"/>
  </r>
  <r>
    <d v="2022-07-07T00:00:00"/>
    <x v="9"/>
    <s v="Electronics"/>
    <s v="South"/>
    <n v="1"/>
    <n v="1028"/>
  </r>
  <r>
    <d v="2023-05-01T00:00:00"/>
    <x v="6"/>
    <s v="Accessories"/>
    <s v="East"/>
    <n v="4"/>
    <n v="4580"/>
  </r>
  <r>
    <d v="2024-01-28T00:00:00"/>
    <x v="6"/>
    <s v="Accessories"/>
    <s v="South"/>
    <n v="8"/>
    <n v="2152"/>
  </r>
  <r>
    <d v="2022-07-04T00:00:00"/>
    <x v="6"/>
    <s v="Accessories"/>
    <s v="South"/>
    <n v="6"/>
    <n v="4566"/>
  </r>
  <r>
    <d v="2024-04-06T00:00:00"/>
    <x v="4"/>
    <s v="Accessories"/>
    <s v="East"/>
    <n v="3"/>
    <n v="2244"/>
  </r>
  <r>
    <d v="2024-02-01T00:00:00"/>
    <x v="1"/>
    <s v="Accessories"/>
    <s v="West"/>
    <n v="4"/>
    <n v="1344"/>
  </r>
  <r>
    <d v="2023-10-01T00:00:00"/>
    <x v="0"/>
    <s v="Office"/>
    <s v="South"/>
    <n v="6"/>
    <n v="2622"/>
  </r>
  <r>
    <d v="2022-12-03T00:00:00"/>
    <x v="7"/>
    <s v="Electronics"/>
    <s v="South"/>
    <n v="1"/>
    <n v="325"/>
  </r>
  <r>
    <d v="2024-12-17T00:00:00"/>
    <x v="8"/>
    <s v="Accessories"/>
    <s v="West"/>
    <n v="1"/>
    <n v="960"/>
  </r>
  <r>
    <d v="2023-11-30T00:00:00"/>
    <x v="7"/>
    <s v="Electronics"/>
    <s v="North"/>
    <n v="7"/>
    <n v="2639"/>
  </r>
  <r>
    <d v="2024-06-05T00:00:00"/>
    <x v="0"/>
    <s v="Office"/>
    <s v="South"/>
    <n v="5"/>
    <n v="1025"/>
  </r>
  <r>
    <d v="2022-01-13T00:00:00"/>
    <x v="6"/>
    <s v="Accessories"/>
    <s v="West"/>
    <n v="2"/>
    <n v="1924"/>
  </r>
  <r>
    <d v="2023-08-29T00:00:00"/>
    <x v="7"/>
    <s v="Electronics"/>
    <s v="North"/>
    <n v="2"/>
    <n v="1660"/>
  </r>
  <r>
    <d v="2022-05-23T00:00:00"/>
    <x v="0"/>
    <s v="Office"/>
    <s v="North"/>
    <n v="1"/>
    <n v="985"/>
  </r>
  <r>
    <d v="2024-07-14T00:00:00"/>
    <x v="8"/>
    <s v="Accessories"/>
    <s v="North"/>
    <n v="5"/>
    <n v="2600"/>
  </r>
  <r>
    <d v="2024-10-21T00:00:00"/>
    <x v="3"/>
    <s v="Electronics"/>
    <s v="West"/>
    <n v="4"/>
    <n v="2792"/>
  </r>
  <r>
    <d v="2024-08-31T00:00:00"/>
    <x v="4"/>
    <s v="Accessories"/>
    <s v="North"/>
    <n v="2"/>
    <n v="378"/>
  </r>
  <r>
    <d v="2022-04-17T00:00:00"/>
    <x v="3"/>
    <s v="Electronics"/>
    <s v="West"/>
    <n v="8"/>
    <n v="968"/>
  </r>
  <r>
    <d v="2024-05-12T00:00:00"/>
    <x v="5"/>
    <s v="Electronics"/>
    <s v="North"/>
    <n v="3"/>
    <n v="564"/>
  </r>
  <r>
    <d v="2023-01-25T00:00:00"/>
    <x v="9"/>
    <s v="Electronics"/>
    <s v="South"/>
    <n v="5"/>
    <n v="2365"/>
  </r>
  <r>
    <d v="2024-04-01T00:00:00"/>
    <x v="7"/>
    <s v="Electronics"/>
    <s v="West"/>
    <n v="6"/>
    <n v="3252"/>
  </r>
  <r>
    <d v="2024-05-05T00:00:00"/>
    <x v="3"/>
    <s v="Electronics"/>
    <s v="North"/>
    <n v="1"/>
    <n v="276"/>
  </r>
  <r>
    <d v="2024-05-20T00:00:00"/>
    <x v="1"/>
    <s v="Accessories"/>
    <s v="West"/>
    <n v="3"/>
    <n v="3408"/>
  </r>
  <r>
    <d v="2022-10-20T00:00:00"/>
    <x v="9"/>
    <s v="Electronics"/>
    <s v="East"/>
    <n v="6"/>
    <n v="1398"/>
  </r>
  <r>
    <d v="2022-02-27T00:00:00"/>
    <x v="8"/>
    <s v="Accessories"/>
    <s v="North"/>
    <n v="4"/>
    <n v="904"/>
  </r>
  <r>
    <d v="2023-12-01T00:00:00"/>
    <x v="8"/>
    <s v="Accessories"/>
    <s v="South"/>
    <n v="1"/>
    <n v="1178"/>
  </r>
  <r>
    <d v="2022-07-29T00:00:00"/>
    <x v="4"/>
    <s v="Accessories"/>
    <s v="West"/>
    <n v="3"/>
    <n v="2535"/>
  </r>
  <r>
    <d v="2023-04-17T00:00:00"/>
    <x v="2"/>
    <s v="Electronics"/>
    <s v="West"/>
    <n v="1"/>
    <n v="496"/>
  </r>
  <r>
    <d v="2024-06-30T00:00:00"/>
    <x v="7"/>
    <s v="Electronics"/>
    <s v="West"/>
    <n v="4"/>
    <n v="3888"/>
  </r>
  <r>
    <d v="2024-03-12T00:00:00"/>
    <x v="2"/>
    <s v="Electronics"/>
    <s v="East"/>
    <n v="7"/>
    <n v="4921"/>
  </r>
  <r>
    <d v="2024-07-04T00:00:00"/>
    <x v="5"/>
    <s v="Electronics"/>
    <s v="West"/>
    <n v="8"/>
    <n v="4472"/>
  </r>
  <r>
    <d v="2023-04-09T00:00:00"/>
    <x v="2"/>
    <s v="Electronics"/>
    <s v="North"/>
    <n v="3"/>
    <n v="603"/>
  </r>
  <r>
    <d v="2023-03-10T00:00:00"/>
    <x v="4"/>
    <s v="Accessories"/>
    <s v="West"/>
    <n v="9"/>
    <n v="1899"/>
  </r>
  <r>
    <d v="2023-01-03T00:00:00"/>
    <x v="0"/>
    <s v="Office"/>
    <s v="North"/>
    <n v="4"/>
    <n v="544"/>
  </r>
  <r>
    <d v="2022-05-29T00:00:00"/>
    <x v="6"/>
    <s v="Accessories"/>
    <s v="North"/>
    <n v="9"/>
    <n v="6471"/>
  </r>
  <r>
    <d v="2023-03-22T00:00:00"/>
    <x v="8"/>
    <s v="Accessories"/>
    <s v="North"/>
    <n v="1"/>
    <n v="677"/>
  </r>
  <r>
    <d v="2022-09-07T00:00:00"/>
    <x v="9"/>
    <s v="Electronics"/>
    <s v="South"/>
    <n v="4"/>
    <n v="1372"/>
  </r>
  <r>
    <d v="2024-06-08T00:00:00"/>
    <x v="8"/>
    <s v="Accessories"/>
    <s v="North"/>
    <n v="9"/>
    <n v="7542"/>
  </r>
  <r>
    <d v="2023-04-16T00:00:00"/>
    <x v="6"/>
    <s v="Accessories"/>
    <s v="West"/>
    <n v="1"/>
    <n v="924"/>
  </r>
  <r>
    <d v="2022-07-11T00:00:00"/>
    <x v="7"/>
    <s v="Electronics"/>
    <s v="East"/>
    <n v="5"/>
    <n v="3940"/>
  </r>
  <r>
    <d v="2024-10-05T00:00:00"/>
    <x v="2"/>
    <s v="Electronics"/>
    <s v="West"/>
    <n v="2"/>
    <n v="374"/>
  </r>
  <r>
    <d v="2023-03-19T00:00:00"/>
    <x v="0"/>
    <s v="Office"/>
    <s v="North"/>
    <n v="5"/>
    <n v="1800"/>
  </r>
  <r>
    <d v="2022-12-26T00:00:00"/>
    <x v="6"/>
    <s v="Accessories"/>
    <s v="West"/>
    <n v="5"/>
    <n v="3170"/>
  </r>
  <r>
    <d v="2024-08-17T00:00:00"/>
    <x v="4"/>
    <s v="Accessories"/>
    <s v="North"/>
    <n v="7"/>
    <n v="5362"/>
  </r>
  <r>
    <d v="2023-11-05T00:00:00"/>
    <x v="6"/>
    <s v="Accessories"/>
    <s v="East"/>
    <n v="9"/>
    <n v="5976"/>
  </r>
  <r>
    <d v="2023-07-06T00:00:00"/>
    <x v="8"/>
    <s v="Accessories"/>
    <s v="North"/>
    <n v="9"/>
    <n v="8514"/>
  </r>
  <r>
    <d v="2023-11-25T00:00:00"/>
    <x v="9"/>
    <s v="Electronics"/>
    <s v="South"/>
    <n v="1"/>
    <n v="810"/>
  </r>
  <r>
    <d v="2022-01-08T00:00:00"/>
    <x v="1"/>
    <s v="Accessories"/>
    <s v="South"/>
    <n v="1"/>
    <n v="71"/>
  </r>
  <r>
    <d v="2022-06-15T00:00:00"/>
    <x v="9"/>
    <s v="Electronics"/>
    <s v="North"/>
    <n v="1"/>
    <n v="651"/>
  </r>
  <r>
    <d v="2022-03-13T00:00:00"/>
    <x v="6"/>
    <s v="Accessories"/>
    <s v="North"/>
    <n v="3"/>
    <n v="1245"/>
  </r>
  <r>
    <d v="2023-11-06T00:00:00"/>
    <x v="6"/>
    <s v="Accessories"/>
    <s v="West"/>
    <n v="1"/>
    <n v="464"/>
  </r>
  <r>
    <d v="2023-02-11T00:00:00"/>
    <x v="6"/>
    <s v="Accessories"/>
    <s v="North"/>
    <n v="5"/>
    <n v="5155"/>
  </r>
  <r>
    <d v="2023-12-11T00:00:00"/>
    <x v="7"/>
    <s v="Electronics"/>
    <s v="East"/>
    <n v="5"/>
    <n v="5175"/>
  </r>
  <r>
    <d v="2022-01-13T00:00:00"/>
    <x v="7"/>
    <s v="Electronics"/>
    <s v="East"/>
    <n v="2"/>
    <n v="1668"/>
  </r>
  <r>
    <d v="2024-09-30T00:00:00"/>
    <x v="0"/>
    <s v="Office"/>
    <s v="East"/>
    <n v="3"/>
    <n v="1872"/>
  </r>
  <r>
    <d v="2023-01-16T00:00:00"/>
    <x v="9"/>
    <s v="Electronics"/>
    <s v="North"/>
    <n v="3"/>
    <n v="513"/>
  </r>
  <r>
    <d v="2024-04-05T00:00:00"/>
    <x v="0"/>
    <s v="Office"/>
    <s v="West"/>
    <n v="2"/>
    <n v="2276"/>
  </r>
  <r>
    <d v="2024-01-02T00:00:00"/>
    <x v="1"/>
    <s v="Accessories"/>
    <s v="West"/>
    <n v="4"/>
    <n v="3428"/>
  </r>
  <r>
    <d v="2024-03-02T00:00:00"/>
    <x v="8"/>
    <s v="Accessories"/>
    <s v="East"/>
    <n v="2"/>
    <n v="1640"/>
  </r>
  <r>
    <d v="2024-05-25T00:00:00"/>
    <x v="3"/>
    <s v="Electronics"/>
    <s v="East"/>
    <n v="7"/>
    <n v="7077"/>
  </r>
  <r>
    <d v="2023-10-20T00:00:00"/>
    <x v="0"/>
    <s v="Office"/>
    <s v="South"/>
    <n v="9"/>
    <n v="9225"/>
  </r>
  <r>
    <d v="2022-06-20T00:00:00"/>
    <x v="1"/>
    <s v="Accessories"/>
    <s v="South"/>
    <n v="5"/>
    <n v="3910"/>
  </r>
  <r>
    <d v="2023-05-09T00:00:00"/>
    <x v="0"/>
    <s v="Office"/>
    <s v="West"/>
    <n v="5"/>
    <n v="1995"/>
  </r>
  <r>
    <d v="2023-08-31T00:00:00"/>
    <x v="8"/>
    <s v="Accessories"/>
    <s v="North"/>
    <n v="7"/>
    <n v="385"/>
  </r>
  <r>
    <d v="2023-03-23T00:00:00"/>
    <x v="1"/>
    <s v="Accessories"/>
    <s v="East"/>
    <n v="4"/>
    <n v="4316"/>
  </r>
  <r>
    <d v="2024-04-28T00:00:00"/>
    <x v="5"/>
    <s v="Electronics"/>
    <s v="North"/>
    <n v="1"/>
    <n v="1169"/>
  </r>
  <r>
    <d v="2023-03-30T00:00:00"/>
    <x v="4"/>
    <s v="Accessories"/>
    <s v="East"/>
    <n v="5"/>
    <n v="2325"/>
  </r>
  <r>
    <d v="2024-02-18T00:00:00"/>
    <x v="6"/>
    <s v="Accessories"/>
    <s v="North"/>
    <n v="1"/>
    <n v="199"/>
  </r>
  <r>
    <d v="2022-08-13T00:00:00"/>
    <x v="5"/>
    <s v="Electronics"/>
    <s v="South"/>
    <n v="3"/>
    <n v="375"/>
  </r>
  <r>
    <d v="2022-05-05T00:00:00"/>
    <x v="9"/>
    <s v="Electronics"/>
    <s v="East"/>
    <n v="9"/>
    <n v="8010"/>
  </r>
  <r>
    <d v="2023-01-03T00:00:00"/>
    <x v="1"/>
    <s v="Accessories"/>
    <s v="East"/>
    <n v="4"/>
    <n v="316"/>
  </r>
  <r>
    <d v="2024-11-14T00:00:00"/>
    <x v="3"/>
    <s v="Electronics"/>
    <s v="South"/>
    <n v="9"/>
    <n v="5895"/>
  </r>
  <r>
    <d v="2022-04-09T00:00:00"/>
    <x v="4"/>
    <s v="Accessories"/>
    <s v="East"/>
    <n v="4"/>
    <n v="388"/>
  </r>
  <r>
    <d v="2024-06-12T00:00:00"/>
    <x v="1"/>
    <s v="Accessories"/>
    <s v="West"/>
    <n v="5"/>
    <n v="3670"/>
  </r>
  <r>
    <d v="2024-10-15T00:00:00"/>
    <x v="7"/>
    <s v="Electronics"/>
    <s v="East"/>
    <n v="9"/>
    <n v="7731"/>
  </r>
  <r>
    <d v="2023-10-18T00:00:00"/>
    <x v="9"/>
    <s v="Electronics"/>
    <s v="South"/>
    <n v="3"/>
    <n v="1596"/>
  </r>
  <r>
    <d v="2024-04-06T00:00:00"/>
    <x v="3"/>
    <s v="Electronics"/>
    <s v="East"/>
    <n v="4"/>
    <n v="4192"/>
  </r>
  <r>
    <d v="2023-07-29T00:00:00"/>
    <x v="2"/>
    <s v="Electronics"/>
    <s v="West"/>
    <n v="7"/>
    <n v="5264"/>
  </r>
  <r>
    <d v="2023-06-04T00:00:00"/>
    <x v="9"/>
    <s v="Electronics"/>
    <s v="North"/>
    <n v="1"/>
    <n v="425"/>
  </r>
  <r>
    <d v="2022-03-17T00:00:00"/>
    <x v="5"/>
    <s v="Electronics"/>
    <s v="North"/>
    <n v="4"/>
    <n v="3380"/>
  </r>
  <r>
    <d v="2024-03-07T00:00:00"/>
    <x v="0"/>
    <s v="Office"/>
    <s v="East"/>
    <n v="7"/>
    <n v="8379"/>
  </r>
  <r>
    <d v="2022-03-05T00:00:00"/>
    <x v="8"/>
    <s v="Accessories"/>
    <s v="North"/>
    <n v="4"/>
    <n v="2040"/>
  </r>
  <r>
    <d v="2024-04-17T00:00:00"/>
    <x v="0"/>
    <s v="Office"/>
    <s v="East"/>
    <n v="4"/>
    <n v="1336"/>
  </r>
  <r>
    <d v="2024-08-22T00:00:00"/>
    <x v="8"/>
    <s v="Accessories"/>
    <s v="South"/>
    <n v="2"/>
    <n v="1934"/>
  </r>
  <r>
    <d v="2024-04-09T00:00:00"/>
    <x v="8"/>
    <s v="Accessories"/>
    <s v="South"/>
    <n v="3"/>
    <n v="1560"/>
  </r>
  <r>
    <d v="2024-07-20T00:00:00"/>
    <x v="8"/>
    <s v="Accessories"/>
    <s v="North"/>
    <n v="6"/>
    <n v="4446"/>
  </r>
  <r>
    <d v="2023-03-17T00:00:00"/>
    <x v="0"/>
    <s v="Office"/>
    <s v="West"/>
    <n v="3"/>
    <n v="1893"/>
  </r>
  <r>
    <d v="2024-07-04T00:00:00"/>
    <x v="3"/>
    <s v="Electronics"/>
    <s v="East"/>
    <n v="4"/>
    <n v="4492"/>
  </r>
  <r>
    <d v="2023-08-12T00:00:00"/>
    <x v="1"/>
    <s v="Accessories"/>
    <s v="South"/>
    <n v="6"/>
    <n v="6228"/>
  </r>
  <r>
    <d v="2023-04-23T00:00:00"/>
    <x v="3"/>
    <s v="Electronics"/>
    <s v="East"/>
    <n v="7"/>
    <n v="4403"/>
  </r>
  <r>
    <d v="2022-10-15T00:00:00"/>
    <x v="4"/>
    <s v="Accessories"/>
    <s v="South"/>
    <n v="9"/>
    <n v="4176"/>
  </r>
  <r>
    <d v="2022-05-24T00:00:00"/>
    <x v="8"/>
    <s v="Accessories"/>
    <s v="West"/>
    <n v="2"/>
    <n v="486"/>
  </r>
  <r>
    <d v="2022-05-09T00:00:00"/>
    <x v="0"/>
    <s v="Office"/>
    <s v="East"/>
    <n v="5"/>
    <n v="4880"/>
  </r>
  <r>
    <d v="2022-11-02T00:00:00"/>
    <x v="0"/>
    <s v="Office"/>
    <s v="West"/>
    <n v="5"/>
    <n v="265"/>
  </r>
  <r>
    <d v="2023-09-10T00:00:00"/>
    <x v="9"/>
    <s v="Electronics"/>
    <s v="East"/>
    <n v="1"/>
    <n v="1041"/>
  </r>
  <r>
    <d v="2024-03-28T00:00:00"/>
    <x v="7"/>
    <s v="Electronics"/>
    <s v="East"/>
    <n v="8"/>
    <n v="9448"/>
  </r>
  <r>
    <d v="2022-07-01T00:00:00"/>
    <x v="4"/>
    <s v="Accessories"/>
    <s v="South"/>
    <n v="3"/>
    <n v="1617"/>
  </r>
  <r>
    <d v="2024-02-17T00:00:00"/>
    <x v="9"/>
    <s v="Electronics"/>
    <s v="West"/>
    <n v="2"/>
    <n v="1486"/>
  </r>
  <r>
    <d v="2023-07-08T00:00:00"/>
    <x v="5"/>
    <s v="Electronics"/>
    <s v="East"/>
    <n v="8"/>
    <n v="7152"/>
  </r>
  <r>
    <d v="2022-12-29T00:00:00"/>
    <x v="1"/>
    <s v="Accessories"/>
    <s v="East"/>
    <n v="6"/>
    <n v="1404"/>
  </r>
  <r>
    <d v="2023-08-11T00:00:00"/>
    <x v="3"/>
    <s v="Electronics"/>
    <s v="South"/>
    <n v="2"/>
    <n v="122"/>
  </r>
  <r>
    <d v="2023-08-01T00:00:00"/>
    <x v="3"/>
    <s v="Electronics"/>
    <s v="North"/>
    <n v="9"/>
    <n v="7533"/>
  </r>
  <r>
    <d v="2023-07-23T00:00:00"/>
    <x v="4"/>
    <s v="Accessories"/>
    <s v="South"/>
    <n v="4"/>
    <n v="3888"/>
  </r>
  <r>
    <d v="2024-07-05T00:00:00"/>
    <x v="7"/>
    <s v="Electronics"/>
    <s v="South"/>
    <n v="5"/>
    <n v="870"/>
  </r>
  <r>
    <d v="2022-11-28T00:00:00"/>
    <x v="1"/>
    <s v="Accessories"/>
    <s v="South"/>
    <n v="2"/>
    <n v="1446"/>
  </r>
  <r>
    <d v="2024-11-11T00:00:00"/>
    <x v="2"/>
    <s v="Electronics"/>
    <s v="South"/>
    <n v="6"/>
    <n v="510"/>
  </r>
  <r>
    <d v="2024-07-29T00:00:00"/>
    <x v="8"/>
    <s v="Accessories"/>
    <s v="West"/>
    <n v="8"/>
    <n v="6224"/>
  </r>
  <r>
    <d v="2023-04-25T00:00:00"/>
    <x v="8"/>
    <s v="Accessories"/>
    <s v="North"/>
    <n v="2"/>
    <n v="686"/>
  </r>
  <r>
    <d v="2023-12-11T00:00:00"/>
    <x v="1"/>
    <s v="Accessories"/>
    <s v="West"/>
    <n v="4"/>
    <n v="2840"/>
  </r>
  <r>
    <d v="2023-11-12T00:00:00"/>
    <x v="9"/>
    <s v="Electronics"/>
    <s v="South"/>
    <n v="7"/>
    <n v="2562"/>
  </r>
  <r>
    <d v="2024-05-04T00:00:00"/>
    <x v="7"/>
    <s v="Electronics"/>
    <s v="West"/>
    <n v="5"/>
    <n v="790"/>
  </r>
  <r>
    <d v="2022-07-09T00:00:00"/>
    <x v="9"/>
    <s v="Electronics"/>
    <s v="East"/>
    <n v="5"/>
    <n v="4170"/>
  </r>
  <r>
    <d v="2022-11-22T00:00:00"/>
    <x v="2"/>
    <s v="Electronics"/>
    <s v="East"/>
    <n v="4"/>
    <n v="1360"/>
  </r>
  <r>
    <d v="2022-03-13T00:00:00"/>
    <x v="3"/>
    <s v="Electronics"/>
    <s v="East"/>
    <n v="6"/>
    <n v="5316"/>
  </r>
  <r>
    <d v="2023-07-20T00:00:00"/>
    <x v="9"/>
    <s v="Electronics"/>
    <s v="West"/>
    <n v="4"/>
    <n v="3956"/>
  </r>
  <r>
    <d v="2022-05-09T00:00:00"/>
    <x v="6"/>
    <s v="Accessories"/>
    <s v="North"/>
    <n v="3"/>
    <n v="726"/>
  </r>
  <r>
    <d v="2024-08-04T00:00:00"/>
    <x v="7"/>
    <s v="Electronics"/>
    <s v="North"/>
    <n v="4"/>
    <n v="228"/>
  </r>
  <r>
    <d v="2022-07-31T00:00:00"/>
    <x v="4"/>
    <s v="Accessories"/>
    <s v="North"/>
    <n v="3"/>
    <n v="2274"/>
  </r>
  <r>
    <d v="2024-09-13T00:00:00"/>
    <x v="8"/>
    <s v="Accessories"/>
    <s v="North"/>
    <n v="9"/>
    <n v="2628"/>
  </r>
  <r>
    <d v="2024-05-26T00:00:00"/>
    <x v="3"/>
    <s v="Electronics"/>
    <s v="South"/>
    <n v="6"/>
    <n v="606"/>
  </r>
  <r>
    <d v="2024-11-15T00:00:00"/>
    <x v="4"/>
    <s v="Accessories"/>
    <s v="East"/>
    <n v="8"/>
    <n v="7256"/>
  </r>
  <r>
    <d v="2023-03-11T00:00:00"/>
    <x v="3"/>
    <s v="Electronics"/>
    <s v="West"/>
    <n v="4"/>
    <n v="1956"/>
  </r>
  <r>
    <d v="2024-06-20T00:00:00"/>
    <x v="0"/>
    <s v="Office"/>
    <s v="South"/>
    <n v="6"/>
    <n v="3954"/>
  </r>
  <r>
    <d v="2023-01-11T00:00:00"/>
    <x v="8"/>
    <s v="Accessories"/>
    <s v="East"/>
    <n v="6"/>
    <n v="2262"/>
  </r>
  <r>
    <d v="2022-02-15T00:00:00"/>
    <x v="0"/>
    <s v="Office"/>
    <s v="North"/>
    <n v="4"/>
    <n v="2804"/>
  </r>
  <r>
    <d v="2022-04-26T00:00:00"/>
    <x v="2"/>
    <s v="Electronics"/>
    <s v="South"/>
    <n v="9"/>
    <n v="5850"/>
  </r>
  <r>
    <d v="2023-06-07T00:00:00"/>
    <x v="8"/>
    <s v="Accessories"/>
    <s v="West"/>
    <n v="1"/>
    <n v="56"/>
  </r>
  <r>
    <d v="2024-01-17T00:00:00"/>
    <x v="6"/>
    <s v="Accessories"/>
    <s v="East"/>
    <n v="9"/>
    <n v="4302"/>
  </r>
  <r>
    <d v="2024-05-14T00:00:00"/>
    <x v="3"/>
    <s v="Electronics"/>
    <s v="West"/>
    <n v="9"/>
    <n v="10143"/>
  </r>
  <r>
    <d v="2023-05-15T00:00:00"/>
    <x v="4"/>
    <s v="Accessories"/>
    <s v="North"/>
    <n v="1"/>
    <n v="1012"/>
  </r>
  <r>
    <d v="2023-05-22T00:00:00"/>
    <x v="2"/>
    <s v="Electronics"/>
    <s v="East"/>
    <n v="9"/>
    <n v="8964"/>
  </r>
  <r>
    <d v="2022-08-05T00:00:00"/>
    <x v="1"/>
    <s v="Accessories"/>
    <s v="South"/>
    <n v="6"/>
    <n v="1758"/>
  </r>
  <r>
    <d v="2023-10-12T00:00:00"/>
    <x v="0"/>
    <s v="Office"/>
    <s v="North"/>
    <n v="6"/>
    <n v="6348"/>
  </r>
  <r>
    <d v="2023-11-04T00:00:00"/>
    <x v="0"/>
    <s v="Office"/>
    <s v="North"/>
    <n v="2"/>
    <n v="1582"/>
  </r>
  <r>
    <d v="2023-05-17T00:00:00"/>
    <x v="1"/>
    <s v="Accessories"/>
    <s v="South"/>
    <n v="2"/>
    <n v="1924"/>
  </r>
  <r>
    <d v="2023-04-02T00:00:00"/>
    <x v="8"/>
    <s v="Accessories"/>
    <s v="North"/>
    <n v="1"/>
    <n v="120"/>
  </r>
  <r>
    <d v="2024-01-26T00:00:00"/>
    <x v="4"/>
    <s v="Accessories"/>
    <s v="East"/>
    <n v="8"/>
    <n v="7752"/>
  </r>
  <r>
    <d v="2023-07-13T00:00:00"/>
    <x v="3"/>
    <s v="Electronics"/>
    <s v="East"/>
    <n v="2"/>
    <n v="1114"/>
  </r>
  <r>
    <d v="2024-11-28T00:00:00"/>
    <x v="8"/>
    <s v="Accessories"/>
    <s v="North"/>
    <n v="5"/>
    <n v="1765"/>
  </r>
  <r>
    <d v="2022-08-10T00:00:00"/>
    <x v="8"/>
    <s v="Accessories"/>
    <s v="West"/>
    <n v="6"/>
    <n v="6834"/>
  </r>
  <r>
    <d v="2022-09-14T00:00:00"/>
    <x v="7"/>
    <s v="Electronics"/>
    <s v="East"/>
    <n v="5"/>
    <n v="1520"/>
  </r>
  <r>
    <d v="2023-08-05T00:00:00"/>
    <x v="5"/>
    <s v="Electronics"/>
    <s v="West"/>
    <n v="7"/>
    <n v="8141"/>
  </r>
  <r>
    <d v="2023-08-30T00:00:00"/>
    <x v="2"/>
    <s v="Electronics"/>
    <s v="South"/>
    <n v="8"/>
    <n v="5176"/>
  </r>
  <r>
    <d v="2024-05-11T00:00:00"/>
    <x v="1"/>
    <s v="Accessories"/>
    <s v="East"/>
    <n v="9"/>
    <n v="738"/>
  </r>
  <r>
    <d v="2024-01-17T00:00:00"/>
    <x v="0"/>
    <s v="Office"/>
    <s v="South"/>
    <n v="9"/>
    <n v="4086"/>
  </r>
  <r>
    <d v="2022-09-16T00:00:00"/>
    <x v="1"/>
    <s v="Accessories"/>
    <s v="East"/>
    <n v="2"/>
    <n v="442"/>
  </r>
  <r>
    <d v="2023-01-13T00:00:00"/>
    <x v="7"/>
    <s v="Electronics"/>
    <s v="East"/>
    <n v="6"/>
    <n v="2478"/>
  </r>
  <r>
    <d v="2022-01-22T00:00:00"/>
    <x v="8"/>
    <s v="Accessories"/>
    <s v="South"/>
    <n v="2"/>
    <n v="1860"/>
  </r>
  <r>
    <d v="2022-05-24T00:00:00"/>
    <x v="6"/>
    <s v="Accessories"/>
    <s v="East"/>
    <n v="9"/>
    <n v="4968"/>
  </r>
  <r>
    <d v="2023-03-05T00:00:00"/>
    <x v="0"/>
    <s v="Office"/>
    <s v="South"/>
    <n v="3"/>
    <n v="1446"/>
  </r>
  <r>
    <d v="2023-04-25T00:00:00"/>
    <x v="1"/>
    <s v="Accessories"/>
    <s v="East"/>
    <n v="7"/>
    <n v="1722"/>
  </r>
  <r>
    <d v="2024-07-13T00:00:00"/>
    <x v="5"/>
    <s v="Electronics"/>
    <s v="East"/>
    <n v="7"/>
    <n v="6573"/>
  </r>
  <r>
    <d v="2024-09-01T00:00:00"/>
    <x v="4"/>
    <s v="Accessories"/>
    <s v="East"/>
    <n v="3"/>
    <n v="2481"/>
  </r>
  <r>
    <d v="2024-12-26T00:00:00"/>
    <x v="6"/>
    <s v="Accessories"/>
    <s v="West"/>
    <n v="6"/>
    <n v="3828"/>
  </r>
  <r>
    <d v="2023-08-20T00:00:00"/>
    <x v="2"/>
    <s v="Electronics"/>
    <s v="East"/>
    <n v="7"/>
    <n v="1197"/>
  </r>
  <r>
    <d v="2022-01-09T00:00:00"/>
    <x v="2"/>
    <s v="Electronics"/>
    <s v="West"/>
    <n v="7"/>
    <n v="7623"/>
  </r>
  <r>
    <d v="2022-08-14T00:00:00"/>
    <x v="1"/>
    <s v="Accessories"/>
    <s v="North"/>
    <n v="9"/>
    <n v="3384"/>
  </r>
  <r>
    <d v="2022-01-01T00:00:00"/>
    <x v="6"/>
    <s v="Accessories"/>
    <s v="South"/>
    <n v="8"/>
    <n v="1296"/>
  </r>
  <r>
    <d v="2024-07-25T00:00:00"/>
    <x v="2"/>
    <s v="Electronics"/>
    <s v="West"/>
    <n v="8"/>
    <n v="2840"/>
  </r>
  <r>
    <d v="2024-08-22T00:00:00"/>
    <x v="3"/>
    <s v="Electronics"/>
    <s v="East"/>
    <n v="7"/>
    <n v="1540"/>
  </r>
  <r>
    <d v="2022-06-28T00:00:00"/>
    <x v="3"/>
    <s v="Electronics"/>
    <s v="West"/>
    <n v="2"/>
    <n v="1414"/>
  </r>
  <r>
    <d v="2023-04-26T00:00:00"/>
    <x v="3"/>
    <s v="Electronics"/>
    <s v="West"/>
    <n v="8"/>
    <n v="8328"/>
  </r>
  <r>
    <d v="2023-08-29T00:00:00"/>
    <x v="3"/>
    <s v="Electronics"/>
    <s v="North"/>
    <n v="2"/>
    <n v="744"/>
  </r>
  <r>
    <d v="2023-01-02T00:00:00"/>
    <x v="1"/>
    <s v="Accessories"/>
    <s v="South"/>
    <n v="9"/>
    <n v="1773"/>
  </r>
  <r>
    <d v="2023-08-11T00:00:00"/>
    <x v="7"/>
    <s v="Electronics"/>
    <s v="East"/>
    <n v="7"/>
    <n v="6034"/>
  </r>
  <r>
    <d v="2023-06-22T00:00:00"/>
    <x v="7"/>
    <s v="Electronics"/>
    <s v="South"/>
    <n v="9"/>
    <n v="756"/>
  </r>
  <r>
    <d v="2024-07-27T00:00:00"/>
    <x v="6"/>
    <s v="Accessories"/>
    <s v="East"/>
    <n v="8"/>
    <n v="2256"/>
  </r>
  <r>
    <d v="2023-11-30T00:00:00"/>
    <x v="6"/>
    <s v="Accessories"/>
    <s v="North"/>
    <n v="7"/>
    <n v="875"/>
  </r>
  <r>
    <d v="2024-11-26T00:00:00"/>
    <x v="4"/>
    <s v="Accessories"/>
    <s v="South"/>
    <n v="4"/>
    <n v="1208"/>
  </r>
  <r>
    <d v="2023-08-15T00:00:00"/>
    <x v="4"/>
    <s v="Accessories"/>
    <s v="South"/>
    <n v="2"/>
    <n v="352"/>
  </r>
  <r>
    <d v="2023-02-23T00:00:00"/>
    <x v="0"/>
    <s v="Office"/>
    <s v="West"/>
    <n v="6"/>
    <n v="4266"/>
  </r>
  <r>
    <d v="2022-03-26T00:00:00"/>
    <x v="2"/>
    <s v="Electronics"/>
    <s v="North"/>
    <n v="7"/>
    <n v="1841"/>
  </r>
  <r>
    <d v="2024-07-27T00:00:00"/>
    <x v="3"/>
    <s v="Electronics"/>
    <s v="East"/>
    <n v="1"/>
    <n v="712"/>
  </r>
  <r>
    <d v="2024-03-23T00:00:00"/>
    <x v="0"/>
    <s v="Office"/>
    <s v="West"/>
    <n v="2"/>
    <n v="724"/>
  </r>
  <r>
    <d v="2024-12-09T00:00:00"/>
    <x v="7"/>
    <s v="Electronics"/>
    <s v="West"/>
    <n v="8"/>
    <n v="5832"/>
  </r>
  <r>
    <d v="2023-06-17T00:00:00"/>
    <x v="8"/>
    <s v="Accessories"/>
    <s v="South"/>
    <n v="6"/>
    <n v="4188"/>
  </r>
  <r>
    <d v="2023-09-21T00:00:00"/>
    <x v="2"/>
    <s v="Electronics"/>
    <s v="West"/>
    <n v="1"/>
    <n v="392"/>
  </r>
  <r>
    <d v="2022-05-14T00:00:00"/>
    <x v="9"/>
    <s v="Electronics"/>
    <s v="East"/>
    <n v="9"/>
    <n v="963"/>
  </r>
  <r>
    <d v="2024-04-13T00:00:00"/>
    <x v="3"/>
    <s v="Electronics"/>
    <s v="West"/>
    <n v="6"/>
    <n v="5706"/>
  </r>
  <r>
    <d v="2024-06-11T00:00:00"/>
    <x v="4"/>
    <s v="Accessories"/>
    <s v="West"/>
    <n v="7"/>
    <n v="1365"/>
  </r>
  <r>
    <d v="2023-05-23T00:00:00"/>
    <x v="4"/>
    <s v="Accessories"/>
    <s v="South"/>
    <n v="1"/>
    <n v="202"/>
  </r>
  <r>
    <d v="2023-12-24T00:00:00"/>
    <x v="7"/>
    <s v="Electronics"/>
    <s v="North"/>
    <n v="9"/>
    <n v="2430"/>
  </r>
  <r>
    <d v="2023-04-26T00:00:00"/>
    <x v="6"/>
    <s v="Accessories"/>
    <s v="South"/>
    <n v="3"/>
    <n v="2670"/>
  </r>
  <r>
    <d v="2022-01-21T00:00:00"/>
    <x v="2"/>
    <s v="Electronics"/>
    <s v="South"/>
    <n v="7"/>
    <n v="2758"/>
  </r>
  <r>
    <d v="2022-10-14T00:00:00"/>
    <x v="6"/>
    <s v="Accessories"/>
    <s v="South"/>
    <n v="9"/>
    <n v="873"/>
  </r>
  <r>
    <d v="2023-08-23T00:00:00"/>
    <x v="5"/>
    <s v="Electronics"/>
    <s v="West"/>
    <n v="9"/>
    <n v="7245"/>
  </r>
  <r>
    <d v="2023-09-13T00:00:00"/>
    <x v="3"/>
    <s v="Electronics"/>
    <s v="North"/>
    <n v="4"/>
    <n v="960"/>
  </r>
  <r>
    <d v="2024-12-28T00:00:00"/>
    <x v="5"/>
    <s v="Electronics"/>
    <s v="East"/>
    <n v="4"/>
    <n v="1284"/>
  </r>
  <r>
    <d v="2023-06-09T00:00:00"/>
    <x v="1"/>
    <s v="Accessories"/>
    <s v="West"/>
    <n v="4"/>
    <n v="512"/>
  </r>
  <r>
    <d v="2022-07-10T00:00:00"/>
    <x v="5"/>
    <s v="Electronics"/>
    <s v="South"/>
    <n v="9"/>
    <n v="9729"/>
  </r>
  <r>
    <d v="2023-01-11T00:00:00"/>
    <x v="3"/>
    <s v="Electronics"/>
    <s v="North"/>
    <n v="5"/>
    <n v="1580"/>
  </r>
  <r>
    <d v="2023-07-26T00:00:00"/>
    <x v="1"/>
    <s v="Accessories"/>
    <s v="East"/>
    <n v="8"/>
    <n v="976"/>
  </r>
  <r>
    <d v="2024-01-05T00:00:00"/>
    <x v="0"/>
    <s v="Office"/>
    <s v="North"/>
    <n v="8"/>
    <n v="1824"/>
  </r>
  <r>
    <d v="2023-05-08T00:00:00"/>
    <x v="7"/>
    <s v="Electronics"/>
    <s v="South"/>
    <n v="4"/>
    <n v="3188"/>
  </r>
  <r>
    <d v="2023-11-29T00:00:00"/>
    <x v="3"/>
    <s v="Electronics"/>
    <s v="East"/>
    <n v="7"/>
    <n v="5467"/>
  </r>
  <r>
    <d v="2024-09-05T00:00:00"/>
    <x v="7"/>
    <s v="Electronics"/>
    <s v="South"/>
    <n v="6"/>
    <n v="5406"/>
  </r>
  <r>
    <d v="2024-08-08T00:00:00"/>
    <x v="4"/>
    <s v="Accessories"/>
    <s v="East"/>
    <n v="8"/>
    <n v="2984"/>
  </r>
  <r>
    <d v="2023-04-12T00:00:00"/>
    <x v="0"/>
    <s v="Office"/>
    <s v="North"/>
    <n v="1"/>
    <n v="919"/>
  </r>
  <r>
    <d v="2023-08-18T00:00:00"/>
    <x v="3"/>
    <s v="Electronics"/>
    <s v="South"/>
    <n v="6"/>
    <n v="1686"/>
  </r>
  <r>
    <d v="2023-06-02T00:00:00"/>
    <x v="9"/>
    <s v="Electronics"/>
    <s v="West"/>
    <n v="7"/>
    <n v="4165"/>
  </r>
  <r>
    <d v="2023-11-17T00:00:00"/>
    <x v="7"/>
    <s v="Electronics"/>
    <s v="West"/>
    <n v="7"/>
    <n v="1281"/>
  </r>
  <r>
    <d v="2024-06-17T00:00:00"/>
    <x v="5"/>
    <s v="Electronics"/>
    <s v="East"/>
    <n v="3"/>
    <n v="2829"/>
  </r>
  <r>
    <d v="2024-04-06T00:00:00"/>
    <x v="6"/>
    <s v="Accessories"/>
    <s v="West"/>
    <n v="3"/>
    <n v="2211"/>
  </r>
  <r>
    <d v="2024-12-18T00:00:00"/>
    <x v="4"/>
    <s v="Accessories"/>
    <s v="East"/>
    <n v="4"/>
    <n v="4740"/>
  </r>
  <r>
    <d v="2023-12-09T00:00:00"/>
    <x v="3"/>
    <s v="Electronics"/>
    <s v="East"/>
    <n v="1"/>
    <n v="718"/>
  </r>
  <r>
    <d v="2022-10-10T00:00:00"/>
    <x v="4"/>
    <s v="Accessories"/>
    <s v="North"/>
    <n v="6"/>
    <n v="1716"/>
  </r>
  <r>
    <d v="2024-04-22T00:00:00"/>
    <x v="6"/>
    <s v="Accessories"/>
    <s v="South"/>
    <n v="7"/>
    <n v="1547"/>
  </r>
  <r>
    <d v="2022-06-14T00:00:00"/>
    <x v="1"/>
    <s v="Accessories"/>
    <s v="North"/>
    <n v="1"/>
    <n v="739"/>
  </r>
  <r>
    <d v="2023-09-03T00:00:00"/>
    <x v="9"/>
    <s v="Electronics"/>
    <s v="West"/>
    <n v="3"/>
    <n v="819"/>
  </r>
  <r>
    <d v="2023-12-19T00:00:00"/>
    <x v="9"/>
    <s v="Electronics"/>
    <s v="South"/>
    <n v="8"/>
    <n v="5696"/>
  </r>
  <r>
    <d v="2023-01-22T00:00:00"/>
    <x v="6"/>
    <s v="Accessories"/>
    <s v="South"/>
    <n v="2"/>
    <n v="1706"/>
  </r>
  <r>
    <d v="2024-01-23T00:00:00"/>
    <x v="3"/>
    <s v="Electronics"/>
    <s v="North"/>
    <n v="2"/>
    <n v="2066"/>
  </r>
  <r>
    <d v="2024-06-07T00:00:00"/>
    <x v="9"/>
    <s v="Electronics"/>
    <s v="North"/>
    <n v="2"/>
    <n v="256"/>
  </r>
  <r>
    <d v="2024-02-04T00:00:00"/>
    <x v="7"/>
    <s v="Electronics"/>
    <s v="North"/>
    <n v="2"/>
    <n v="1102"/>
  </r>
  <r>
    <d v="2024-08-31T00:00:00"/>
    <x v="6"/>
    <s v="Accessories"/>
    <s v="North"/>
    <n v="8"/>
    <n v="2872"/>
  </r>
  <r>
    <d v="2024-11-11T00:00:00"/>
    <x v="2"/>
    <s v="Electronics"/>
    <s v="East"/>
    <n v="4"/>
    <n v="2584"/>
  </r>
  <r>
    <d v="2024-07-27T00:00:00"/>
    <x v="1"/>
    <s v="Accessories"/>
    <s v="North"/>
    <n v="2"/>
    <n v="1366"/>
  </r>
  <r>
    <d v="2024-05-11T00:00:00"/>
    <x v="5"/>
    <s v="Electronics"/>
    <s v="South"/>
    <n v="7"/>
    <n v="1253"/>
  </r>
  <r>
    <d v="2023-03-24T00:00:00"/>
    <x v="9"/>
    <s v="Electronics"/>
    <s v="West"/>
    <n v="7"/>
    <n v="2618"/>
  </r>
  <r>
    <d v="2022-09-22T00:00:00"/>
    <x v="4"/>
    <s v="Accessories"/>
    <s v="East"/>
    <n v="9"/>
    <n v="6822"/>
  </r>
  <r>
    <d v="2023-11-05T00:00:00"/>
    <x v="8"/>
    <s v="Accessories"/>
    <s v="East"/>
    <n v="6"/>
    <n v="5286"/>
  </r>
  <r>
    <d v="2024-06-13T00:00:00"/>
    <x v="6"/>
    <s v="Accessories"/>
    <s v="North"/>
    <n v="1"/>
    <n v="579"/>
  </r>
  <r>
    <d v="2022-02-28T00:00:00"/>
    <x v="9"/>
    <s v="Electronics"/>
    <s v="West"/>
    <n v="8"/>
    <n v="1392"/>
  </r>
  <r>
    <d v="2022-11-14T00:00:00"/>
    <x v="9"/>
    <s v="Electronics"/>
    <s v="West"/>
    <n v="9"/>
    <n v="2493"/>
  </r>
  <r>
    <d v="2023-09-17T00:00:00"/>
    <x v="7"/>
    <s v="Electronics"/>
    <s v="North"/>
    <n v="7"/>
    <n v="6461"/>
  </r>
  <r>
    <d v="2022-08-17T00:00:00"/>
    <x v="2"/>
    <s v="Electronics"/>
    <s v="East"/>
    <n v="2"/>
    <n v="1486"/>
  </r>
  <r>
    <d v="2023-05-14T00:00:00"/>
    <x v="0"/>
    <s v="Office"/>
    <s v="South"/>
    <n v="1"/>
    <n v="1152"/>
  </r>
  <r>
    <d v="2022-03-12T00:00:00"/>
    <x v="5"/>
    <s v="Electronics"/>
    <s v="West"/>
    <n v="2"/>
    <n v="1750"/>
  </r>
  <r>
    <d v="2022-07-12T00:00:00"/>
    <x v="7"/>
    <s v="Electronics"/>
    <s v="West"/>
    <n v="7"/>
    <n v="4417"/>
  </r>
  <r>
    <d v="2024-07-05T00:00:00"/>
    <x v="9"/>
    <s v="Electronics"/>
    <s v="South"/>
    <n v="4"/>
    <n v="3724"/>
  </r>
  <r>
    <d v="2023-06-16T00:00:00"/>
    <x v="3"/>
    <s v="Electronics"/>
    <s v="West"/>
    <n v="3"/>
    <n v="2220"/>
  </r>
  <r>
    <d v="2023-06-20T00:00:00"/>
    <x v="6"/>
    <s v="Accessories"/>
    <s v="West"/>
    <n v="8"/>
    <n v="9104"/>
  </r>
  <r>
    <d v="2024-08-08T00:00:00"/>
    <x v="0"/>
    <s v="Office"/>
    <s v="West"/>
    <n v="3"/>
    <n v="3093"/>
  </r>
  <r>
    <d v="2023-03-01T00:00:00"/>
    <x v="4"/>
    <s v="Accessories"/>
    <s v="South"/>
    <n v="6"/>
    <n v="3048"/>
  </r>
  <r>
    <d v="2022-05-02T00:00:00"/>
    <x v="7"/>
    <s v="Electronics"/>
    <s v="North"/>
    <n v="1"/>
    <n v="161"/>
  </r>
  <r>
    <d v="2023-07-23T00:00:00"/>
    <x v="6"/>
    <s v="Accessories"/>
    <s v="West"/>
    <n v="7"/>
    <n v="7238"/>
  </r>
  <r>
    <d v="2024-03-30T00:00:00"/>
    <x v="7"/>
    <s v="Electronics"/>
    <s v="North"/>
    <n v="3"/>
    <n v="3561"/>
  </r>
  <r>
    <d v="2022-08-07T00:00:00"/>
    <x v="6"/>
    <s v="Accessories"/>
    <s v="North"/>
    <n v="5"/>
    <n v="1850"/>
  </r>
  <r>
    <d v="2022-03-06T00:00:00"/>
    <x v="1"/>
    <s v="Accessories"/>
    <s v="West"/>
    <n v="6"/>
    <n v="3522"/>
  </r>
  <r>
    <d v="2023-11-24T00:00:00"/>
    <x v="5"/>
    <s v="Electronics"/>
    <s v="East"/>
    <n v="1"/>
    <n v="584"/>
  </r>
  <r>
    <d v="2023-08-31T00:00:00"/>
    <x v="7"/>
    <s v="Electronics"/>
    <s v="East"/>
    <n v="4"/>
    <n v="2556"/>
  </r>
  <r>
    <d v="2023-10-14T00:00:00"/>
    <x v="7"/>
    <s v="Electronics"/>
    <s v="South"/>
    <n v="2"/>
    <n v="348"/>
  </r>
  <r>
    <d v="2023-05-16T00:00:00"/>
    <x v="6"/>
    <s v="Accessories"/>
    <s v="South"/>
    <n v="9"/>
    <n v="1602"/>
  </r>
  <r>
    <d v="2023-06-19T00:00:00"/>
    <x v="6"/>
    <s v="Accessories"/>
    <s v="South"/>
    <n v="3"/>
    <n v="2853"/>
  </r>
  <r>
    <d v="2023-07-21T00:00:00"/>
    <x v="0"/>
    <s v="Office"/>
    <s v="West"/>
    <n v="1"/>
    <n v="1024"/>
  </r>
  <r>
    <d v="2022-03-20T00:00:00"/>
    <x v="3"/>
    <s v="Electronics"/>
    <s v="East"/>
    <n v="5"/>
    <n v="4485"/>
  </r>
  <r>
    <d v="2023-08-06T00:00:00"/>
    <x v="0"/>
    <s v="Office"/>
    <s v="East"/>
    <n v="2"/>
    <n v="436"/>
  </r>
  <r>
    <d v="2024-10-21T00:00:00"/>
    <x v="5"/>
    <s v="Electronics"/>
    <s v="North"/>
    <n v="2"/>
    <n v="2232"/>
  </r>
  <r>
    <d v="2022-08-14T00:00:00"/>
    <x v="8"/>
    <s v="Accessories"/>
    <s v="South"/>
    <n v="6"/>
    <n v="7056"/>
  </r>
  <r>
    <d v="2022-03-15T00:00:00"/>
    <x v="8"/>
    <s v="Accessories"/>
    <s v="East"/>
    <n v="5"/>
    <n v="875"/>
  </r>
  <r>
    <d v="2022-02-01T00:00:00"/>
    <x v="5"/>
    <s v="Electronics"/>
    <s v="East"/>
    <n v="3"/>
    <n v="315"/>
  </r>
  <r>
    <d v="2022-04-24T00:00:00"/>
    <x v="9"/>
    <s v="Electronics"/>
    <s v="East"/>
    <n v="2"/>
    <n v="358"/>
  </r>
  <r>
    <d v="2023-03-23T00:00:00"/>
    <x v="3"/>
    <s v="Electronics"/>
    <s v="South"/>
    <n v="7"/>
    <n v="3451"/>
  </r>
  <r>
    <d v="2022-02-10T00:00:00"/>
    <x v="9"/>
    <s v="Electronics"/>
    <s v="North"/>
    <n v="9"/>
    <n v="1350"/>
  </r>
  <r>
    <d v="2023-10-19T00:00:00"/>
    <x v="2"/>
    <s v="Electronics"/>
    <s v="West"/>
    <n v="8"/>
    <n v="3320"/>
  </r>
  <r>
    <d v="2024-09-10T00:00:00"/>
    <x v="1"/>
    <s v="Accessories"/>
    <s v="North"/>
    <n v="9"/>
    <n v="8442"/>
  </r>
  <r>
    <d v="2022-06-17T00:00:00"/>
    <x v="8"/>
    <s v="Accessories"/>
    <s v="South"/>
    <n v="1"/>
    <n v="166"/>
  </r>
  <r>
    <d v="2023-08-09T00:00:00"/>
    <x v="1"/>
    <s v="Accessories"/>
    <s v="North"/>
    <n v="5"/>
    <n v="3720"/>
  </r>
  <r>
    <d v="2023-07-11T00:00:00"/>
    <x v="9"/>
    <s v="Electronics"/>
    <s v="South"/>
    <n v="2"/>
    <n v="1090"/>
  </r>
  <r>
    <d v="2024-01-05T00:00:00"/>
    <x v="9"/>
    <s v="Electronics"/>
    <s v="West"/>
    <n v="9"/>
    <n v="9783"/>
  </r>
  <r>
    <d v="2022-09-22T00:00:00"/>
    <x v="7"/>
    <s v="Electronics"/>
    <s v="North"/>
    <n v="4"/>
    <n v="2432"/>
  </r>
  <r>
    <d v="2023-06-22T00:00:00"/>
    <x v="1"/>
    <s v="Accessories"/>
    <s v="North"/>
    <n v="7"/>
    <n v="4060"/>
  </r>
  <r>
    <d v="2023-03-26T00:00:00"/>
    <x v="5"/>
    <s v="Electronics"/>
    <s v="North"/>
    <n v="1"/>
    <n v="387"/>
  </r>
  <r>
    <d v="2023-08-11T00:00:00"/>
    <x v="5"/>
    <s v="Electronics"/>
    <s v="North"/>
    <n v="3"/>
    <n v="966"/>
  </r>
  <r>
    <d v="2024-05-17T00:00:00"/>
    <x v="2"/>
    <s v="Electronics"/>
    <s v="North"/>
    <n v="3"/>
    <n v="3366"/>
  </r>
  <r>
    <d v="2024-06-30T00:00:00"/>
    <x v="6"/>
    <s v="Accessories"/>
    <s v="West"/>
    <n v="7"/>
    <n v="7833"/>
  </r>
  <r>
    <d v="2023-04-09T00:00:00"/>
    <x v="6"/>
    <s v="Accessories"/>
    <s v="West"/>
    <n v="1"/>
    <n v="610"/>
  </r>
  <r>
    <d v="2022-05-28T00:00:00"/>
    <x v="5"/>
    <s v="Electronics"/>
    <s v="West"/>
    <n v="8"/>
    <n v="4288"/>
  </r>
  <r>
    <d v="2022-07-18T00:00:00"/>
    <x v="0"/>
    <s v="Office"/>
    <s v="North"/>
    <n v="9"/>
    <n v="7740"/>
  </r>
  <r>
    <d v="2024-08-20T00:00:00"/>
    <x v="5"/>
    <s v="Electronics"/>
    <s v="West"/>
    <n v="9"/>
    <n v="3150"/>
  </r>
  <r>
    <d v="2023-12-31T00:00:00"/>
    <x v="8"/>
    <s v="Accessories"/>
    <s v="West"/>
    <n v="2"/>
    <n v="894"/>
  </r>
  <r>
    <d v="2022-10-09T00:00:00"/>
    <x v="9"/>
    <s v="Electronics"/>
    <s v="North"/>
    <n v="8"/>
    <n v="7544"/>
  </r>
  <r>
    <d v="2024-03-01T00:00:00"/>
    <x v="8"/>
    <s v="Accessories"/>
    <s v="North"/>
    <n v="8"/>
    <n v="6360"/>
  </r>
  <r>
    <d v="2022-03-19T00:00:00"/>
    <x v="7"/>
    <s v="Electronics"/>
    <s v="West"/>
    <n v="4"/>
    <n v="2428"/>
  </r>
  <r>
    <d v="2022-10-05T00:00:00"/>
    <x v="4"/>
    <s v="Accessories"/>
    <s v="South"/>
    <n v="2"/>
    <n v="574"/>
  </r>
  <r>
    <d v="2023-04-25T00:00:00"/>
    <x v="8"/>
    <s v="Accessories"/>
    <s v="West"/>
    <n v="6"/>
    <n v="6744"/>
  </r>
  <r>
    <d v="2023-09-11T00:00:00"/>
    <x v="4"/>
    <s v="Accessories"/>
    <s v="North"/>
    <n v="6"/>
    <n v="798"/>
  </r>
  <r>
    <d v="2023-01-13T00:00:00"/>
    <x v="0"/>
    <s v="Office"/>
    <s v="North"/>
    <n v="5"/>
    <n v="2860"/>
  </r>
  <r>
    <d v="2022-04-03T00:00:00"/>
    <x v="0"/>
    <s v="Office"/>
    <s v="South"/>
    <n v="5"/>
    <n v="5410"/>
  </r>
  <r>
    <d v="2023-02-26T00:00:00"/>
    <x v="9"/>
    <s v="Electronics"/>
    <s v="West"/>
    <n v="5"/>
    <n v="4445"/>
  </r>
  <r>
    <d v="2024-11-03T00:00:00"/>
    <x v="5"/>
    <s v="Electronics"/>
    <s v="South"/>
    <n v="8"/>
    <n v="7536"/>
  </r>
  <r>
    <d v="2023-09-26T00:00:00"/>
    <x v="6"/>
    <s v="Accessories"/>
    <s v="North"/>
    <n v="7"/>
    <n v="4165"/>
  </r>
  <r>
    <d v="2024-02-19T00:00:00"/>
    <x v="9"/>
    <s v="Electronics"/>
    <s v="East"/>
    <n v="3"/>
    <n v="3021"/>
  </r>
  <r>
    <d v="2024-04-29T00:00:00"/>
    <x v="8"/>
    <s v="Accessories"/>
    <s v="North"/>
    <n v="2"/>
    <n v="310"/>
  </r>
  <r>
    <d v="2024-05-15T00:00:00"/>
    <x v="4"/>
    <s v="Accessories"/>
    <s v="South"/>
    <n v="2"/>
    <n v="2170"/>
  </r>
  <r>
    <d v="2024-10-22T00:00:00"/>
    <x v="2"/>
    <s v="Electronics"/>
    <s v="West"/>
    <n v="3"/>
    <n v="2832"/>
  </r>
  <r>
    <d v="2022-07-31T00:00:00"/>
    <x v="5"/>
    <s v="Electronics"/>
    <s v="West"/>
    <n v="5"/>
    <n v="3945"/>
  </r>
  <r>
    <d v="2022-09-10T00:00:00"/>
    <x v="2"/>
    <s v="Electronics"/>
    <s v="South"/>
    <n v="4"/>
    <n v="2104"/>
  </r>
  <r>
    <d v="2022-08-24T00:00:00"/>
    <x v="6"/>
    <s v="Accessories"/>
    <s v="South"/>
    <n v="2"/>
    <n v="2060"/>
  </r>
  <r>
    <d v="2024-06-23T00:00:00"/>
    <x v="0"/>
    <s v="Office"/>
    <s v="North"/>
    <n v="4"/>
    <n v="1060"/>
  </r>
  <r>
    <d v="2023-01-13T00:00:00"/>
    <x v="5"/>
    <s v="Electronics"/>
    <s v="South"/>
    <n v="6"/>
    <n v="810"/>
  </r>
  <r>
    <d v="2022-09-23T00:00:00"/>
    <x v="9"/>
    <s v="Electronics"/>
    <s v="West"/>
    <n v="3"/>
    <n v="873"/>
  </r>
  <r>
    <d v="2022-02-08T00:00:00"/>
    <x v="2"/>
    <s v="Electronics"/>
    <s v="West"/>
    <n v="5"/>
    <n v="595"/>
  </r>
  <r>
    <d v="2022-12-18T00:00:00"/>
    <x v="9"/>
    <s v="Electronics"/>
    <s v="West"/>
    <n v="2"/>
    <n v="1562"/>
  </r>
  <r>
    <d v="2022-01-25T00:00:00"/>
    <x v="5"/>
    <s v="Electronics"/>
    <s v="East"/>
    <n v="9"/>
    <n v="5337"/>
  </r>
  <r>
    <d v="2022-12-09T00:00:00"/>
    <x v="0"/>
    <s v="Office"/>
    <s v="North"/>
    <n v="2"/>
    <n v="212"/>
  </r>
  <r>
    <d v="2023-06-14T00:00:00"/>
    <x v="0"/>
    <s v="Office"/>
    <s v="East"/>
    <n v="8"/>
    <n v="2704"/>
  </r>
  <r>
    <d v="2024-05-31T00:00:00"/>
    <x v="9"/>
    <s v="Electronics"/>
    <s v="North"/>
    <n v="5"/>
    <n v="3225"/>
  </r>
  <r>
    <d v="2023-08-07T00:00:00"/>
    <x v="6"/>
    <s v="Accessories"/>
    <s v="North"/>
    <n v="2"/>
    <n v="1342"/>
  </r>
  <r>
    <d v="2022-07-13T00:00:00"/>
    <x v="1"/>
    <s v="Accessories"/>
    <s v="South"/>
    <n v="7"/>
    <n v="3395"/>
  </r>
  <r>
    <d v="2024-12-01T00:00:00"/>
    <x v="5"/>
    <s v="Electronics"/>
    <s v="East"/>
    <n v="4"/>
    <n v="3968"/>
  </r>
  <r>
    <d v="2024-04-12T00:00:00"/>
    <x v="7"/>
    <s v="Electronics"/>
    <s v="West"/>
    <n v="5"/>
    <n v="4555"/>
  </r>
  <r>
    <d v="2022-02-26T00:00:00"/>
    <x v="2"/>
    <s v="Electronics"/>
    <s v="West"/>
    <n v="2"/>
    <n v="2132"/>
  </r>
  <r>
    <d v="2022-03-31T00:00:00"/>
    <x v="1"/>
    <s v="Accessories"/>
    <s v="West"/>
    <n v="6"/>
    <n v="6516"/>
  </r>
  <r>
    <d v="2023-08-17T00:00:00"/>
    <x v="5"/>
    <s v="Electronics"/>
    <s v="North"/>
    <n v="2"/>
    <n v="2040"/>
  </r>
  <r>
    <d v="2024-09-23T00:00:00"/>
    <x v="1"/>
    <s v="Accessories"/>
    <s v="East"/>
    <n v="6"/>
    <n v="6126"/>
  </r>
  <r>
    <d v="2022-09-11T00:00:00"/>
    <x v="5"/>
    <s v="Electronics"/>
    <s v="West"/>
    <n v="8"/>
    <n v="520"/>
  </r>
  <r>
    <d v="2023-01-01T00:00:00"/>
    <x v="3"/>
    <s v="Electronics"/>
    <s v="South"/>
    <n v="5"/>
    <n v="4470"/>
  </r>
  <r>
    <d v="2024-07-12T00:00:00"/>
    <x v="5"/>
    <s v="Electronics"/>
    <s v="West"/>
    <n v="8"/>
    <n v="5504"/>
  </r>
  <r>
    <d v="2022-01-11T00:00:00"/>
    <x v="4"/>
    <s v="Accessories"/>
    <s v="West"/>
    <n v="4"/>
    <n v="3036"/>
  </r>
  <r>
    <d v="2024-10-05T00:00:00"/>
    <x v="5"/>
    <s v="Electronics"/>
    <s v="East"/>
    <n v="5"/>
    <n v="2725"/>
  </r>
  <r>
    <d v="2024-09-16T00:00:00"/>
    <x v="0"/>
    <s v="Office"/>
    <s v="North"/>
    <n v="8"/>
    <n v="4080"/>
  </r>
  <r>
    <d v="2024-05-23T00:00:00"/>
    <x v="8"/>
    <s v="Accessories"/>
    <s v="North"/>
    <n v="8"/>
    <n v="3080"/>
  </r>
  <r>
    <d v="2023-06-08T00:00:00"/>
    <x v="5"/>
    <s v="Electronics"/>
    <s v="North"/>
    <n v="5"/>
    <n v="1525"/>
  </r>
  <r>
    <d v="2022-07-16T00:00:00"/>
    <x v="6"/>
    <s v="Accessories"/>
    <s v="South"/>
    <n v="4"/>
    <n v="1332"/>
  </r>
  <r>
    <d v="2023-07-24T00:00:00"/>
    <x v="7"/>
    <s v="Electronics"/>
    <s v="South"/>
    <n v="7"/>
    <n v="4669"/>
  </r>
  <r>
    <d v="2022-03-12T00:00:00"/>
    <x v="5"/>
    <s v="Electronics"/>
    <s v="West"/>
    <n v="6"/>
    <n v="5310"/>
  </r>
  <r>
    <d v="2023-01-12T00:00:00"/>
    <x v="3"/>
    <s v="Electronics"/>
    <s v="East"/>
    <n v="8"/>
    <n v="9392"/>
  </r>
  <r>
    <d v="2022-11-03T00:00:00"/>
    <x v="6"/>
    <s v="Accessories"/>
    <s v="South"/>
    <n v="5"/>
    <n v="1350"/>
  </r>
  <r>
    <d v="2024-03-14T00:00:00"/>
    <x v="6"/>
    <s v="Accessories"/>
    <s v="North"/>
    <n v="4"/>
    <n v="3648"/>
  </r>
  <r>
    <d v="2023-07-27T00:00:00"/>
    <x v="0"/>
    <s v="Office"/>
    <s v="North"/>
    <n v="2"/>
    <n v="300"/>
  </r>
  <r>
    <d v="2022-08-14T00:00:00"/>
    <x v="7"/>
    <s v="Electronics"/>
    <s v="North"/>
    <n v="3"/>
    <n v="3408"/>
  </r>
  <r>
    <d v="2024-11-17T00:00:00"/>
    <x v="8"/>
    <s v="Accessories"/>
    <s v="South"/>
    <n v="9"/>
    <n v="4302"/>
  </r>
  <r>
    <d v="2024-05-13T00:00:00"/>
    <x v="8"/>
    <s v="Accessories"/>
    <s v="South"/>
    <n v="5"/>
    <n v="4575"/>
  </r>
  <r>
    <d v="2022-10-21T00:00:00"/>
    <x v="9"/>
    <s v="Electronics"/>
    <s v="East"/>
    <n v="8"/>
    <n v="9304"/>
  </r>
  <r>
    <d v="2024-04-15T00:00:00"/>
    <x v="6"/>
    <s v="Accessories"/>
    <s v="East"/>
    <n v="4"/>
    <n v="1928"/>
  </r>
  <r>
    <d v="2023-01-17T00:00:00"/>
    <x v="0"/>
    <s v="Office"/>
    <s v="East"/>
    <n v="2"/>
    <n v="1042"/>
  </r>
  <r>
    <d v="2023-11-28T00:00:00"/>
    <x v="2"/>
    <s v="Electronics"/>
    <s v="East"/>
    <n v="3"/>
    <n v="2214"/>
  </r>
  <r>
    <d v="2024-05-03T00:00:00"/>
    <x v="8"/>
    <s v="Accessories"/>
    <s v="South"/>
    <n v="4"/>
    <n v="3024"/>
  </r>
  <r>
    <d v="2023-08-11T00:00:00"/>
    <x v="3"/>
    <s v="Electronics"/>
    <s v="East"/>
    <n v="2"/>
    <n v="1104"/>
  </r>
  <r>
    <d v="2022-07-26T00:00:00"/>
    <x v="1"/>
    <s v="Accessories"/>
    <s v="East"/>
    <n v="8"/>
    <n v="6056"/>
  </r>
  <r>
    <d v="2023-02-07T00:00:00"/>
    <x v="1"/>
    <s v="Accessories"/>
    <s v="South"/>
    <n v="5"/>
    <n v="5295"/>
  </r>
  <r>
    <d v="2022-01-19T00:00:00"/>
    <x v="7"/>
    <s v="Electronics"/>
    <s v="North"/>
    <n v="4"/>
    <n v="3668"/>
  </r>
  <r>
    <d v="2023-06-30T00:00:00"/>
    <x v="0"/>
    <s v="Office"/>
    <s v="South"/>
    <n v="9"/>
    <n v="4293"/>
  </r>
  <r>
    <d v="2022-08-19T00:00:00"/>
    <x v="1"/>
    <s v="Accessories"/>
    <s v="North"/>
    <n v="7"/>
    <n v="5789"/>
  </r>
  <r>
    <d v="2023-08-27T00:00:00"/>
    <x v="5"/>
    <s v="Electronics"/>
    <s v="North"/>
    <n v="6"/>
    <n v="4440"/>
  </r>
  <r>
    <d v="2022-03-10T00:00:00"/>
    <x v="0"/>
    <s v="Office"/>
    <s v="South"/>
    <n v="5"/>
    <n v="5515"/>
  </r>
  <r>
    <d v="2024-10-12T00:00:00"/>
    <x v="3"/>
    <s v="Electronics"/>
    <s v="North"/>
    <n v="4"/>
    <n v="784"/>
  </r>
  <r>
    <d v="2024-06-15T00:00:00"/>
    <x v="9"/>
    <s v="Electronics"/>
    <s v="East"/>
    <n v="4"/>
    <n v="576"/>
  </r>
  <r>
    <d v="2024-09-09T00:00:00"/>
    <x v="5"/>
    <s v="Electronics"/>
    <s v="West"/>
    <n v="5"/>
    <n v="705"/>
  </r>
  <r>
    <d v="2023-09-24T00:00:00"/>
    <x v="8"/>
    <s v="Accessories"/>
    <s v="North"/>
    <n v="6"/>
    <n v="4458"/>
  </r>
  <r>
    <d v="2022-08-25T00:00:00"/>
    <x v="7"/>
    <s v="Electronics"/>
    <s v="East"/>
    <n v="6"/>
    <n v="6780"/>
  </r>
  <r>
    <d v="2023-10-01T00:00:00"/>
    <x v="5"/>
    <s v="Electronics"/>
    <s v="North"/>
    <n v="5"/>
    <n v="3970"/>
  </r>
  <r>
    <d v="2023-01-08T00:00:00"/>
    <x v="6"/>
    <s v="Accessories"/>
    <s v="North"/>
    <n v="7"/>
    <n v="5131"/>
  </r>
  <r>
    <d v="2022-10-02T00:00:00"/>
    <x v="9"/>
    <s v="Electronics"/>
    <s v="East"/>
    <n v="7"/>
    <n v="1750"/>
  </r>
  <r>
    <d v="2022-02-11T00:00:00"/>
    <x v="2"/>
    <s v="Electronics"/>
    <s v="East"/>
    <n v="7"/>
    <n v="8337"/>
  </r>
  <r>
    <d v="2022-09-15T00:00:00"/>
    <x v="8"/>
    <s v="Accessories"/>
    <s v="East"/>
    <n v="9"/>
    <n v="9810"/>
  </r>
  <r>
    <d v="2024-01-28T00:00:00"/>
    <x v="8"/>
    <s v="Accessories"/>
    <s v="East"/>
    <n v="3"/>
    <n v="2658"/>
  </r>
  <r>
    <d v="2022-07-23T00:00:00"/>
    <x v="0"/>
    <s v="Office"/>
    <s v="West"/>
    <n v="1"/>
    <n v="473"/>
  </r>
  <r>
    <d v="2022-01-14T00:00:00"/>
    <x v="2"/>
    <s v="Electronics"/>
    <s v="North"/>
    <n v="9"/>
    <n v="2205"/>
  </r>
  <r>
    <d v="2023-06-13T00:00:00"/>
    <x v="7"/>
    <s v="Electronics"/>
    <s v="South"/>
    <n v="9"/>
    <n v="6948"/>
  </r>
  <r>
    <d v="2022-09-09T00:00:00"/>
    <x v="2"/>
    <s v="Electronics"/>
    <s v="North"/>
    <n v="3"/>
    <n v="774"/>
  </r>
  <r>
    <d v="2023-12-26T00:00:00"/>
    <x v="2"/>
    <s v="Electronics"/>
    <s v="North"/>
    <n v="3"/>
    <n v="2532"/>
  </r>
  <r>
    <d v="2024-11-16T00:00:00"/>
    <x v="9"/>
    <s v="Electronics"/>
    <s v="West"/>
    <n v="7"/>
    <n v="6587"/>
  </r>
  <r>
    <d v="2024-04-01T00:00:00"/>
    <x v="7"/>
    <s v="Electronics"/>
    <s v="East"/>
    <n v="7"/>
    <n v="7266"/>
  </r>
  <r>
    <d v="2024-11-27T00:00:00"/>
    <x v="7"/>
    <s v="Electronics"/>
    <s v="East"/>
    <n v="7"/>
    <n v="6867"/>
  </r>
  <r>
    <d v="2023-07-01T00:00:00"/>
    <x v="3"/>
    <s v="Electronics"/>
    <s v="South"/>
    <n v="9"/>
    <n v="4887"/>
  </r>
  <r>
    <d v="2023-02-13T00:00:00"/>
    <x v="1"/>
    <s v="Accessories"/>
    <s v="West"/>
    <n v="4"/>
    <n v="864"/>
  </r>
  <r>
    <d v="2023-11-09T00:00:00"/>
    <x v="7"/>
    <s v="Electronics"/>
    <s v="East"/>
    <n v="6"/>
    <n v="5190"/>
  </r>
  <r>
    <d v="2022-05-20T00:00:00"/>
    <x v="8"/>
    <s v="Accessories"/>
    <s v="South"/>
    <n v="8"/>
    <n v="2128"/>
  </r>
  <r>
    <d v="2024-06-26T00:00:00"/>
    <x v="1"/>
    <s v="Accessories"/>
    <s v="East"/>
    <n v="2"/>
    <n v="1718"/>
  </r>
  <r>
    <d v="2022-05-02T00:00:00"/>
    <x v="7"/>
    <s v="Electronics"/>
    <s v="North"/>
    <n v="2"/>
    <n v="1270"/>
  </r>
  <r>
    <d v="2023-05-18T00:00:00"/>
    <x v="8"/>
    <s v="Accessories"/>
    <s v="East"/>
    <n v="7"/>
    <n v="2569"/>
  </r>
  <r>
    <d v="2022-02-14T00:00:00"/>
    <x v="0"/>
    <s v="Office"/>
    <s v="South"/>
    <n v="2"/>
    <n v="1518"/>
  </r>
  <r>
    <d v="2022-11-22T00:00:00"/>
    <x v="4"/>
    <s v="Accessories"/>
    <s v="South"/>
    <n v="2"/>
    <n v="1210"/>
  </r>
  <r>
    <d v="2022-03-15T00:00:00"/>
    <x v="1"/>
    <s v="Accessories"/>
    <s v="East"/>
    <n v="2"/>
    <n v="1128"/>
  </r>
  <r>
    <d v="2023-08-23T00:00:00"/>
    <x v="4"/>
    <s v="Accessories"/>
    <s v="North"/>
    <n v="1"/>
    <n v="1077"/>
  </r>
  <r>
    <d v="2023-12-18T00:00:00"/>
    <x v="8"/>
    <s v="Accessories"/>
    <s v="East"/>
    <n v="6"/>
    <n v="2244"/>
  </r>
  <r>
    <d v="2022-09-16T00:00:00"/>
    <x v="1"/>
    <s v="Accessories"/>
    <s v="West"/>
    <n v="8"/>
    <n v="1608"/>
  </r>
  <r>
    <d v="2024-12-15T00:00:00"/>
    <x v="3"/>
    <s v="Electronics"/>
    <s v="West"/>
    <n v="5"/>
    <n v="3685"/>
  </r>
  <r>
    <d v="2024-04-25T00:00:00"/>
    <x v="3"/>
    <s v="Electronics"/>
    <s v="North"/>
    <n v="8"/>
    <n v="4080"/>
  </r>
  <r>
    <d v="2024-02-09T00:00:00"/>
    <x v="6"/>
    <s v="Accessories"/>
    <s v="North"/>
    <n v="1"/>
    <n v="404"/>
  </r>
  <r>
    <d v="2023-04-19T00:00:00"/>
    <x v="8"/>
    <s v="Accessories"/>
    <s v="South"/>
    <n v="2"/>
    <n v="1738"/>
  </r>
  <r>
    <d v="2023-01-31T00:00:00"/>
    <x v="0"/>
    <s v="Office"/>
    <s v="West"/>
    <n v="3"/>
    <n v="828"/>
  </r>
  <r>
    <d v="2023-11-24T00:00:00"/>
    <x v="1"/>
    <s v="Accessories"/>
    <s v="North"/>
    <n v="4"/>
    <n v="4344"/>
  </r>
  <r>
    <d v="2023-10-02T00:00:00"/>
    <x v="2"/>
    <s v="Electronics"/>
    <s v="North"/>
    <n v="1"/>
    <n v="1130"/>
  </r>
  <r>
    <d v="2024-04-18T00:00:00"/>
    <x v="4"/>
    <s v="Accessories"/>
    <s v="North"/>
    <n v="3"/>
    <n v="1698"/>
  </r>
  <r>
    <d v="2023-06-27T00:00:00"/>
    <x v="2"/>
    <s v="Electronics"/>
    <s v="East"/>
    <n v="4"/>
    <n v="844"/>
  </r>
  <r>
    <d v="2023-02-20T00:00:00"/>
    <x v="0"/>
    <s v="Office"/>
    <s v="West"/>
    <n v="2"/>
    <n v="2286"/>
  </r>
  <r>
    <d v="2023-12-12T00:00:00"/>
    <x v="3"/>
    <s v="Electronics"/>
    <s v="East"/>
    <n v="2"/>
    <n v="1026"/>
  </r>
  <r>
    <d v="2023-10-04T00:00:00"/>
    <x v="9"/>
    <s v="Electronics"/>
    <s v="West"/>
    <n v="6"/>
    <n v="6984"/>
  </r>
  <r>
    <d v="2022-02-18T00:00:00"/>
    <x v="6"/>
    <s v="Accessories"/>
    <s v="West"/>
    <n v="4"/>
    <n v="1672"/>
  </r>
  <r>
    <d v="2023-01-08T00:00:00"/>
    <x v="9"/>
    <s v="Electronics"/>
    <s v="North"/>
    <n v="6"/>
    <n v="1092"/>
  </r>
  <r>
    <d v="2024-04-01T00:00:00"/>
    <x v="4"/>
    <s v="Accessories"/>
    <s v="South"/>
    <n v="2"/>
    <n v="272"/>
  </r>
  <r>
    <d v="2023-11-12T00:00:00"/>
    <x v="4"/>
    <s v="Accessories"/>
    <s v="West"/>
    <n v="2"/>
    <n v="1126"/>
  </r>
  <r>
    <d v="2023-10-22T00:00:00"/>
    <x v="1"/>
    <s v="Accessories"/>
    <s v="West"/>
    <n v="7"/>
    <n v="8155"/>
  </r>
  <r>
    <d v="2023-03-29T00:00:00"/>
    <x v="5"/>
    <s v="Electronics"/>
    <s v="East"/>
    <n v="7"/>
    <n v="4298"/>
  </r>
  <r>
    <d v="2022-12-17T00:00:00"/>
    <x v="7"/>
    <s v="Electronics"/>
    <s v="East"/>
    <n v="5"/>
    <n v="1365"/>
  </r>
  <r>
    <d v="2024-11-28T00:00:00"/>
    <x v="3"/>
    <s v="Electronics"/>
    <s v="West"/>
    <n v="6"/>
    <n v="4116"/>
  </r>
  <r>
    <d v="2022-04-07T00:00:00"/>
    <x v="4"/>
    <s v="Accessories"/>
    <s v="South"/>
    <n v="8"/>
    <n v="904"/>
  </r>
  <r>
    <d v="2024-12-05T00:00:00"/>
    <x v="5"/>
    <s v="Electronics"/>
    <s v="South"/>
    <n v="1"/>
    <n v="70"/>
  </r>
  <r>
    <d v="2023-09-03T00:00:00"/>
    <x v="8"/>
    <s v="Accessories"/>
    <s v="East"/>
    <n v="2"/>
    <n v="344"/>
  </r>
  <r>
    <d v="2023-08-19T00:00:00"/>
    <x v="0"/>
    <s v="Office"/>
    <s v="East"/>
    <n v="1"/>
    <n v="330"/>
  </r>
  <r>
    <d v="2024-08-17T00:00:00"/>
    <x v="4"/>
    <s v="Accessories"/>
    <s v="South"/>
    <n v="2"/>
    <n v="518"/>
  </r>
  <r>
    <d v="2022-08-18T00:00:00"/>
    <x v="1"/>
    <s v="Accessories"/>
    <s v="North"/>
    <n v="9"/>
    <n v="2763"/>
  </r>
  <r>
    <d v="2022-03-26T00:00:00"/>
    <x v="5"/>
    <s v="Electronics"/>
    <s v="North"/>
    <n v="2"/>
    <n v="2298"/>
  </r>
  <r>
    <d v="2024-10-02T00:00:00"/>
    <x v="6"/>
    <s v="Accessories"/>
    <s v="South"/>
    <n v="1"/>
    <n v="436"/>
  </r>
  <r>
    <d v="2022-09-28T00:00:00"/>
    <x v="1"/>
    <s v="Accessories"/>
    <s v="East"/>
    <n v="6"/>
    <n v="1824"/>
  </r>
  <r>
    <d v="2024-05-12T00:00:00"/>
    <x v="9"/>
    <s v="Electronics"/>
    <s v="North"/>
    <n v="5"/>
    <n v="1540"/>
  </r>
  <r>
    <d v="2023-03-14T00:00:00"/>
    <x v="2"/>
    <s v="Electronics"/>
    <s v="East"/>
    <n v="7"/>
    <n v="5572"/>
  </r>
  <r>
    <d v="2023-09-21T00:00:00"/>
    <x v="6"/>
    <s v="Accessories"/>
    <s v="East"/>
    <n v="6"/>
    <n v="3030"/>
  </r>
  <r>
    <d v="2024-05-02T00:00:00"/>
    <x v="6"/>
    <s v="Accessories"/>
    <s v="West"/>
    <n v="5"/>
    <n v="1245"/>
  </r>
  <r>
    <d v="2022-01-31T00:00:00"/>
    <x v="2"/>
    <s v="Electronics"/>
    <s v="South"/>
    <n v="4"/>
    <n v="1252"/>
  </r>
  <r>
    <d v="2024-06-04T00:00:00"/>
    <x v="3"/>
    <s v="Electronics"/>
    <s v="North"/>
    <n v="9"/>
    <n v="4959"/>
  </r>
  <r>
    <d v="2023-02-16T00:00:00"/>
    <x v="6"/>
    <s v="Accessories"/>
    <s v="West"/>
    <n v="7"/>
    <n v="8162"/>
  </r>
  <r>
    <d v="2023-05-26T00:00:00"/>
    <x v="6"/>
    <s v="Accessories"/>
    <s v="East"/>
    <n v="5"/>
    <n v="1370"/>
  </r>
  <r>
    <d v="2023-12-28T00:00:00"/>
    <x v="2"/>
    <s v="Electronics"/>
    <s v="North"/>
    <n v="3"/>
    <n v="3111"/>
  </r>
  <r>
    <d v="2022-10-10T00:00:00"/>
    <x v="1"/>
    <s v="Accessories"/>
    <s v="South"/>
    <n v="7"/>
    <n v="7805"/>
  </r>
  <r>
    <d v="2024-04-21T00:00:00"/>
    <x v="7"/>
    <s v="Electronics"/>
    <s v="South"/>
    <n v="9"/>
    <n v="10314"/>
  </r>
  <r>
    <d v="2023-09-29T00:00:00"/>
    <x v="8"/>
    <s v="Accessories"/>
    <s v="South"/>
    <n v="9"/>
    <n v="10782"/>
  </r>
  <r>
    <d v="2024-10-22T00:00:00"/>
    <x v="6"/>
    <s v="Accessories"/>
    <s v="West"/>
    <n v="5"/>
    <n v="4375"/>
  </r>
  <r>
    <d v="2023-07-31T00:00:00"/>
    <x v="6"/>
    <s v="Accessories"/>
    <s v="North"/>
    <n v="5"/>
    <n v="2265"/>
  </r>
  <r>
    <d v="2022-04-15T00:00:00"/>
    <x v="9"/>
    <s v="Electronics"/>
    <s v="East"/>
    <n v="1"/>
    <n v="166"/>
  </r>
  <r>
    <d v="2024-04-24T00:00:00"/>
    <x v="4"/>
    <s v="Accessories"/>
    <s v="North"/>
    <n v="7"/>
    <n v="7217"/>
  </r>
  <r>
    <d v="2022-01-16T00:00:00"/>
    <x v="2"/>
    <s v="Electronics"/>
    <s v="East"/>
    <n v="3"/>
    <n v="1767"/>
  </r>
  <r>
    <d v="2023-12-06T00:00:00"/>
    <x v="9"/>
    <s v="Electronics"/>
    <s v="East"/>
    <n v="3"/>
    <n v="2883"/>
  </r>
  <r>
    <d v="2024-09-04T00:00:00"/>
    <x v="5"/>
    <s v="Electronics"/>
    <s v="South"/>
    <n v="3"/>
    <n v="1338"/>
  </r>
  <r>
    <d v="2024-08-24T00:00:00"/>
    <x v="0"/>
    <s v="Office"/>
    <s v="East"/>
    <n v="9"/>
    <n v="9459"/>
  </r>
  <r>
    <d v="2022-06-10T00:00:00"/>
    <x v="0"/>
    <s v="Office"/>
    <s v="North"/>
    <n v="3"/>
    <n v="168"/>
  </r>
  <r>
    <d v="2022-10-03T00:00:00"/>
    <x v="7"/>
    <s v="Electronics"/>
    <s v="South"/>
    <n v="9"/>
    <n v="4536"/>
  </r>
  <r>
    <d v="2022-02-25T00:00:00"/>
    <x v="1"/>
    <s v="Accessories"/>
    <s v="East"/>
    <n v="4"/>
    <n v="4404"/>
  </r>
  <r>
    <d v="2023-08-18T00:00:00"/>
    <x v="6"/>
    <s v="Accessories"/>
    <s v="North"/>
    <n v="4"/>
    <n v="1952"/>
  </r>
  <r>
    <d v="2022-12-23T00:00:00"/>
    <x v="1"/>
    <s v="Accessories"/>
    <s v="North"/>
    <n v="3"/>
    <n v="2004"/>
  </r>
  <r>
    <d v="2022-06-30T00:00:00"/>
    <x v="8"/>
    <s v="Accessories"/>
    <s v="South"/>
    <n v="4"/>
    <n v="468"/>
  </r>
  <r>
    <d v="2024-11-10T00:00:00"/>
    <x v="7"/>
    <s v="Electronics"/>
    <s v="West"/>
    <n v="9"/>
    <n v="8667"/>
  </r>
  <r>
    <d v="2024-02-24T00:00:00"/>
    <x v="0"/>
    <s v="Office"/>
    <s v="West"/>
    <n v="7"/>
    <n v="6097"/>
  </r>
  <r>
    <d v="2022-04-11T00:00:00"/>
    <x v="4"/>
    <s v="Accessories"/>
    <s v="South"/>
    <n v="9"/>
    <n v="4752"/>
  </r>
  <r>
    <d v="2023-05-10T00:00:00"/>
    <x v="8"/>
    <s v="Accessories"/>
    <s v="East"/>
    <n v="1"/>
    <n v="1172"/>
  </r>
  <r>
    <d v="2022-05-20T00:00:00"/>
    <x v="8"/>
    <s v="Accessories"/>
    <s v="North"/>
    <n v="2"/>
    <n v="1608"/>
  </r>
  <r>
    <d v="2023-05-21T00:00:00"/>
    <x v="0"/>
    <s v="Office"/>
    <s v="South"/>
    <n v="7"/>
    <n v="7595"/>
  </r>
  <r>
    <d v="2024-07-17T00:00:00"/>
    <x v="5"/>
    <s v="Electronics"/>
    <s v="West"/>
    <n v="1"/>
    <n v="1142"/>
  </r>
  <r>
    <d v="2024-11-18T00:00:00"/>
    <x v="8"/>
    <s v="Accessories"/>
    <s v="North"/>
    <n v="2"/>
    <n v="116"/>
  </r>
  <r>
    <d v="2022-06-06T00:00:00"/>
    <x v="7"/>
    <s v="Electronics"/>
    <s v="East"/>
    <n v="9"/>
    <n v="3951"/>
  </r>
  <r>
    <d v="2023-12-21T00:00:00"/>
    <x v="8"/>
    <s v="Accessories"/>
    <s v="East"/>
    <n v="2"/>
    <n v="1606"/>
  </r>
  <r>
    <d v="2022-11-16T00:00:00"/>
    <x v="4"/>
    <s v="Accessories"/>
    <s v="South"/>
    <n v="3"/>
    <n v="2025"/>
  </r>
  <r>
    <d v="2023-07-24T00:00:00"/>
    <x v="5"/>
    <s v="Electronics"/>
    <s v="West"/>
    <n v="2"/>
    <n v="2006"/>
  </r>
  <r>
    <d v="2024-06-05T00:00:00"/>
    <x v="3"/>
    <s v="Electronics"/>
    <s v="South"/>
    <n v="9"/>
    <n v="9423"/>
  </r>
  <r>
    <d v="2022-08-24T00:00:00"/>
    <x v="9"/>
    <s v="Electronics"/>
    <s v="North"/>
    <n v="4"/>
    <n v="2276"/>
  </r>
  <r>
    <d v="2022-08-22T00:00:00"/>
    <x v="6"/>
    <s v="Accessories"/>
    <s v="West"/>
    <n v="5"/>
    <n v="4880"/>
  </r>
  <r>
    <d v="2024-11-18T00:00:00"/>
    <x v="9"/>
    <s v="Electronics"/>
    <s v="East"/>
    <n v="3"/>
    <n v="1773"/>
  </r>
  <r>
    <d v="2023-01-21T00:00:00"/>
    <x v="5"/>
    <s v="Electronics"/>
    <s v="South"/>
    <n v="9"/>
    <n v="2718"/>
  </r>
  <r>
    <d v="2022-11-07T00:00:00"/>
    <x v="4"/>
    <s v="Accessories"/>
    <s v="East"/>
    <n v="4"/>
    <n v="3168"/>
  </r>
  <r>
    <d v="2022-01-31T00:00:00"/>
    <x v="3"/>
    <s v="Electronics"/>
    <s v="West"/>
    <n v="2"/>
    <n v="1716"/>
  </r>
  <r>
    <d v="2024-02-07T00:00:00"/>
    <x v="7"/>
    <s v="Electronics"/>
    <s v="West"/>
    <n v="2"/>
    <n v="214"/>
  </r>
  <r>
    <d v="2024-06-04T00:00:00"/>
    <x v="3"/>
    <s v="Electronics"/>
    <s v="East"/>
    <n v="2"/>
    <n v="2092"/>
  </r>
  <r>
    <d v="2024-03-21T00:00:00"/>
    <x v="4"/>
    <s v="Accessories"/>
    <s v="West"/>
    <n v="3"/>
    <n v="225"/>
  </r>
  <r>
    <d v="2023-03-26T00:00:00"/>
    <x v="5"/>
    <s v="Electronics"/>
    <s v="East"/>
    <n v="1"/>
    <n v="859"/>
  </r>
  <r>
    <d v="2022-04-10T00:00:00"/>
    <x v="0"/>
    <s v="Office"/>
    <s v="West"/>
    <n v="2"/>
    <n v="2070"/>
  </r>
  <r>
    <d v="2024-06-10T00:00:00"/>
    <x v="8"/>
    <s v="Accessories"/>
    <s v="South"/>
    <n v="6"/>
    <n v="3240"/>
  </r>
  <r>
    <d v="2022-10-08T00:00:00"/>
    <x v="2"/>
    <s v="Electronics"/>
    <s v="East"/>
    <n v="2"/>
    <n v="1748"/>
  </r>
  <r>
    <d v="2023-07-06T00:00:00"/>
    <x v="1"/>
    <s v="Accessories"/>
    <s v="West"/>
    <n v="8"/>
    <n v="2080"/>
  </r>
  <r>
    <d v="2022-06-18T00:00:00"/>
    <x v="5"/>
    <s v="Electronics"/>
    <s v="North"/>
    <n v="3"/>
    <n v="2193"/>
  </r>
  <r>
    <d v="2023-06-08T00:00:00"/>
    <x v="4"/>
    <s v="Accessories"/>
    <s v="West"/>
    <n v="5"/>
    <n v="2080"/>
  </r>
  <r>
    <d v="2022-05-13T00:00:00"/>
    <x v="1"/>
    <s v="Accessories"/>
    <s v="South"/>
    <n v="5"/>
    <n v="5070"/>
  </r>
  <r>
    <d v="2024-03-08T00:00:00"/>
    <x v="9"/>
    <s v="Electronics"/>
    <s v="South"/>
    <n v="7"/>
    <n v="469"/>
  </r>
  <r>
    <d v="2023-10-08T00:00:00"/>
    <x v="0"/>
    <s v="Office"/>
    <s v="South"/>
    <n v="1"/>
    <n v="802"/>
  </r>
  <r>
    <d v="2024-12-31T00:00:00"/>
    <x v="7"/>
    <s v="Electronics"/>
    <s v="West"/>
    <n v="6"/>
    <n v="930"/>
  </r>
  <r>
    <d v="2022-03-11T00:00:00"/>
    <x v="5"/>
    <s v="Electronics"/>
    <s v="South"/>
    <n v="1"/>
    <n v="495"/>
  </r>
  <r>
    <d v="2024-08-01T00:00:00"/>
    <x v="6"/>
    <s v="Accessories"/>
    <s v="East"/>
    <n v="6"/>
    <n v="4938"/>
  </r>
  <r>
    <d v="2022-08-21T00:00:00"/>
    <x v="2"/>
    <s v="Electronics"/>
    <s v="South"/>
    <n v="2"/>
    <n v="1300"/>
  </r>
  <r>
    <d v="2024-12-11T00:00:00"/>
    <x v="1"/>
    <s v="Accessories"/>
    <s v="South"/>
    <n v="7"/>
    <n v="2100"/>
  </r>
  <r>
    <d v="2024-03-13T00:00:00"/>
    <x v="3"/>
    <s v="Electronics"/>
    <s v="South"/>
    <n v="2"/>
    <n v="2248"/>
  </r>
  <r>
    <d v="2023-12-05T00:00:00"/>
    <x v="4"/>
    <s v="Accessories"/>
    <s v="North"/>
    <n v="8"/>
    <n v="7096"/>
  </r>
  <r>
    <d v="2022-05-13T00:00:00"/>
    <x v="4"/>
    <s v="Accessories"/>
    <s v="East"/>
    <n v="3"/>
    <n v="1992"/>
  </r>
  <r>
    <d v="2022-01-29T00:00:00"/>
    <x v="3"/>
    <s v="Electronics"/>
    <s v="South"/>
    <n v="4"/>
    <n v="4056"/>
  </r>
  <r>
    <d v="2022-12-22T00:00:00"/>
    <x v="3"/>
    <s v="Electronics"/>
    <s v="East"/>
    <n v="2"/>
    <n v="1986"/>
  </r>
  <r>
    <d v="2024-04-07T00:00:00"/>
    <x v="0"/>
    <s v="Office"/>
    <s v="East"/>
    <n v="3"/>
    <n v="1635"/>
  </r>
  <r>
    <d v="2022-03-05T00:00:00"/>
    <x v="5"/>
    <s v="Electronics"/>
    <s v="East"/>
    <n v="9"/>
    <n v="3132"/>
  </r>
  <r>
    <d v="2023-05-21T00:00:00"/>
    <x v="7"/>
    <s v="Electronics"/>
    <s v="South"/>
    <n v="8"/>
    <n v="7064"/>
  </r>
  <r>
    <d v="2024-03-16T00:00:00"/>
    <x v="3"/>
    <s v="Electronics"/>
    <s v="East"/>
    <n v="1"/>
    <n v="907"/>
  </r>
  <r>
    <d v="2023-01-14T00:00:00"/>
    <x v="1"/>
    <s v="Accessories"/>
    <s v="South"/>
    <n v="9"/>
    <n v="7938"/>
  </r>
  <r>
    <d v="2023-11-11T00:00:00"/>
    <x v="0"/>
    <s v="Office"/>
    <s v="South"/>
    <n v="4"/>
    <n v="4360"/>
  </r>
  <r>
    <d v="2024-08-19T00:00:00"/>
    <x v="8"/>
    <s v="Accessories"/>
    <s v="West"/>
    <n v="3"/>
    <n v="375"/>
  </r>
  <r>
    <d v="2022-09-24T00:00:00"/>
    <x v="6"/>
    <s v="Accessories"/>
    <s v="North"/>
    <n v="7"/>
    <n v="826"/>
  </r>
  <r>
    <d v="2023-11-04T00:00:00"/>
    <x v="4"/>
    <s v="Accessories"/>
    <s v="East"/>
    <n v="1"/>
    <n v="1011"/>
  </r>
  <r>
    <d v="2023-09-09T00:00:00"/>
    <x v="1"/>
    <s v="Accessories"/>
    <s v="East"/>
    <n v="3"/>
    <n v="807"/>
  </r>
  <r>
    <d v="2024-12-17T00:00:00"/>
    <x v="4"/>
    <s v="Accessories"/>
    <s v="North"/>
    <n v="2"/>
    <n v="1840"/>
  </r>
  <r>
    <d v="2022-02-07T00:00:00"/>
    <x v="8"/>
    <s v="Accessories"/>
    <s v="West"/>
    <n v="5"/>
    <n v="4550"/>
  </r>
  <r>
    <d v="2024-01-07T00:00:00"/>
    <x v="7"/>
    <s v="Electronics"/>
    <s v="North"/>
    <n v="9"/>
    <n v="8793"/>
  </r>
  <r>
    <d v="2024-07-09T00:00:00"/>
    <x v="4"/>
    <s v="Accessories"/>
    <s v="North"/>
    <n v="5"/>
    <n v="310"/>
  </r>
  <r>
    <d v="2023-11-28T00:00:00"/>
    <x v="4"/>
    <s v="Accessories"/>
    <s v="East"/>
    <n v="3"/>
    <n v="1143"/>
  </r>
  <r>
    <d v="2022-03-10T00:00:00"/>
    <x v="6"/>
    <s v="Accessories"/>
    <s v="West"/>
    <n v="3"/>
    <n v="2610"/>
  </r>
  <r>
    <d v="2022-07-31T00:00:00"/>
    <x v="2"/>
    <s v="Electronics"/>
    <s v="West"/>
    <n v="6"/>
    <n v="1494"/>
  </r>
  <r>
    <d v="2023-07-05T00:00:00"/>
    <x v="7"/>
    <s v="Electronics"/>
    <s v="North"/>
    <n v="4"/>
    <n v="1524"/>
  </r>
  <r>
    <d v="2023-11-21T00:00:00"/>
    <x v="2"/>
    <s v="Electronics"/>
    <s v="North"/>
    <n v="9"/>
    <n v="9441"/>
  </r>
  <r>
    <d v="2022-06-18T00:00:00"/>
    <x v="7"/>
    <s v="Electronics"/>
    <s v="South"/>
    <n v="4"/>
    <n v="3520"/>
  </r>
  <r>
    <d v="2023-03-29T00:00:00"/>
    <x v="2"/>
    <s v="Electronics"/>
    <s v="West"/>
    <n v="2"/>
    <n v="390"/>
  </r>
  <r>
    <d v="2024-01-27T00:00:00"/>
    <x v="0"/>
    <s v="Office"/>
    <s v="South"/>
    <n v="3"/>
    <n v="3219"/>
  </r>
  <r>
    <d v="2024-09-29T00:00:00"/>
    <x v="9"/>
    <s v="Electronics"/>
    <s v="North"/>
    <n v="1"/>
    <n v="450"/>
  </r>
  <r>
    <d v="2023-08-12T00:00:00"/>
    <x v="5"/>
    <s v="Electronics"/>
    <s v="South"/>
    <n v="4"/>
    <n v="828"/>
  </r>
  <r>
    <d v="2022-01-17T00:00:00"/>
    <x v="0"/>
    <s v="Office"/>
    <s v="East"/>
    <n v="1"/>
    <n v="1146"/>
  </r>
  <r>
    <d v="2024-07-09T00:00:00"/>
    <x v="6"/>
    <s v="Accessories"/>
    <s v="West"/>
    <n v="3"/>
    <n v="1986"/>
  </r>
  <r>
    <d v="2023-03-21T00:00:00"/>
    <x v="5"/>
    <s v="Electronics"/>
    <s v="North"/>
    <n v="8"/>
    <n v="7264"/>
  </r>
  <r>
    <d v="2023-06-08T00:00:00"/>
    <x v="9"/>
    <s v="Electronics"/>
    <s v="East"/>
    <n v="7"/>
    <n v="7469"/>
  </r>
  <r>
    <d v="2024-03-19T00:00:00"/>
    <x v="9"/>
    <s v="Electronics"/>
    <s v="South"/>
    <n v="5"/>
    <n v="1385"/>
  </r>
  <r>
    <d v="2023-03-13T00:00:00"/>
    <x v="2"/>
    <s v="Electronics"/>
    <s v="North"/>
    <n v="4"/>
    <n v="4556"/>
  </r>
  <r>
    <d v="2024-02-08T00:00:00"/>
    <x v="6"/>
    <s v="Accessories"/>
    <s v="North"/>
    <n v="3"/>
    <n v="456"/>
  </r>
  <r>
    <d v="2024-11-15T00:00:00"/>
    <x v="6"/>
    <s v="Accessories"/>
    <s v="North"/>
    <n v="2"/>
    <n v="1984"/>
  </r>
  <r>
    <d v="2024-09-17T00:00:00"/>
    <x v="5"/>
    <s v="Electronics"/>
    <s v="North"/>
    <n v="6"/>
    <n v="5178"/>
  </r>
  <r>
    <d v="2023-05-11T00:00:00"/>
    <x v="5"/>
    <s v="Electronics"/>
    <s v="West"/>
    <n v="1"/>
    <n v="281"/>
  </r>
  <r>
    <d v="2024-11-26T00:00:00"/>
    <x v="6"/>
    <s v="Accessories"/>
    <s v="South"/>
    <n v="9"/>
    <n v="3033"/>
  </r>
  <r>
    <d v="2022-03-27T00:00:00"/>
    <x v="3"/>
    <s v="Electronics"/>
    <s v="East"/>
    <n v="3"/>
    <n v="1107"/>
  </r>
  <r>
    <d v="2022-04-10T00:00:00"/>
    <x v="1"/>
    <s v="Accessories"/>
    <s v="South"/>
    <n v="3"/>
    <n v="1446"/>
  </r>
  <r>
    <d v="2024-07-27T00:00:00"/>
    <x v="0"/>
    <s v="Office"/>
    <s v="North"/>
    <n v="3"/>
    <n v="1335"/>
  </r>
  <r>
    <d v="2023-01-23T00:00:00"/>
    <x v="1"/>
    <s v="Accessories"/>
    <s v="South"/>
    <n v="2"/>
    <n v="266"/>
  </r>
  <r>
    <d v="2024-04-22T00:00:00"/>
    <x v="7"/>
    <s v="Electronics"/>
    <s v="West"/>
    <n v="6"/>
    <n v="648"/>
  </r>
  <r>
    <d v="2023-03-15T00:00:00"/>
    <x v="2"/>
    <s v="Electronics"/>
    <s v="South"/>
    <n v="2"/>
    <n v="344"/>
  </r>
  <r>
    <d v="2024-05-25T00:00:00"/>
    <x v="7"/>
    <s v="Electronics"/>
    <s v="West"/>
    <n v="6"/>
    <n v="5724"/>
  </r>
  <r>
    <d v="2022-03-16T00:00:00"/>
    <x v="4"/>
    <s v="Accessories"/>
    <s v="East"/>
    <n v="5"/>
    <n v="4920"/>
  </r>
  <r>
    <d v="2023-01-07T00:00:00"/>
    <x v="3"/>
    <s v="Electronics"/>
    <s v="West"/>
    <n v="5"/>
    <n v="5440"/>
  </r>
  <r>
    <d v="2024-04-25T00:00:00"/>
    <x v="7"/>
    <s v="Electronics"/>
    <s v="West"/>
    <n v="7"/>
    <n v="7994"/>
  </r>
  <r>
    <d v="2023-10-23T00:00:00"/>
    <x v="3"/>
    <s v="Electronics"/>
    <s v="South"/>
    <n v="9"/>
    <n v="3780"/>
  </r>
  <r>
    <d v="2023-05-27T00:00:00"/>
    <x v="7"/>
    <s v="Electronics"/>
    <s v="North"/>
    <n v="1"/>
    <n v="1017"/>
  </r>
  <r>
    <d v="2023-01-31T00:00:00"/>
    <x v="7"/>
    <s v="Electronics"/>
    <s v="West"/>
    <n v="6"/>
    <n v="1578"/>
  </r>
  <r>
    <d v="2023-10-09T00:00:00"/>
    <x v="7"/>
    <s v="Electronics"/>
    <s v="South"/>
    <n v="2"/>
    <n v="912"/>
  </r>
  <r>
    <d v="2024-04-29T00:00:00"/>
    <x v="9"/>
    <s v="Electronics"/>
    <s v="West"/>
    <n v="6"/>
    <n v="2520"/>
  </r>
  <r>
    <d v="2024-12-06T00:00:00"/>
    <x v="1"/>
    <s v="Accessories"/>
    <s v="East"/>
    <n v="8"/>
    <n v="2632"/>
  </r>
  <r>
    <d v="2023-07-10T00:00:00"/>
    <x v="6"/>
    <s v="Accessories"/>
    <s v="West"/>
    <n v="6"/>
    <n v="6582"/>
  </r>
  <r>
    <d v="2024-01-16T00:00:00"/>
    <x v="3"/>
    <s v="Electronics"/>
    <s v="East"/>
    <n v="8"/>
    <n v="3432"/>
  </r>
  <r>
    <d v="2023-09-10T00:00:00"/>
    <x v="8"/>
    <s v="Accessories"/>
    <s v="South"/>
    <n v="2"/>
    <n v="1030"/>
  </r>
  <r>
    <d v="2022-10-13T00:00:00"/>
    <x v="1"/>
    <s v="Accessories"/>
    <s v="West"/>
    <n v="8"/>
    <n v="1192"/>
  </r>
  <r>
    <d v="2024-07-24T00:00:00"/>
    <x v="0"/>
    <s v="Office"/>
    <s v="West"/>
    <n v="9"/>
    <n v="7083"/>
  </r>
  <r>
    <d v="2022-02-22T00:00:00"/>
    <x v="0"/>
    <s v="Office"/>
    <s v="South"/>
    <n v="7"/>
    <n v="3675"/>
  </r>
  <r>
    <d v="2023-10-30T00:00:00"/>
    <x v="6"/>
    <s v="Accessories"/>
    <s v="North"/>
    <n v="4"/>
    <n v="4740"/>
  </r>
  <r>
    <d v="2024-04-14T00:00:00"/>
    <x v="4"/>
    <s v="Accessories"/>
    <s v="East"/>
    <n v="4"/>
    <n v="1716"/>
  </r>
  <r>
    <d v="2023-02-07T00:00:00"/>
    <x v="0"/>
    <s v="Office"/>
    <s v="South"/>
    <n v="7"/>
    <n v="3528"/>
  </r>
  <r>
    <d v="2022-06-22T00:00:00"/>
    <x v="3"/>
    <s v="Electronics"/>
    <s v="South"/>
    <n v="3"/>
    <n v="777"/>
  </r>
  <r>
    <d v="2022-04-29T00:00:00"/>
    <x v="3"/>
    <s v="Electronics"/>
    <s v="East"/>
    <n v="4"/>
    <n v="3368"/>
  </r>
  <r>
    <d v="2022-10-11T00:00:00"/>
    <x v="2"/>
    <s v="Electronics"/>
    <s v="North"/>
    <n v="4"/>
    <n v="4240"/>
  </r>
  <r>
    <d v="2022-04-15T00:00:00"/>
    <x v="9"/>
    <s v="Electronics"/>
    <s v="South"/>
    <n v="3"/>
    <n v="3285"/>
  </r>
  <r>
    <d v="2023-01-14T00:00:00"/>
    <x v="7"/>
    <s v="Electronics"/>
    <s v="South"/>
    <n v="6"/>
    <n v="4872"/>
  </r>
  <r>
    <d v="2022-08-24T00:00:00"/>
    <x v="7"/>
    <s v="Electronics"/>
    <s v="East"/>
    <n v="9"/>
    <n v="2466"/>
  </r>
  <r>
    <d v="2024-10-26T00:00:00"/>
    <x v="2"/>
    <s v="Electronics"/>
    <s v="West"/>
    <n v="5"/>
    <n v="2465"/>
  </r>
  <r>
    <d v="2023-05-15T00:00:00"/>
    <x v="2"/>
    <s v="Electronics"/>
    <s v="North"/>
    <n v="3"/>
    <n v="612"/>
  </r>
  <r>
    <d v="2022-10-25T00:00:00"/>
    <x v="2"/>
    <s v="Electronics"/>
    <s v="South"/>
    <n v="5"/>
    <n v="4170"/>
  </r>
  <r>
    <d v="2023-03-13T00:00:00"/>
    <x v="3"/>
    <s v="Electronics"/>
    <s v="South"/>
    <n v="8"/>
    <n v="1088"/>
  </r>
  <r>
    <d v="2024-07-30T00:00:00"/>
    <x v="8"/>
    <s v="Accessories"/>
    <s v="West"/>
    <n v="2"/>
    <n v="1626"/>
  </r>
  <r>
    <d v="2023-11-06T00:00:00"/>
    <x v="7"/>
    <s v="Electronics"/>
    <s v="North"/>
    <n v="6"/>
    <n v="6486"/>
  </r>
  <r>
    <d v="2022-12-14T00:00:00"/>
    <x v="6"/>
    <s v="Accessories"/>
    <s v="West"/>
    <n v="8"/>
    <n v="6968"/>
  </r>
  <r>
    <d v="2024-01-03T00:00:00"/>
    <x v="7"/>
    <s v="Electronics"/>
    <s v="North"/>
    <n v="1"/>
    <n v="357"/>
  </r>
  <r>
    <d v="2024-02-17T00:00:00"/>
    <x v="9"/>
    <s v="Electronics"/>
    <s v="South"/>
    <n v="1"/>
    <n v="454"/>
  </r>
  <r>
    <d v="2024-04-04T00:00:00"/>
    <x v="2"/>
    <s v="Electronics"/>
    <s v="East"/>
    <n v="3"/>
    <n v="3582"/>
  </r>
  <r>
    <d v="2024-06-25T00:00:00"/>
    <x v="2"/>
    <s v="Electronics"/>
    <s v="West"/>
    <n v="9"/>
    <n v="3762"/>
  </r>
  <r>
    <d v="2024-10-31T00:00:00"/>
    <x v="5"/>
    <s v="Electronics"/>
    <s v="South"/>
    <n v="9"/>
    <n v="6642"/>
  </r>
  <r>
    <d v="2024-09-25T00:00:00"/>
    <x v="6"/>
    <s v="Accessories"/>
    <s v="West"/>
    <n v="4"/>
    <n v="408"/>
  </r>
  <r>
    <d v="2024-03-08T00:00:00"/>
    <x v="2"/>
    <s v="Electronics"/>
    <s v="West"/>
    <n v="1"/>
    <n v="105"/>
  </r>
  <r>
    <d v="2024-05-04T00:00:00"/>
    <x v="2"/>
    <s v="Electronics"/>
    <s v="West"/>
    <n v="3"/>
    <n v="2682"/>
  </r>
  <r>
    <d v="2022-07-11T00:00:00"/>
    <x v="8"/>
    <s v="Accessories"/>
    <s v="East"/>
    <n v="7"/>
    <n v="497"/>
  </r>
  <r>
    <d v="2022-08-19T00:00:00"/>
    <x v="0"/>
    <s v="Office"/>
    <s v="South"/>
    <n v="7"/>
    <n v="4823"/>
  </r>
  <r>
    <d v="2024-10-01T00:00:00"/>
    <x v="5"/>
    <s v="Electronics"/>
    <s v="North"/>
    <n v="8"/>
    <n v="4048"/>
  </r>
  <r>
    <d v="2023-10-19T00:00:00"/>
    <x v="0"/>
    <s v="Office"/>
    <s v="South"/>
    <n v="7"/>
    <n v="2758"/>
  </r>
  <r>
    <d v="2022-12-23T00:00:00"/>
    <x v="7"/>
    <s v="Electronics"/>
    <s v="North"/>
    <n v="8"/>
    <n v="4096"/>
  </r>
  <r>
    <d v="2024-10-11T00:00:00"/>
    <x v="0"/>
    <s v="Office"/>
    <s v="North"/>
    <n v="8"/>
    <n v="7264"/>
  </r>
  <r>
    <d v="2022-04-09T00:00:00"/>
    <x v="1"/>
    <s v="Accessories"/>
    <s v="East"/>
    <n v="6"/>
    <n v="4302"/>
  </r>
  <r>
    <d v="2022-03-03T00:00:00"/>
    <x v="0"/>
    <s v="Office"/>
    <s v="North"/>
    <n v="7"/>
    <n v="3297"/>
  </r>
  <r>
    <d v="2023-01-27T00:00:00"/>
    <x v="0"/>
    <s v="Office"/>
    <s v="North"/>
    <n v="5"/>
    <n v="5960"/>
  </r>
  <r>
    <d v="2024-01-22T00:00:00"/>
    <x v="8"/>
    <s v="Accessories"/>
    <s v="West"/>
    <n v="1"/>
    <n v="386"/>
  </r>
  <r>
    <d v="2022-01-20T00:00:00"/>
    <x v="0"/>
    <s v="Office"/>
    <s v="West"/>
    <n v="1"/>
    <n v="684"/>
  </r>
  <r>
    <d v="2022-06-15T00:00:00"/>
    <x v="9"/>
    <s v="Electronics"/>
    <s v="South"/>
    <n v="3"/>
    <n v="1275"/>
  </r>
  <r>
    <d v="2023-05-18T00:00:00"/>
    <x v="1"/>
    <s v="Accessories"/>
    <s v="North"/>
    <n v="9"/>
    <n v="5949"/>
  </r>
  <r>
    <d v="2023-02-06T00:00:00"/>
    <x v="3"/>
    <s v="Electronics"/>
    <s v="East"/>
    <n v="7"/>
    <n v="5159"/>
  </r>
  <r>
    <d v="2022-07-01T00:00:00"/>
    <x v="6"/>
    <s v="Accessories"/>
    <s v="North"/>
    <n v="4"/>
    <n v="1100"/>
  </r>
  <r>
    <d v="2024-01-26T00:00:00"/>
    <x v="1"/>
    <s v="Accessories"/>
    <s v="South"/>
    <n v="2"/>
    <n v="290"/>
  </r>
  <r>
    <d v="2023-08-05T00:00:00"/>
    <x v="5"/>
    <s v="Electronics"/>
    <s v="East"/>
    <n v="8"/>
    <n v="7144"/>
  </r>
  <r>
    <d v="2022-08-09T00:00:00"/>
    <x v="8"/>
    <s v="Accessories"/>
    <s v="West"/>
    <n v="5"/>
    <n v="4200"/>
  </r>
  <r>
    <d v="2022-02-08T00:00:00"/>
    <x v="6"/>
    <s v="Accessories"/>
    <s v="North"/>
    <n v="6"/>
    <n v="5022"/>
  </r>
  <r>
    <d v="2024-12-13T00:00:00"/>
    <x v="7"/>
    <s v="Electronics"/>
    <s v="West"/>
    <n v="2"/>
    <n v="2354"/>
  </r>
  <r>
    <d v="2024-10-10T00:00:00"/>
    <x v="7"/>
    <s v="Electronics"/>
    <s v="South"/>
    <n v="2"/>
    <n v="2032"/>
  </r>
  <r>
    <d v="2024-10-15T00:00:00"/>
    <x v="0"/>
    <s v="Office"/>
    <s v="South"/>
    <n v="8"/>
    <n v="9528"/>
  </r>
  <r>
    <d v="2024-05-25T00:00:00"/>
    <x v="8"/>
    <s v="Accessories"/>
    <s v="South"/>
    <n v="2"/>
    <n v="2372"/>
  </r>
  <r>
    <d v="2022-02-14T00:00:00"/>
    <x v="9"/>
    <s v="Electronics"/>
    <s v="West"/>
    <n v="3"/>
    <n v="2703"/>
  </r>
  <r>
    <d v="2023-05-04T00:00:00"/>
    <x v="9"/>
    <s v="Electronics"/>
    <s v="South"/>
    <n v="4"/>
    <n v="1264"/>
  </r>
  <r>
    <d v="2024-05-21T00:00:00"/>
    <x v="7"/>
    <s v="Electronics"/>
    <s v="South"/>
    <n v="4"/>
    <n v="1624"/>
  </r>
  <r>
    <d v="2023-05-14T00:00:00"/>
    <x v="1"/>
    <s v="Accessories"/>
    <s v="West"/>
    <n v="8"/>
    <n v="2976"/>
  </r>
  <r>
    <d v="2024-07-02T00:00:00"/>
    <x v="4"/>
    <s v="Accessories"/>
    <s v="West"/>
    <n v="6"/>
    <n v="4998"/>
  </r>
  <r>
    <d v="2024-04-18T00:00:00"/>
    <x v="0"/>
    <s v="Office"/>
    <s v="South"/>
    <n v="1"/>
    <n v="445"/>
  </r>
  <r>
    <d v="2022-10-20T00:00:00"/>
    <x v="0"/>
    <s v="Office"/>
    <s v="West"/>
    <n v="1"/>
    <n v="98"/>
  </r>
  <r>
    <d v="2022-08-22T00:00:00"/>
    <x v="2"/>
    <s v="Electronics"/>
    <s v="North"/>
    <n v="7"/>
    <n v="4102"/>
  </r>
  <r>
    <d v="2022-01-11T00:00:00"/>
    <x v="0"/>
    <s v="Office"/>
    <s v="North"/>
    <n v="1"/>
    <n v="1016"/>
  </r>
  <r>
    <d v="2023-08-18T00:00:00"/>
    <x v="4"/>
    <s v="Accessories"/>
    <s v="South"/>
    <n v="4"/>
    <n v="1960"/>
  </r>
  <r>
    <d v="2024-09-15T00:00:00"/>
    <x v="1"/>
    <s v="Accessories"/>
    <s v="West"/>
    <n v="7"/>
    <n v="2751"/>
  </r>
  <r>
    <d v="2022-07-15T00:00:00"/>
    <x v="7"/>
    <s v="Electronics"/>
    <s v="East"/>
    <n v="7"/>
    <n v="4032"/>
  </r>
  <r>
    <d v="2024-07-28T00:00:00"/>
    <x v="7"/>
    <s v="Electronics"/>
    <s v="West"/>
    <n v="7"/>
    <n v="5978"/>
  </r>
  <r>
    <d v="2023-12-16T00:00:00"/>
    <x v="4"/>
    <s v="Accessories"/>
    <s v="West"/>
    <n v="7"/>
    <n v="8050"/>
  </r>
  <r>
    <d v="2024-05-24T00:00:00"/>
    <x v="6"/>
    <s v="Accessories"/>
    <s v="East"/>
    <n v="7"/>
    <n v="4648"/>
  </r>
  <r>
    <d v="2022-06-14T00:00:00"/>
    <x v="7"/>
    <s v="Electronics"/>
    <s v="North"/>
    <n v="3"/>
    <n v="1119"/>
  </r>
  <r>
    <d v="2023-06-14T00:00:00"/>
    <x v="0"/>
    <s v="Office"/>
    <s v="South"/>
    <n v="9"/>
    <n v="2178"/>
  </r>
  <r>
    <d v="2024-12-11T00:00:00"/>
    <x v="9"/>
    <s v="Electronics"/>
    <s v="East"/>
    <n v="1"/>
    <n v="918"/>
  </r>
  <r>
    <d v="2023-02-05T00:00:00"/>
    <x v="7"/>
    <s v="Electronics"/>
    <s v="East"/>
    <n v="9"/>
    <n v="6903"/>
  </r>
  <r>
    <d v="2023-08-21T00:00:00"/>
    <x v="8"/>
    <s v="Accessories"/>
    <s v="North"/>
    <n v="5"/>
    <n v="4855"/>
  </r>
  <r>
    <d v="2023-12-18T00:00:00"/>
    <x v="3"/>
    <s v="Electronics"/>
    <s v="South"/>
    <n v="2"/>
    <n v="2158"/>
  </r>
  <r>
    <d v="2023-04-13T00:00:00"/>
    <x v="1"/>
    <s v="Accessories"/>
    <s v="North"/>
    <n v="7"/>
    <n v="4550"/>
  </r>
  <r>
    <d v="2023-09-24T00:00:00"/>
    <x v="2"/>
    <s v="Electronics"/>
    <s v="West"/>
    <n v="4"/>
    <n v="3592"/>
  </r>
  <r>
    <d v="2022-12-19T00:00:00"/>
    <x v="2"/>
    <s v="Electronics"/>
    <s v="South"/>
    <n v="8"/>
    <n v="3488"/>
  </r>
  <r>
    <d v="2022-05-21T00:00:00"/>
    <x v="6"/>
    <s v="Accessories"/>
    <s v="North"/>
    <n v="2"/>
    <n v="1214"/>
  </r>
  <r>
    <d v="2024-09-21T00:00:00"/>
    <x v="1"/>
    <s v="Accessories"/>
    <s v="West"/>
    <n v="9"/>
    <n v="7200"/>
  </r>
  <r>
    <d v="2023-03-24T00:00:00"/>
    <x v="9"/>
    <s v="Electronics"/>
    <s v="East"/>
    <n v="8"/>
    <n v="1808"/>
  </r>
  <r>
    <d v="2022-12-29T00:00:00"/>
    <x v="3"/>
    <s v="Electronics"/>
    <s v="West"/>
    <n v="9"/>
    <n v="7083"/>
  </r>
  <r>
    <d v="2024-06-05T00:00:00"/>
    <x v="6"/>
    <s v="Accessories"/>
    <s v="East"/>
    <n v="4"/>
    <n v="1060"/>
  </r>
  <r>
    <d v="2022-11-17T00:00:00"/>
    <x v="5"/>
    <s v="Electronics"/>
    <s v="South"/>
    <n v="9"/>
    <n v="7182"/>
  </r>
  <r>
    <d v="2024-05-07T00:00:00"/>
    <x v="7"/>
    <s v="Electronics"/>
    <s v="West"/>
    <n v="6"/>
    <n v="5532"/>
  </r>
  <r>
    <d v="2024-08-23T00:00:00"/>
    <x v="4"/>
    <s v="Accessories"/>
    <s v="South"/>
    <n v="8"/>
    <n v="1800"/>
  </r>
  <r>
    <d v="2023-12-17T00:00:00"/>
    <x v="4"/>
    <s v="Accessories"/>
    <s v="South"/>
    <n v="1"/>
    <n v="351"/>
  </r>
  <r>
    <d v="2022-11-10T00:00:00"/>
    <x v="5"/>
    <s v="Electronics"/>
    <s v="West"/>
    <n v="2"/>
    <n v="1200"/>
  </r>
  <r>
    <d v="2023-12-01T00:00:00"/>
    <x v="2"/>
    <s v="Electronics"/>
    <s v="South"/>
    <n v="9"/>
    <n v="1593"/>
  </r>
  <r>
    <d v="2024-12-15T00:00:00"/>
    <x v="6"/>
    <s v="Accessories"/>
    <s v="East"/>
    <n v="3"/>
    <n v="2580"/>
  </r>
  <r>
    <d v="2022-03-12T00:00:00"/>
    <x v="8"/>
    <s v="Accessories"/>
    <s v="East"/>
    <n v="6"/>
    <n v="6780"/>
  </r>
  <r>
    <d v="2022-03-25T00:00:00"/>
    <x v="7"/>
    <s v="Electronics"/>
    <s v="South"/>
    <n v="2"/>
    <n v="1298"/>
  </r>
  <r>
    <d v="2024-12-24T00:00:00"/>
    <x v="5"/>
    <s v="Electronics"/>
    <s v="South"/>
    <n v="7"/>
    <n v="4585"/>
  </r>
  <r>
    <d v="2023-04-16T00:00:00"/>
    <x v="2"/>
    <s v="Electronics"/>
    <s v="North"/>
    <n v="1"/>
    <n v="516"/>
  </r>
  <r>
    <d v="2024-05-14T00:00:00"/>
    <x v="2"/>
    <s v="Electronics"/>
    <s v="West"/>
    <n v="4"/>
    <n v="1780"/>
  </r>
  <r>
    <d v="2022-11-07T00:00:00"/>
    <x v="8"/>
    <s v="Accessories"/>
    <s v="North"/>
    <n v="5"/>
    <n v="365"/>
  </r>
  <r>
    <d v="2023-02-26T00:00:00"/>
    <x v="2"/>
    <s v="Electronics"/>
    <s v="South"/>
    <n v="8"/>
    <n v="3896"/>
  </r>
  <r>
    <d v="2024-04-28T00:00:00"/>
    <x v="9"/>
    <s v="Electronics"/>
    <s v="South"/>
    <n v="1"/>
    <n v="636"/>
  </r>
  <r>
    <d v="2024-07-27T00:00:00"/>
    <x v="6"/>
    <s v="Accessories"/>
    <s v="East"/>
    <n v="7"/>
    <n v="637"/>
  </r>
  <r>
    <d v="2023-09-26T00:00:00"/>
    <x v="8"/>
    <s v="Accessories"/>
    <s v="South"/>
    <n v="3"/>
    <n v="1302"/>
  </r>
  <r>
    <d v="2024-08-24T00:00:00"/>
    <x v="7"/>
    <s v="Electronics"/>
    <s v="West"/>
    <n v="1"/>
    <n v="719"/>
  </r>
  <r>
    <d v="2023-08-08T00:00:00"/>
    <x v="3"/>
    <s v="Electronics"/>
    <s v="West"/>
    <n v="6"/>
    <n v="5106"/>
  </r>
  <r>
    <d v="2023-07-11T00:00:00"/>
    <x v="1"/>
    <s v="Accessories"/>
    <s v="West"/>
    <n v="3"/>
    <n v="1215"/>
  </r>
  <r>
    <d v="2024-05-23T00:00:00"/>
    <x v="3"/>
    <s v="Electronics"/>
    <s v="East"/>
    <n v="9"/>
    <n v="1791"/>
  </r>
  <r>
    <d v="2023-09-30T00:00:00"/>
    <x v="0"/>
    <s v="Office"/>
    <s v="East"/>
    <n v="9"/>
    <n v="6255"/>
  </r>
  <r>
    <d v="2023-05-02T00:00:00"/>
    <x v="0"/>
    <s v="Office"/>
    <s v="East"/>
    <n v="5"/>
    <n v="4165"/>
  </r>
  <r>
    <d v="2023-12-31T00:00:00"/>
    <x v="6"/>
    <s v="Accessories"/>
    <s v="South"/>
    <n v="5"/>
    <n v="5990"/>
  </r>
  <r>
    <d v="2023-12-01T00:00:00"/>
    <x v="2"/>
    <s v="Electronics"/>
    <s v="South"/>
    <n v="1"/>
    <n v="847"/>
  </r>
  <r>
    <d v="2024-02-04T00:00:00"/>
    <x v="3"/>
    <s v="Electronics"/>
    <s v="East"/>
    <n v="8"/>
    <n v="688"/>
  </r>
  <r>
    <d v="2023-06-24T00:00:00"/>
    <x v="2"/>
    <s v="Electronics"/>
    <s v="East"/>
    <n v="2"/>
    <n v="1188"/>
  </r>
  <r>
    <d v="2023-08-20T00:00:00"/>
    <x v="3"/>
    <s v="Electronics"/>
    <s v="North"/>
    <n v="7"/>
    <n v="3101"/>
  </r>
  <r>
    <d v="2024-12-30T00:00:00"/>
    <x v="4"/>
    <s v="Accessories"/>
    <s v="West"/>
    <n v="9"/>
    <n v="8703"/>
  </r>
  <r>
    <d v="2024-10-29T00:00:00"/>
    <x v="0"/>
    <s v="Office"/>
    <s v="West"/>
    <n v="9"/>
    <n v="9324"/>
  </r>
  <r>
    <d v="2024-09-20T00:00:00"/>
    <x v="9"/>
    <s v="Electronics"/>
    <s v="North"/>
    <n v="1"/>
    <n v="749"/>
  </r>
  <r>
    <d v="2024-11-17T00:00:00"/>
    <x v="5"/>
    <s v="Electronics"/>
    <s v="West"/>
    <n v="4"/>
    <n v="3224"/>
  </r>
  <r>
    <d v="2023-10-01T00:00:00"/>
    <x v="6"/>
    <s v="Accessories"/>
    <s v="South"/>
    <n v="3"/>
    <n v="459"/>
  </r>
  <r>
    <d v="2024-12-24T00:00:00"/>
    <x v="5"/>
    <s v="Electronics"/>
    <s v="East"/>
    <n v="7"/>
    <n v="5726"/>
  </r>
  <r>
    <d v="2022-04-20T00:00:00"/>
    <x v="8"/>
    <s v="Accessories"/>
    <s v="West"/>
    <n v="4"/>
    <n v="616"/>
  </r>
  <r>
    <d v="2024-12-24T00:00:00"/>
    <x v="9"/>
    <s v="Electronics"/>
    <s v="North"/>
    <n v="2"/>
    <n v="1584"/>
  </r>
  <r>
    <d v="2023-06-24T00:00:00"/>
    <x v="9"/>
    <s v="Electronics"/>
    <s v="East"/>
    <n v="5"/>
    <n v="3205"/>
  </r>
  <r>
    <d v="2024-09-18T00:00:00"/>
    <x v="0"/>
    <s v="Office"/>
    <s v="East"/>
    <n v="1"/>
    <n v="958"/>
  </r>
  <r>
    <d v="2023-12-18T00:00:00"/>
    <x v="9"/>
    <s v="Electronics"/>
    <s v="East"/>
    <n v="9"/>
    <n v="5139"/>
  </r>
  <r>
    <d v="2024-11-09T00:00:00"/>
    <x v="7"/>
    <s v="Electronics"/>
    <s v="West"/>
    <n v="5"/>
    <n v="3795"/>
  </r>
  <r>
    <d v="2024-03-03T00:00:00"/>
    <x v="3"/>
    <s v="Electronics"/>
    <s v="East"/>
    <n v="2"/>
    <n v="810"/>
  </r>
  <r>
    <d v="2024-05-11T00:00:00"/>
    <x v="3"/>
    <s v="Electronics"/>
    <s v="South"/>
    <n v="6"/>
    <n v="5106"/>
  </r>
  <r>
    <d v="2024-06-30T00:00:00"/>
    <x v="6"/>
    <s v="Accessories"/>
    <s v="West"/>
    <n v="2"/>
    <n v="798"/>
  </r>
  <r>
    <d v="2022-02-22T00:00:00"/>
    <x v="9"/>
    <s v="Electronics"/>
    <s v="West"/>
    <n v="5"/>
    <n v="3165"/>
  </r>
  <r>
    <d v="2023-09-21T00:00:00"/>
    <x v="2"/>
    <s v="Electronics"/>
    <s v="East"/>
    <n v="5"/>
    <n v="5935"/>
  </r>
  <r>
    <d v="2022-06-27T00:00:00"/>
    <x v="8"/>
    <s v="Accessories"/>
    <s v="South"/>
    <n v="4"/>
    <n v="3352"/>
  </r>
  <r>
    <d v="2024-01-29T00:00:00"/>
    <x v="7"/>
    <s v="Electronics"/>
    <s v="West"/>
    <n v="9"/>
    <n v="8343"/>
  </r>
  <r>
    <d v="2022-05-25T00:00:00"/>
    <x v="6"/>
    <s v="Accessories"/>
    <s v="East"/>
    <n v="4"/>
    <n v="2604"/>
  </r>
  <r>
    <d v="2023-10-28T00:00:00"/>
    <x v="4"/>
    <s v="Accessories"/>
    <s v="West"/>
    <n v="1"/>
    <n v="526"/>
  </r>
  <r>
    <d v="2023-11-12T00:00:00"/>
    <x v="6"/>
    <s v="Accessories"/>
    <s v="West"/>
    <n v="9"/>
    <n v="5220"/>
  </r>
  <r>
    <d v="2023-11-12T00:00:00"/>
    <x v="0"/>
    <s v="Office"/>
    <s v="North"/>
    <n v="9"/>
    <n v="1737"/>
  </r>
  <r>
    <d v="2022-10-24T00:00:00"/>
    <x v="1"/>
    <s v="Accessories"/>
    <s v="West"/>
    <n v="6"/>
    <n v="3186"/>
  </r>
  <r>
    <d v="2023-01-13T00:00:00"/>
    <x v="7"/>
    <s v="Electronics"/>
    <s v="West"/>
    <n v="6"/>
    <n v="7014"/>
  </r>
  <r>
    <d v="2023-01-17T00:00:00"/>
    <x v="1"/>
    <s v="Accessories"/>
    <s v="South"/>
    <n v="9"/>
    <n v="3411"/>
  </r>
  <r>
    <d v="2022-01-20T00:00:00"/>
    <x v="6"/>
    <s v="Accessories"/>
    <s v="East"/>
    <n v="1"/>
    <n v="513"/>
  </r>
  <r>
    <d v="2022-07-05T00:00:00"/>
    <x v="7"/>
    <s v="Electronics"/>
    <s v="West"/>
    <n v="1"/>
    <n v="1104"/>
  </r>
  <r>
    <d v="2022-08-11T00:00:00"/>
    <x v="7"/>
    <s v="Electronics"/>
    <s v="East"/>
    <n v="9"/>
    <n v="2718"/>
  </r>
  <r>
    <d v="2023-05-14T00:00:00"/>
    <x v="4"/>
    <s v="Accessories"/>
    <s v="North"/>
    <n v="6"/>
    <n v="1662"/>
  </r>
  <r>
    <d v="2023-12-16T00:00:00"/>
    <x v="1"/>
    <s v="Accessories"/>
    <s v="West"/>
    <n v="5"/>
    <n v="1700"/>
  </r>
  <r>
    <d v="2024-12-06T00:00:00"/>
    <x v="2"/>
    <s v="Electronics"/>
    <s v="South"/>
    <n v="4"/>
    <n v="2932"/>
  </r>
  <r>
    <d v="2023-10-13T00:00:00"/>
    <x v="1"/>
    <s v="Accessories"/>
    <s v="North"/>
    <n v="4"/>
    <n v="3604"/>
  </r>
  <r>
    <d v="2024-03-26T00:00:00"/>
    <x v="3"/>
    <s v="Electronics"/>
    <s v="West"/>
    <n v="4"/>
    <n v="4596"/>
  </r>
  <r>
    <d v="2024-04-05T00:00:00"/>
    <x v="5"/>
    <s v="Electronics"/>
    <s v="East"/>
    <n v="6"/>
    <n v="930"/>
  </r>
  <r>
    <d v="2023-06-24T00:00:00"/>
    <x v="2"/>
    <s v="Electronics"/>
    <s v="North"/>
    <n v="3"/>
    <n v="2790"/>
  </r>
  <r>
    <d v="2022-05-22T00:00:00"/>
    <x v="7"/>
    <s v="Electronics"/>
    <s v="North"/>
    <n v="6"/>
    <n v="4596"/>
  </r>
  <r>
    <d v="2023-10-15T00:00:00"/>
    <x v="8"/>
    <s v="Accessories"/>
    <s v="South"/>
    <n v="1"/>
    <n v="962"/>
  </r>
  <r>
    <d v="2024-10-23T00:00:00"/>
    <x v="7"/>
    <s v="Electronics"/>
    <s v="North"/>
    <n v="1"/>
    <n v="92"/>
  </r>
  <r>
    <d v="2024-09-29T00:00:00"/>
    <x v="8"/>
    <s v="Accessories"/>
    <s v="North"/>
    <n v="5"/>
    <n v="1130"/>
  </r>
  <r>
    <d v="2024-04-29T00:00:00"/>
    <x v="4"/>
    <s v="Accessories"/>
    <s v="East"/>
    <n v="6"/>
    <n v="6024"/>
  </r>
  <r>
    <d v="2024-01-16T00:00:00"/>
    <x v="0"/>
    <s v="Office"/>
    <s v="South"/>
    <n v="1"/>
    <n v="879"/>
  </r>
  <r>
    <d v="2022-06-06T00:00:00"/>
    <x v="6"/>
    <s v="Accessories"/>
    <s v="East"/>
    <n v="8"/>
    <n v="2384"/>
  </r>
  <r>
    <d v="2024-12-25T00:00:00"/>
    <x v="3"/>
    <s v="Electronics"/>
    <s v="South"/>
    <n v="4"/>
    <n v="4644"/>
  </r>
  <r>
    <d v="2024-04-04T00:00:00"/>
    <x v="8"/>
    <s v="Accessories"/>
    <s v="East"/>
    <n v="1"/>
    <n v="607"/>
  </r>
  <r>
    <d v="2022-09-29T00:00:00"/>
    <x v="1"/>
    <s v="Accessories"/>
    <s v="South"/>
    <n v="7"/>
    <n v="770"/>
  </r>
  <r>
    <d v="2022-11-06T00:00:00"/>
    <x v="8"/>
    <s v="Accessories"/>
    <s v="South"/>
    <n v="1"/>
    <n v="711"/>
  </r>
  <r>
    <d v="2023-08-02T00:00:00"/>
    <x v="8"/>
    <s v="Accessories"/>
    <s v="South"/>
    <n v="2"/>
    <n v="1088"/>
  </r>
  <r>
    <d v="2024-03-05T00:00:00"/>
    <x v="9"/>
    <s v="Electronics"/>
    <s v="East"/>
    <n v="7"/>
    <n v="4704"/>
  </r>
  <r>
    <d v="2022-12-15T00:00:00"/>
    <x v="9"/>
    <s v="Electronics"/>
    <s v="East"/>
    <n v="5"/>
    <n v="660"/>
  </r>
  <r>
    <d v="2022-11-25T00:00:00"/>
    <x v="4"/>
    <s v="Accessories"/>
    <s v="South"/>
    <n v="5"/>
    <n v="4680"/>
  </r>
  <r>
    <d v="2022-10-06T00:00:00"/>
    <x v="3"/>
    <s v="Electronics"/>
    <s v="East"/>
    <n v="7"/>
    <n v="6797"/>
  </r>
  <r>
    <d v="2024-12-11T00:00:00"/>
    <x v="1"/>
    <s v="Accessories"/>
    <s v="North"/>
    <n v="9"/>
    <n v="558"/>
  </r>
  <r>
    <d v="2023-09-13T00:00:00"/>
    <x v="6"/>
    <s v="Accessories"/>
    <s v="East"/>
    <n v="4"/>
    <n v="4496"/>
  </r>
  <r>
    <d v="2022-05-28T00:00:00"/>
    <x v="8"/>
    <s v="Accessories"/>
    <s v="South"/>
    <n v="1"/>
    <n v="713"/>
  </r>
  <r>
    <d v="2022-08-17T00:00:00"/>
    <x v="3"/>
    <s v="Electronics"/>
    <s v="East"/>
    <n v="2"/>
    <n v="1310"/>
  </r>
  <r>
    <d v="2024-10-31T00:00:00"/>
    <x v="8"/>
    <s v="Accessories"/>
    <s v="West"/>
    <n v="9"/>
    <n v="2853"/>
  </r>
  <r>
    <d v="2023-11-20T00:00:00"/>
    <x v="3"/>
    <s v="Electronics"/>
    <s v="South"/>
    <n v="2"/>
    <n v="2324"/>
  </r>
  <r>
    <d v="2024-04-16T00:00:00"/>
    <x v="9"/>
    <s v="Electronics"/>
    <s v="North"/>
    <n v="1"/>
    <n v="330"/>
  </r>
  <r>
    <d v="2023-09-22T00:00:00"/>
    <x v="3"/>
    <s v="Electronics"/>
    <s v="South"/>
    <n v="3"/>
    <n v="588"/>
  </r>
  <r>
    <d v="2024-05-07T00:00:00"/>
    <x v="7"/>
    <s v="Electronics"/>
    <s v="East"/>
    <n v="1"/>
    <n v="63"/>
  </r>
  <r>
    <d v="2022-03-15T00:00:00"/>
    <x v="2"/>
    <s v="Electronics"/>
    <s v="East"/>
    <n v="7"/>
    <n v="847"/>
  </r>
  <r>
    <d v="2024-06-28T00:00:00"/>
    <x v="0"/>
    <s v="Office"/>
    <s v="East"/>
    <n v="1"/>
    <n v="1037"/>
  </r>
  <r>
    <d v="2024-01-06T00:00:00"/>
    <x v="1"/>
    <s v="Accessories"/>
    <s v="North"/>
    <n v="1"/>
    <n v="373"/>
  </r>
  <r>
    <d v="2023-12-20T00:00:00"/>
    <x v="9"/>
    <s v="Electronics"/>
    <s v="North"/>
    <n v="1"/>
    <n v="1176"/>
  </r>
  <r>
    <d v="2022-01-11T00:00:00"/>
    <x v="7"/>
    <s v="Electronics"/>
    <s v="East"/>
    <n v="3"/>
    <n v="2139"/>
  </r>
  <r>
    <d v="2024-12-11T00:00:00"/>
    <x v="6"/>
    <s v="Accessories"/>
    <s v="West"/>
    <n v="9"/>
    <n v="4140"/>
  </r>
  <r>
    <d v="2024-01-13T00:00:00"/>
    <x v="9"/>
    <s v="Electronics"/>
    <s v="North"/>
    <n v="1"/>
    <n v="1038"/>
  </r>
  <r>
    <d v="2024-07-28T00:00:00"/>
    <x v="6"/>
    <s v="Accessories"/>
    <s v="East"/>
    <n v="8"/>
    <n v="2024"/>
  </r>
  <r>
    <d v="2022-04-15T00:00:00"/>
    <x v="5"/>
    <s v="Electronics"/>
    <s v="South"/>
    <n v="6"/>
    <n v="6624"/>
  </r>
  <r>
    <d v="2023-09-23T00:00:00"/>
    <x v="5"/>
    <s v="Electronics"/>
    <s v="East"/>
    <n v="7"/>
    <n v="5019"/>
  </r>
  <r>
    <d v="2024-04-15T00:00:00"/>
    <x v="7"/>
    <s v="Electronics"/>
    <s v="East"/>
    <n v="5"/>
    <n v="750"/>
  </r>
  <r>
    <d v="2023-03-23T00:00:00"/>
    <x v="3"/>
    <s v="Electronics"/>
    <s v="North"/>
    <n v="7"/>
    <n v="6461"/>
  </r>
  <r>
    <d v="2023-11-04T00:00:00"/>
    <x v="2"/>
    <s v="Electronics"/>
    <s v="West"/>
    <n v="6"/>
    <n v="2946"/>
  </r>
  <r>
    <d v="2024-05-24T00:00:00"/>
    <x v="6"/>
    <s v="Accessories"/>
    <s v="South"/>
    <n v="1"/>
    <n v="618"/>
  </r>
  <r>
    <d v="2022-03-27T00:00:00"/>
    <x v="0"/>
    <s v="Office"/>
    <s v="South"/>
    <n v="2"/>
    <n v="1774"/>
  </r>
  <r>
    <d v="2022-05-11T00:00:00"/>
    <x v="3"/>
    <s v="Electronics"/>
    <s v="East"/>
    <n v="9"/>
    <n v="8586"/>
  </r>
  <r>
    <d v="2024-02-13T00:00:00"/>
    <x v="9"/>
    <s v="Electronics"/>
    <s v="South"/>
    <n v="5"/>
    <n v="2000"/>
  </r>
  <r>
    <d v="2023-02-16T00:00:00"/>
    <x v="1"/>
    <s v="Accessories"/>
    <s v="East"/>
    <n v="1"/>
    <n v="849"/>
  </r>
  <r>
    <d v="2023-08-13T00:00:00"/>
    <x v="1"/>
    <s v="Accessories"/>
    <s v="East"/>
    <n v="6"/>
    <n v="3186"/>
  </r>
  <r>
    <d v="2024-05-15T00:00:00"/>
    <x v="6"/>
    <s v="Accessories"/>
    <s v="South"/>
    <n v="4"/>
    <n v="2536"/>
  </r>
  <r>
    <d v="2024-05-09T00:00:00"/>
    <x v="5"/>
    <s v="Electronics"/>
    <s v="South"/>
    <n v="2"/>
    <n v="1306"/>
  </r>
  <r>
    <d v="2022-05-02T00:00:00"/>
    <x v="2"/>
    <s v="Electronics"/>
    <s v="East"/>
    <n v="3"/>
    <n v="2508"/>
  </r>
  <r>
    <d v="2024-07-13T00:00:00"/>
    <x v="2"/>
    <s v="Electronics"/>
    <s v="North"/>
    <n v="8"/>
    <n v="1048"/>
  </r>
  <r>
    <d v="2022-11-19T00:00:00"/>
    <x v="8"/>
    <s v="Accessories"/>
    <s v="East"/>
    <n v="4"/>
    <n v="1516"/>
  </r>
  <r>
    <d v="2024-03-04T00:00:00"/>
    <x v="7"/>
    <s v="Electronics"/>
    <s v="West"/>
    <n v="9"/>
    <n v="10458"/>
  </r>
  <r>
    <d v="2024-05-20T00:00:00"/>
    <x v="4"/>
    <s v="Accessories"/>
    <s v="East"/>
    <n v="9"/>
    <n v="2754"/>
  </r>
  <r>
    <d v="2022-09-28T00:00:00"/>
    <x v="0"/>
    <s v="Office"/>
    <s v="West"/>
    <n v="4"/>
    <n v="3432"/>
  </r>
  <r>
    <d v="2022-12-25T00:00:00"/>
    <x v="6"/>
    <s v="Accessories"/>
    <s v="South"/>
    <n v="2"/>
    <n v="1234"/>
  </r>
  <r>
    <d v="2022-07-30T00:00:00"/>
    <x v="6"/>
    <s v="Accessories"/>
    <s v="East"/>
    <n v="1"/>
    <n v="847"/>
  </r>
  <r>
    <d v="2022-10-23T00:00:00"/>
    <x v="8"/>
    <s v="Accessories"/>
    <s v="South"/>
    <n v="7"/>
    <n v="7672"/>
  </r>
  <r>
    <d v="2024-04-04T00:00:00"/>
    <x v="6"/>
    <s v="Accessories"/>
    <s v="North"/>
    <n v="9"/>
    <n v="7596"/>
  </r>
  <r>
    <d v="2024-11-02T00:00:00"/>
    <x v="8"/>
    <s v="Accessories"/>
    <s v="East"/>
    <n v="7"/>
    <n v="7252"/>
  </r>
  <r>
    <d v="2024-12-05T00:00:00"/>
    <x v="5"/>
    <s v="Electronics"/>
    <s v="West"/>
    <n v="6"/>
    <n v="732"/>
  </r>
  <r>
    <d v="2023-06-27T00:00:00"/>
    <x v="7"/>
    <s v="Electronics"/>
    <s v="West"/>
    <n v="1"/>
    <n v="173"/>
  </r>
  <r>
    <d v="2023-03-18T00:00:00"/>
    <x v="3"/>
    <s v="Electronics"/>
    <s v="North"/>
    <n v="3"/>
    <n v="2805"/>
  </r>
  <r>
    <d v="2023-09-18T00:00:00"/>
    <x v="7"/>
    <s v="Electronics"/>
    <s v="West"/>
    <n v="8"/>
    <n v="7048"/>
  </r>
  <r>
    <d v="2024-08-16T00:00:00"/>
    <x v="1"/>
    <s v="Accessories"/>
    <s v="East"/>
    <n v="6"/>
    <n v="4698"/>
  </r>
  <r>
    <d v="2024-01-17T00:00:00"/>
    <x v="5"/>
    <s v="Electronics"/>
    <s v="South"/>
    <n v="1"/>
    <n v="565"/>
  </r>
  <r>
    <d v="2023-06-17T00:00:00"/>
    <x v="6"/>
    <s v="Accessories"/>
    <s v="North"/>
    <n v="1"/>
    <n v="672"/>
  </r>
  <r>
    <d v="2022-07-24T00:00:00"/>
    <x v="3"/>
    <s v="Electronics"/>
    <s v="South"/>
    <n v="6"/>
    <n v="2604"/>
  </r>
  <r>
    <d v="2024-05-31T00:00:00"/>
    <x v="2"/>
    <s v="Electronics"/>
    <s v="West"/>
    <n v="6"/>
    <n v="5124"/>
  </r>
  <r>
    <d v="2022-08-14T00:00:00"/>
    <x v="5"/>
    <s v="Electronics"/>
    <s v="West"/>
    <n v="5"/>
    <n v="2455"/>
  </r>
  <r>
    <d v="2022-03-01T00:00:00"/>
    <x v="0"/>
    <s v="Office"/>
    <s v="North"/>
    <n v="2"/>
    <n v="1796"/>
  </r>
  <r>
    <d v="2022-01-25T00:00:00"/>
    <x v="9"/>
    <s v="Electronics"/>
    <s v="South"/>
    <n v="1"/>
    <n v="288"/>
  </r>
  <r>
    <d v="2023-07-23T00:00:00"/>
    <x v="9"/>
    <s v="Electronics"/>
    <s v="North"/>
    <n v="5"/>
    <n v="2160"/>
  </r>
  <r>
    <d v="2022-03-10T00:00:00"/>
    <x v="2"/>
    <s v="Electronics"/>
    <s v="West"/>
    <n v="1"/>
    <n v="105"/>
  </r>
  <r>
    <d v="2023-05-05T00:00:00"/>
    <x v="6"/>
    <s v="Accessories"/>
    <s v="South"/>
    <n v="9"/>
    <n v="7578"/>
  </r>
  <r>
    <d v="2023-03-10T00:00:00"/>
    <x v="4"/>
    <s v="Accessories"/>
    <s v="South"/>
    <n v="1"/>
    <n v="365"/>
  </r>
  <r>
    <d v="2024-04-23T00:00:00"/>
    <x v="3"/>
    <s v="Electronics"/>
    <s v="West"/>
    <n v="8"/>
    <n v="3752"/>
  </r>
  <r>
    <d v="2024-08-21T00:00:00"/>
    <x v="8"/>
    <s v="Accessories"/>
    <s v="North"/>
    <n v="2"/>
    <n v="1384"/>
  </r>
  <r>
    <d v="2023-02-21T00:00:00"/>
    <x v="7"/>
    <s v="Electronics"/>
    <s v="West"/>
    <n v="5"/>
    <n v="475"/>
  </r>
  <r>
    <d v="2023-01-09T00:00:00"/>
    <x v="0"/>
    <s v="Office"/>
    <s v="West"/>
    <n v="4"/>
    <n v="1116"/>
  </r>
  <r>
    <d v="2023-08-24T00:00:00"/>
    <x v="7"/>
    <s v="Electronics"/>
    <s v="West"/>
    <n v="1"/>
    <n v="137"/>
  </r>
  <r>
    <d v="2022-01-12T00:00:00"/>
    <x v="4"/>
    <s v="Accessories"/>
    <s v="South"/>
    <n v="6"/>
    <n v="738"/>
  </r>
  <r>
    <d v="2023-10-09T00:00:00"/>
    <x v="3"/>
    <s v="Electronics"/>
    <s v="West"/>
    <n v="3"/>
    <n v="1821"/>
  </r>
  <r>
    <d v="2022-04-22T00:00:00"/>
    <x v="8"/>
    <s v="Accessories"/>
    <s v="West"/>
    <n v="7"/>
    <n v="3654"/>
  </r>
  <r>
    <d v="2024-07-14T00:00:00"/>
    <x v="8"/>
    <s v="Accessories"/>
    <s v="East"/>
    <n v="6"/>
    <n v="2592"/>
  </r>
  <r>
    <d v="2022-04-25T00:00:00"/>
    <x v="3"/>
    <s v="Electronics"/>
    <s v="East"/>
    <n v="6"/>
    <n v="996"/>
  </r>
  <r>
    <d v="2024-07-10T00:00:00"/>
    <x v="1"/>
    <s v="Accessories"/>
    <s v="North"/>
    <n v="1"/>
    <n v="693"/>
  </r>
  <r>
    <d v="2023-10-24T00:00:00"/>
    <x v="8"/>
    <s v="Accessories"/>
    <s v="East"/>
    <n v="3"/>
    <n v="513"/>
  </r>
  <r>
    <d v="2024-05-17T00:00:00"/>
    <x v="5"/>
    <s v="Electronics"/>
    <s v="East"/>
    <n v="8"/>
    <n v="5736"/>
  </r>
  <r>
    <d v="2023-04-06T00:00:00"/>
    <x v="1"/>
    <s v="Accessories"/>
    <s v="East"/>
    <n v="2"/>
    <n v="1458"/>
  </r>
  <r>
    <d v="2022-12-03T00:00:00"/>
    <x v="7"/>
    <s v="Electronics"/>
    <s v="East"/>
    <n v="8"/>
    <n v="5496"/>
  </r>
  <r>
    <d v="2022-01-07T00:00:00"/>
    <x v="2"/>
    <s v="Electronics"/>
    <s v="North"/>
    <n v="3"/>
    <n v="3183"/>
  </r>
  <r>
    <d v="2023-07-27T00:00:00"/>
    <x v="4"/>
    <s v="Accessories"/>
    <s v="East"/>
    <n v="6"/>
    <n v="3990"/>
  </r>
  <r>
    <d v="2024-02-05T00:00:00"/>
    <x v="7"/>
    <s v="Electronics"/>
    <s v="West"/>
    <n v="2"/>
    <n v="582"/>
  </r>
  <r>
    <d v="2022-05-03T00:00:00"/>
    <x v="0"/>
    <s v="Office"/>
    <s v="South"/>
    <n v="5"/>
    <n v="3340"/>
  </r>
  <r>
    <d v="2023-08-30T00:00:00"/>
    <x v="6"/>
    <s v="Accessories"/>
    <s v="West"/>
    <n v="1"/>
    <n v="890"/>
  </r>
  <r>
    <d v="2024-09-22T00:00:00"/>
    <x v="0"/>
    <s v="Office"/>
    <s v="East"/>
    <n v="6"/>
    <n v="4890"/>
  </r>
  <r>
    <d v="2023-10-19T00:00:00"/>
    <x v="8"/>
    <s v="Accessories"/>
    <s v="East"/>
    <n v="3"/>
    <n v="2625"/>
  </r>
  <r>
    <d v="2022-09-14T00:00:00"/>
    <x v="5"/>
    <s v="Electronics"/>
    <s v="North"/>
    <n v="4"/>
    <n v="1440"/>
  </r>
  <r>
    <d v="2024-12-26T00:00:00"/>
    <x v="4"/>
    <s v="Accessories"/>
    <s v="North"/>
    <n v="5"/>
    <n v="505"/>
  </r>
  <r>
    <d v="2022-01-28T00:00:00"/>
    <x v="9"/>
    <s v="Electronics"/>
    <s v="North"/>
    <n v="8"/>
    <n v="8192"/>
  </r>
  <r>
    <d v="2023-08-09T00:00:00"/>
    <x v="8"/>
    <s v="Accessories"/>
    <s v="East"/>
    <n v="3"/>
    <n v="1920"/>
  </r>
  <r>
    <d v="2022-10-18T00:00:00"/>
    <x v="5"/>
    <s v="Electronics"/>
    <s v="West"/>
    <n v="8"/>
    <n v="8768"/>
  </r>
  <r>
    <d v="2022-10-12T00:00:00"/>
    <x v="1"/>
    <s v="Accessories"/>
    <s v="North"/>
    <n v="1"/>
    <n v="1140"/>
  </r>
  <r>
    <d v="2023-01-23T00:00:00"/>
    <x v="9"/>
    <s v="Electronics"/>
    <s v="North"/>
    <n v="4"/>
    <n v="952"/>
  </r>
  <r>
    <d v="2024-05-02T00:00:00"/>
    <x v="7"/>
    <s v="Electronics"/>
    <s v="North"/>
    <n v="1"/>
    <n v="225"/>
  </r>
  <r>
    <d v="2022-08-01T00:00:00"/>
    <x v="0"/>
    <s v="Office"/>
    <s v="South"/>
    <n v="4"/>
    <n v="1304"/>
  </r>
  <r>
    <d v="2023-06-25T00:00:00"/>
    <x v="3"/>
    <s v="Electronics"/>
    <s v="East"/>
    <n v="3"/>
    <n v="1029"/>
  </r>
  <r>
    <d v="2024-02-29T00:00:00"/>
    <x v="0"/>
    <s v="Office"/>
    <s v="South"/>
    <n v="3"/>
    <n v="3402"/>
  </r>
  <r>
    <d v="2022-05-24T00:00:00"/>
    <x v="9"/>
    <s v="Electronics"/>
    <s v="North"/>
    <n v="9"/>
    <n v="8460"/>
  </r>
  <r>
    <d v="2024-03-07T00:00:00"/>
    <x v="6"/>
    <s v="Accessories"/>
    <s v="North"/>
    <n v="1"/>
    <n v="104"/>
  </r>
  <r>
    <d v="2023-12-18T00:00:00"/>
    <x v="6"/>
    <s v="Accessories"/>
    <s v="West"/>
    <n v="9"/>
    <n v="10665"/>
  </r>
  <r>
    <d v="2023-08-12T00:00:00"/>
    <x v="5"/>
    <s v="Electronics"/>
    <s v="East"/>
    <n v="8"/>
    <n v="984"/>
  </r>
  <r>
    <d v="2024-09-18T00:00:00"/>
    <x v="7"/>
    <s v="Electronics"/>
    <s v="North"/>
    <n v="4"/>
    <n v="2064"/>
  </r>
  <r>
    <d v="2022-03-08T00:00:00"/>
    <x v="9"/>
    <s v="Electronics"/>
    <s v="North"/>
    <n v="2"/>
    <n v="594"/>
  </r>
  <r>
    <d v="2023-10-25T00:00:00"/>
    <x v="0"/>
    <s v="Office"/>
    <s v="South"/>
    <n v="8"/>
    <n v="6016"/>
  </r>
  <r>
    <d v="2024-08-22T00:00:00"/>
    <x v="7"/>
    <s v="Electronics"/>
    <s v="North"/>
    <n v="8"/>
    <n v="2864"/>
  </r>
  <r>
    <d v="2024-07-17T00:00:00"/>
    <x v="2"/>
    <s v="Electronics"/>
    <s v="North"/>
    <n v="4"/>
    <n v="724"/>
  </r>
  <r>
    <d v="2024-02-11T00:00:00"/>
    <x v="1"/>
    <s v="Accessories"/>
    <s v="East"/>
    <n v="6"/>
    <n v="4098"/>
  </r>
  <r>
    <d v="2023-06-12T00:00:00"/>
    <x v="6"/>
    <s v="Accessories"/>
    <s v="North"/>
    <n v="1"/>
    <n v="338"/>
  </r>
  <r>
    <d v="2024-03-09T00:00:00"/>
    <x v="0"/>
    <s v="Office"/>
    <s v="West"/>
    <n v="8"/>
    <n v="9280"/>
  </r>
  <r>
    <d v="2022-04-16T00:00:00"/>
    <x v="5"/>
    <s v="Electronics"/>
    <s v="East"/>
    <n v="1"/>
    <n v="890"/>
  </r>
  <r>
    <d v="2023-04-26T00:00:00"/>
    <x v="2"/>
    <s v="Electronics"/>
    <s v="South"/>
    <n v="2"/>
    <n v="1790"/>
  </r>
  <r>
    <d v="2023-10-01T00:00:00"/>
    <x v="2"/>
    <s v="Electronics"/>
    <s v="North"/>
    <n v="9"/>
    <n v="8523"/>
  </r>
  <r>
    <d v="2023-02-21T00:00:00"/>
    <x v="4"/>
    <s v="Accessories"/>
    <s v="West"/>
    <n v="9"/>
    <n v="7776"/>
  </r>
  <r>
    <d v="2024-03-20T00:00:00"/>
    <x v="1"/>
    <s v="Accessories"/>
    <s v="North"/>
    <n v="7"/>
    <n v="3031"/>
  </r>
  <r>
    <d v="2022-10-02T00:00:00"/>
    <x v="3"/>
    <s v="Electronics"/>
    <s v="South"/>
    <n v="9"/>
    <n v="4698"/>
  </r>
  <r>
    <d v="2023-06-13T00:00:00"/>
    <x v="8"/>
    <s v="Accessories"/>
    <s v="West"/>
    <n v="9"/>
    <n v="4851"/>
  </r>
  <r>
    <d v="2023-01-22T00:00:00"/>
    <x v="3"/>
    <s v="Electronics"/>
    <s v="East"/>
    <n v="6"/>
    <n v="4542"/>
  </r>
  <r>
    <d v="2022-09-21T00:00:00"/>
    <x v="4"/>
    <s v="Accessories"/>
    <s v="North"/>
    <n v="2"/>
    <n v="978"/>
  </r>
  <r>
    <d v="2022-01-04T00:00:00"/>
    <x v="1"/>
    <s v="Accessories"/>
    <s v="South"/>
    <n v="9"/>
    <n v="9378"/>
  </r>
  <r>
    <d v="2023-08-06T00:00:00"/>
    <x v="5"/>
    <s v="Electronics"/>
    <s v="North"/>
    <n v="8"/>
    <n v="9464"/>
  </r>
  <r>
    <d v="2024-11-08T00:00:00"/>
    <x v="0"/>
    <s v="Office"/>
    <s v="West"/>
    <n v="8"/>
    <n v="1720"/>
  </r>
  <r>
    <d v="2022-07-11T00:00:00"/>
    <x v="8"/>
    <s v="Accessories"/>
    <s v="West"/>
    <n v="8"/>
    <n v="4752"/>
  </r>
  <r>
    <d v="2023-10-23T00:00:00"/>
    <x v="8"/>
    <s v="Accessories"/>
    <s v="South"/>
    <n v="4"/>
    <n v="584"/>
  </r>
  <r>
    <d v="2024-07-28T00:00:00"/>
    <x v="3"/>
    <s v="Electronics"/>
    <s v="North"/>
    <n v="9"/>
    <n v="4554"/>
  </r>
  <r>
    <d v="2022-07-23T00:00:00"/>
    <x v="2"/>
    <s v="Electronics"/>
    <s v="South"/>
    <n v="2"/>
    <n v="2392"/>
  </r>
  <r>
    <d v="2023-11-20T00:00:00"/>
    <x v="3"/>
    <s v="Electronics"/>
    <s v="South"/>
    <n v="7"/>
    <n v="3962"/>
  </r>
  <r>
    <d v="2023-05-21T00:00:00"/>
    <x v="9"/>
    <s v="Electronics"/>
    <s v="North"/>
    <n v="3"/>
    <n v="1308"/>
  </r>
  <r>
    <d v="2023-09-15T00:00:00"/>
    <x v="0"/>
    <s v="Office"/>
    <s v="South"/>
    <n v="8"/>
    <n v="5912"/>
  </r>
  <r>
    <d v="2023-05-10T00:00:00"/>
    <x v="3"/>
    <s v="Electronics"/>
    <s v="South"/>
    <n v="7"/>
    <n v="5831"/>
  </r>
  <r>
    <d v="2022-12-11T00:00:00"/>
    <x v="3"/>
    <s v="Electronics"/>
    <s v="West"/>
    <n v="7"/>
    <n v="5572"/>
  </r>
  <r>
    <d v="2023-08-11T00:00:00"/>
    <x v="6"/>
    <s v="Accessories"/>
    <s v="North"/>
    <n v="6"/>
    <n v="5214"/>
  </r>
  <r>
    <d v="2022-06-18T00:00:00"/>
    <x v="1"/>
    <s v="Accessories"/>
    <s v="East"/>
    <n v="9"/>
    <n v="6705"/>
  </r>
  <r>
    <d v="2023-01-28T00:00:00"/>
    <x v="4"/>
    <s v="Accessories"/>
    <s v="North"/>
    <n v="1"/>
    <n v="426"/>
  </r>
  <r>
    <d v="2024-11-06T00:00:00"/>
    <x v="7"/>
    <s v="Electronics"/>
    <s v="West"/>
    <n v="2"/>
    <n v="2204"/>
  </r>
  <r>
    <d v="2022-08-25T00:00:00"/>
    <x v="7"/>
    <s v="Electronics"/>
    <s v="North"/>
    <n v="3"/>
    <n v="2652"/>
  </r>
  <r>
    <d v="2023-07-07T00:00:00"/>
    <x v="0"/>
    <s v="Office"/>
    <s v="South"/>
    <n v="6"/>
    <n v="3132"/>
  </r>
  <r>
    <d v="2024-06-04T00:00:00"/>
    <x v="0"/>
    <s v="Office"/>
    <s v="West"/>
    <n v="5"/>
    <n v="1830"/>
  </r>
  <r>
    <d v="2024-01-27T00:00:00"/>
    <x v="9"/>
    <s v="Electronics"/>
    <s v="East"/>
    <n v="9"/>
    <n v="2763"/>
  </r>
  <r>
    <d v="2022-09-17T00:00:00"/>
    <x v="6"/>
    <s v="Accessories"/>
    <s v="North"/>
    <n v="8"/>
    <n v="9056"/>
  </r>
  <r>
    <d v="2022-03-10T00:00:00"/>
    <x v="3"/>
    <s v="Electronics"/>
    <s v="North"/>
    <n v="7"/>
    <n v="5439"/>
  </r>
  <r>
    <d v="2022-08-01T00:00:00"/>
    <x v="3"/>
    <s v="Electronics"/>
    <s v="South"/>
    <n v="6"/>
    <n v="828"/>
  </r>
  <r>
    <d v="2024-10-01T00:00:00"/>
    <x v="5"/>
    <s v="Electronics"/>
    <s v="East"/>
    <n v="5"/>
    <n v="1910"/>
  </r>
  <r>
    <d v="2023-02-19T00:00:00"/>
    <x v="2"/>
    <s v="Electronics"/>
    <s v="North"/>
    <n v="2"/>
    <n v="1874"/>
  </r>
  <r>
    <d v="2023-08-02T00:00:00"/>
    <x v="1"/>
    <s v="Accessories"/>
    <s v="East"/>
    <n v="1"/>
    <n v="1032"/>
  </r>
  <r>
    <d v="2023-06-26T00:00:00"/>
    <x v="8"/>
    <s v="Accessories"/>
    <s v="East"/>
    <n v="3"/>
    <n v="3264"/>
  </r>
  <r>
    <d v="2022-11-26T00:00:00"/>
    <x v="7"/>
    <s v="Electronics"/>
    <s v="West"/>
    <n v="1"/>
    <n v="877"/>
  </r>
  <r>
    <d v="2022-05-23T00:00:00"/>
    <x v="3"/>
    <s v="Electronics"/>
    <s v="North"/>
    <n v="3"/>
    <n v="924"/>
  </r>
  <r>
    <d v="2023-04-26T00:00:00"/>
    <x v="3"/>
    <s v="Electronics"/>
    <s v="West"/>
    <n v="3"/>
    <n v="417"/>
  </r>
  <r>
    <d v="2024-02-21T00:00:00"/>
    <x v="9"/>
    <s v="Electronics"/>
    <s v="West"/>
    <n v="5"/>
    <n v="2670"/>
  </r>
  <r>
    <d v="2024-06-18T00:00:00"/>
    <x v="8"/>
    <s v="Accessories"/>
    <s v="South"/>
    <n v="7"/>
    <n v="2716"/>
  </r>
  <r>
    <d v="2023-05-18T00:00:00"/>
    <x v="4"/>
    <s v="Accessories"/>
    <s v="West"/>
    <n v="9"/>
    <n v="10134"/>
  </r>
  <r>
    <d v="2022-01-19T00:00:00"/>
    <x v="6"/>
    <s v="Accessories"/>
    <s v="North"/>
    <n v="5"/>
    <n v="5500"/>
  </r>
  <r>
    <d v="2024-12-07T00:00:00"/>
    <x v="2"/>
    <s v="Electronics"/>
    <s v="East"/>
    <n v="6"/>
    <n v="6228"/>
  </r>
  <r>
    <d v="2024-06-16T00:00:00"/>
    <x v="9"/>
    <s v="Electronics"/>
    <s v="West"/>
    <n v="7"/>
    <n v="1092"/>
  </r>
  <r>
    <d v="2023-06-24T00:00:00"/>
    <x v="6"/>
    <s v="Accessories"/>
    <s v="West"/>
    <n v="5"/>
    <n v="3255"/>
  </r>
  <r>
    <d v="2022-06-28T00:00:00"/>
    <x v="2"/>
    <s v="Electronics"/>
    <s v="West"/>
    <n v="5"/>
    <n v="5645"/>
  </r>
  <r>
    <d v="2024-03-20T00:00:00"/>
    <x v="7"/>
    <s v="Electronics"/>
    <s v="North"/>
    <n v="9"/>
    <n v="7578"/>
  </r>
  <r>
    <d v="2023-04-21T00:00:00"/>
    <x v="8"/>
    <s v="Accessories"/>
    <s v="South"/>
    <n v="9"/>
    <n v="6282"/>
  </r>
  <r>
    <d v="2024-12-29T00:00:00"/>
    <x v="9"/>
    <s v="Electronics"/>
    <s v="South"/>
    <n v="6"/>
    <n v="2364"/>
  </r>
  <r>
    <d v="2023-12-12T00:00:00"/>
    <x v="8"/>
    <s v="Accessories"/>
    <s v="North"/>
    <n v="8"/>
    <n v="6880"/>
  </r>
  <r>
    <d v="2022-10-30T00:00:00"/>
    <x v="7"/>
    <s v="Electronics"/>
    <s v="East"/>
    <n v="6"/>
    <n v="3288"/>
  </r>
  <r>
    <d v="2024-02-01T00:00:00"/>
    <x v="6"/>
    <s v="Accessories"/>
    <s v="East"/>
    <n v="6"/>
    <n v="5292"/>
  </r>
  <r>
    <d v="2023-11-06T00:00:00"/>
    <x v="0"/>
    <s v="Office"/>
    <s v="North"/>
    <n v="3"/>
    <n v="3522"/>
  </r>
  <r>
    <d v="2022-10-08T00:00:00"/>
    <x v="5"/>
    <s v="Electronics"/>
    <s v="West"/>
    <n v="2"/>
    <n v="1518"/>
  </r>
  <r>
    <d v="2023-06-17T00:00:00"/>
    <x v="2"/>
    <s v="Electronics"/>
    <s v="North"/>
    <n v="7"/>
    <n v="2457"/>
  </r>
  <r>
    <d v="2024-01-09T00:00:00"/>
    <x v="4"/>
    <s v="Accessories"/>
    <s v="West"/>
    <n v="1"/>
    <n v="309"/>
  </r>
  <r>
    <d v="2022-01-24T00:00:00"/>
    <x v="6"/>
    <s v="Accessories"/>
    <s v="North"/>
    <n v="6"/>
    <n v="6192"/>
  </r>
  <r>
    <d v="2022-06-04T00:00:00"/>
    <x v="3"/>
    <s v="Electronics"/>
    <s v="East"/>
    <n v="5"/>
    <n v="4235"/>
  </r>
  <r>
    <d v="2022-08-13T00:00:00"/>
    <x v="5"/>
    <s v="Electronics"/>
    <s v="North"/>
    <n v="9"/>
    <n v="7128"/>
  </r>
  <r>
    <d v="2024-07-23T00:00:00"/>
    <x v="2"/>
    <s v="Electronics"/>
    <s v="North"/>
    <n v="5"/>
    <n v="5660"/>
  </r>
  <r>
    <d v="2024-05-23T00:00:00"/>
    <x v="7"/>
    <s v="Electronics"/>
    <s v="South"/>
    <n v="1"/>
    <n v="787"/>
  </r>
  <r>
    <d v="2022-11-13T00:00:00"/>
    <x v="1"/>
    <s v="Accessories"/>
    <s v="West"/>
    <n v="3"/>
    <n v="375"/>
  </r>
  <r>
    <d v="2023-08-19T00:00:00"/>
    <x v="3"/>
    <s v="Electronics"/>
    <s v="South"/>
    <n v="4"/>
    <n v="296"/>
  </r>
  <r>
    <d v="2022-01-01T00:00:00"/>
    <x v="8"/>
    <s v="Accessories"/>
    <s v="East"/>
    <n v="6"/>
    <n v="6372"/>
  </r>
  <r>
    <d v="2024-06-16T00:00:00"/>
    <x v="1"/>
    <s v="Accessories"/>
    <s v="West"/>
    <n v="6"/>
    <n v="2214"/>
  </r>
  <r>
    <d v="2024-09-16T00:00:00"/>
    <x v="4"/>
    <s v="Accessories"/>
    <s v="South"/>
    <n v="6"/>
    <n v="2640"/>
  </r>
  <r>
    <d v="2023-11-08T00:00:00"/>
    <x v="3"/>
    <s v="Electronics"/>
    <s v="South"/>
    <n v="7"/>
    <n v="2240"/>
  </r>
  <r>
    <d v="2023-05-06T00:00:00"/>
    <x v="5"/>
    <s v="Electronics"/>
    <s v="East"/>
    <n v="7"/>
    <n v="6258"/>
  </r>
  <r>
    <d v="2024-01-02T00:00:00"/>
    <x v="0"/>
    <s v="Office"/>
    <s v="West"/>
    <n v="8"/>
    <n v="3816"/>
  </r>
  <r>
    <d v="2022-05-15T00:00:00"/>
    <x v="5"/>
    <s v="Electronics"/>
    <s v="South"/>
    <n v="2"/>
    <n v="390"/>
  </r>
  <r>
    <d v="2024-07-01T00:00:00"/>
    <x v="2"/>
    <s v="Electronics"/>
    <s v="South"/>
    <n v="7"/>
    <n v="630"/>
  </r>
  <r>
    <d v="2022-09-01T00:00:00"/>
    <x v="7"/>
    <s v="Electronics"/>
    <s v="South"/>
    <n v="4"/>
    <n v="3868"/>
  </r>
  <r>
    <d v="2023-06-27T00:00:00"/>
    <x v="6"/>
    <s v="Accessories"/>
    <s v="North"/>
    <n v="1"/>
    <n v="777"/>
  </r>
  <r>
    <d v="2024-05-28T00:00:00"/>
    <x v="6"/>
    <s v="Accessories"/>
    <s v="North"/>
    <n v="3"/>
    <n v="1347"/>
  </r>
  <r>
    <d v="2023-05-17T00:00:00"/>
    <x v="9"/>
    <s v="Electronics"/>
    <s v="East"/>
    <n v="9"/>
    <n v="7272"/>
  </r>
  <r>
    <d v="2024-09-28T00:00:00"/>
    <x v="0"/>
    <s v="Office"/>
    <s v="North"/>
    <n v="6"/>
    <n v="5724"/>
  </r>
  <r>
    <d v="2022-05-07T00:00:00"/>
    <x v="4"/>
    <s v="Accessories"/>
    <s v="West"/>
    <n v="3"/>
    <n v="312"/>
  </r>
  <r>
    <d v="2023-05-18T00:00:00"/>
    <x v="9"/>
    <s v="Electronics"/>
    <s v="East"/>
    <n v="3"/>
    <n v="1947"/>
  </r>
  <r>
    <d v="2023-10-09T00:00:00"/>
    <x v="2"/>
    <s v="Electronics"/>
    <s v="North"/>
    <n v="6"/>
    <n v="1128"/>
  </r>
  <r>
    <d v="2023-03-05T00:00:00"/>
    <x v="9"/>
    <s v="Electronics"/>
    <s v="East"/>
    <n v="9"/>
    <n v="4158"/>
  </r>
  <r>
    <d v="2024-07-04T00:00:00"/>
    <x v="8"/>
    <s v="Accessories"/>
    <s v="East"/>
    <n v="6"/>
    <n v="2670"/>
  </r>
  <r>
    <d v="2024-05-31T00:00:00"/>
    <x v="4"/>
    <s v="Accessories"/>
    <s v="East"/>
    <n v="1"/>
    <n v="85"/>
  </r>
  <r>
    <d v="2023-12-10T00:00:00"/>
    <x v="1"/>
    <s v="Accessories"/>
    <s v="East"/>
    <n v="8"/>
    <n v="4136"/>
  </r>
  <r>
    <d v="2022-05-07T00:00:00"/>
    <x v="2"/>
    <s v="Electronics"/>
    <s v="North"/>
    <n v="6"/>
    <n v="4332"/>
  </r>
  <r>
    <d v="2024-07-01T00:00:00"/>
    <x v="6"/>
    <s v="Accessories"/>
    <s v="North"/>
    <n v="8"/>
    <n v="1600"/>
  </r>
  <r>
    <d v="2023-10-28T00:00:00"/>
    <x v="2"/>
    <s v="Electronics"/>
    <s v="East"/>
    <n v="7"/>
    <n v="5075"/>
  </r>
  <r>
    <d v="2022-07-27T00:00:00"/>
    <x v="2"/>
    <s v="Electronics"/>
    <s v="South"/>
    <n v="6"/>
    <n v="4152"/>
  </r>
  <r>
    <d v="2022-05-13T00:00:00"/>
    <x v="0"/>
    <s v="Office"/>
    <s v="East"/>
    <n v="7"/>
    <n v="5635"/>
  </r>
  <r>
    <d v="2022-09-16T00:00:00"/>
    <x v="5"/>
    <s v="Electronics"/>
    <s v="East"/>
    <n v="3"/>
    <n v="3108"/>
  </r>
  <r>
    <d v="2022-10-24T00:00:00"/>
    <x v="5"/>
    <s v="Electronics"/>
    <s v="South"/>
    <n v="7"/>
    <n v="4270"/>
  </r>
  <r>
    <d v="2023-02-15T00:00:00"/>
    <x v="6"/>
    <s v="Accessories"/>
    <s v="West"/>
    <n v="5"/>
    <n v="1350"/>
  </r>
  <r>
    <d v="2024-03-07T00:00:00"/>
    <x v="8"/>
    <s v="Accessories"/>
    <s v="East"/>
    <n v="3"/>
    <n v="330"/>
  </r>
  <r>
    <d v="2022-07-13T00:00:00"/>
    <x v="3"/>
    <s v="Electronics"/>
    <s v="South"/>
    <n v="6"/>
    <n v="4260"/>
  </r>
  <r>
    <d v="2022-07-31T00:00:00"/>
    <x v="4"/>
    <s v="Accessories"/>
    <s v="North"/>
    <n v="3"/>
    <n v="2712"/>
  </r>
  <r>
    <d v="2024-03-26T00:00:00"/>
    <x v="7"/>
    <s v="Electronics"/>
    <s v="West"/>
    <n v="1"/>
    <n v="328"/>
  </r>
  <r>
    <d v="2023-08-13T00:00:00"/>
    <x v="7"/>
    <s v="Electronics"/>
    <s v="West"/>
    <n v="8"/>
    <n v="7776"/>
  </r>
  <r>
    <d v="2022-05-08T00:00:00"/>
    <x v="9"/>
    <s v="Electronics"/>
    <s v="East"/>
    <n v="4"/>
    <n v="2896"/>
  </r>
  <r>
    <d v="2023-05-07T00:00:00"/>
    <x v="2"/>
    <s v="Electronics"/>
    <s v="North"/>
    <n v="2"/>
    <n v="1902"/>
  </r>
  <r>
    <d v="2022-01-29T00:00:00"/>
    <x v="5"/>
    <s v="Electronics"/>
    <s v="North"/>
    <n v="7"/>
    <n v="3255"/>
  </r>
  <r>
    <d v="2022-03-02T00:00:00"/>
    <x v="8"/>
    <s v="Accessories"/>
    <s v="North"/>
    <n v="3"/>
    <n v="633"/>
  </r>
  <r>
    <d v="2023-04-11T00:00:00"/>
    <x v="2"/>
    <s v="Electronics"/>
    <s v="East"/>
    <n v="7"/>
    <n v="6209"/>
  </r>
  <r>
    <d v="2023-05-09T00:00:00"/>
    <x v="5"/>
    <s v="Electronics"/>
    <s v="East"/>
    <n v="9"/>
    <n v="4698"/>
  </r>
  <r>
    <d v="2024-07-11T00:00:00"/>
    <x v="7"/>
    <s v="Electronics"/>
    <s v="West"/>
    <n v="8"/>
    <n v="7424"/>
  </r>
  <r>
    <d v="2022-01-26T00:00:00"/>
    <x v="0"/>
    <s v="Office"/>
    <s v="East"/>
    <n v="1"/>
    <n v="498"/>
  </r>
  <r>
    <d v="2023-08-30T00:00:00"/>
    <x v="4"/>
    <s v="Accessories"/>
    <s v="East"/>
    <n v="1"/>
    <n v="111"/>
  </r>
  <r>
    <d v="2023-08-18T00:00:00"/>
    <x v="9"/>
    <s v="Electronics"/>
    <s v="North"/>
    <n v="8"/>
    <n v="7520"/>
  </r>
  <r>
    <d v="2023-05-31T00:00:00"/>
    <x v="3"/>
    <s v="Electronics"/>
    <s v="South"/>
    <n v="1"/>
    <n v="182"/>
  </r>
  <r>
    <d v="2022-02-18T00:00:00"/>
    <x v="1"/>
    <s v="Accessories"/>
    <s v="West"/>
    <n v="5"/>
    <n v="5890"/>
  </r>
  <r>
    <d v="2024-07-17T00:00:00"/>
    <x v="9"/>
    <s v="Electronics"/>
    <s v="South"/>
    <n v="4"/>
    <n v="3244"/>
  </r>
  <r>
    <d v="2024-04-26T00:00:00"/>
    <x v="7"/>
    <s v="Electronics"/>
    <s v="South"/>
    <n v="7"/>
    <n v="5229"/>
  </r>
  <r>
    <d v="2022-10-19T00:00:00"/>
    <x v="5"/>
    <s v="Electronics"/>
    <s v="North"/>
    <n v="9"/>
    <n v="5202"/>
  </r>
  <r>
    <d v="2022-03-15T00:00:00"/>
    <x v="8"/>
    <s v="Accessories"/>
    <s v="West"/>
    <n v="3"/>
    <n v="438"/>
  </r>
  <r>
    <d v="2023-02-14T00:00:00"/>
    <x v="8"/>
    <s v="Accessories"/>
    <s v="East"/>
    <n v="6"/>
    <n v="6900"/>
  </r>
  <r>
    <d v="2022-09-11T00:00:00"/>
    <x v="2"/>
    <s v="Electronics"/>
    <s v="East"/>
    <n v="3"/>
    <n v="369"/>
  </r>
  <r>
    <d v="2024-01-17T00:00:00"/>
    <x v="9"/>
    <s v="Electronics"/>
    <s v="West"/>
    <n v="4"/>
    <n v="4140"/>
  </r>
  <r>
    <d v="2024-04-13T00:00:00"/>
    <x v="0"/>
    <s v="Office"/>
    <s v="South"/>
    <n v="3"/>
    <n v="1086"/>
  </r>
  <r>
    <d v="2023-03-03T00:00:00"/>
    <x v="1"/>
    <s v="Accessories"/>
    <s v="South"/>
    <n v="2"/>
    <n v="2134"/>
  </r>
  <r>
    <d v="2022-06-16T00:00:00"/>
    <x v="9"/>
    <s v="Electronics"/>
    <s v="North"/>
    <n v="6"/>
    <n v="5310"/>
  </r>
  <r>
    <d v="2023-08-20T00:00:00"/>
    <x v="4"/>
    <s v="Accessories"/>
    <s v="East"/>
    <n v="6"/>
    <n v="2748"/>
  </r>
  <r>
    <d v="2024-09-18T00:00:00"/>
    <x v="0"/>
    <s v="Office"/>
    <s v="South"/>
    <n v="9"/>
    <n v="3357"/>
  </r>
  <r>
    <d v="2023-01-28T00:00:00"/>
    <x v="5"/>
    <s v="Electronics"/>
    <s v="West"/>
    <n v="9"/>
    <n v="10206"/>
  </r>
  <r>
    <d v="2024-10-20T00:00:00"/>
    <x v="7"/>
    <s v="Electronics"/>
    <s v="South"/>
    <n v="6"/>
    <n v="2970"/>
  </r>
  <r>
    <d v="2022-05-18T00:00:00"/>
    <x v="1"/>
    <s v="Accessories"/>
    <s v="West"/>
    <n v="4"/>
    <n v="1208"/>
  </r>
  <r>
    <d v="2024-06-19T00:00:00"/>
    <x v="5"/>
    <s v="Electronics"/>
    <s v="South"/>
    <n v="3"/>
    <n v="945"/>
  </r>
  <r>
    <d v="2022-07-06T00:00:00"/>
    <x v="6"/>
    <s v="Accessories"/>
    <s v="East"/>
    <n v="8"/>
    <n v="7040"/>
  </r>
  <r>
    <d v="2023-11-22T00:00:00"/>
    <x v="7"/>
    <s v="Electronics"/>
    <s v="West"/>
    <n v="4"/>
    <n v="3684"/>
  </r>
  <r>
    <d v="2024-02-23T00:00:00"/>
    <x v="4"/>
    <s v="Accessories"/>
    <s v="East"/>
    <n v="2"/>
    <n v="1262"/>
  </r>
  <r>
    <d v="2022-06-24T00:00:00"/>
    <x v="1"/>
    <s v="Accessories"/>
    <s v="South"/>
    <n v="3"/>
    <n v="3504"/>
  </r>
  <r>
    <d v="2022-12-15T00:00:00"/>
    <x v="0"/>
    <s v="Office"/>
    <s v="East"/>
    <n v="6"/>
    <n v="4464"/>
  </r>
  <r>
    <d v="2024-04-02T00:00:00"/>
    <x v="9"/>
    <s v="Electronics"/>
    <s v="East"/>
    <n v="4"/>
    <n v="1324"/>
  </r>
  <r>
    <d v="2023-07-17T00:00:00"/>
    <x v="3"/>
    <s v="Electronics"/>
    <s v="East"/>
    <n v="6"/>
    <n v="4140"/>
  </r>
  <r>
    <d v="2024-04-03T00:00:00"/>
    <x v="1"/>
    <s v="Accessories"/>
    <s v="West"/>
    <n v="8"/>
    <n v="2384"/>
  </r>
  <r>
    <d v="2022-05-02T00:00:00"/>
    <x v="9"/>
    <s v="Electronics"/>
    <s v="West"/>
    <n v="8"/>
    <n v="4624"/>
  </r>
  <r>
    <d v="2023-12-13T00:00:00"/>
    <x v="5"/>
    <s v="Electronics"/>
    <s v="West"/>
    <n v="6"/>
    <n v="4812"/>
  </r>
  <r>
    <d v="2022-01-18T00:00:00"/>
    <x v="2"/>
    <s v="Electronics"/>
    <s v="North"/>
    <n v="6"/>
    <n v="5640"/>
  </r>
  <r>
    <d v="2022-09-23T00:00:00"/>
    <x v="5"/>
    <s v="Electronics"/>
    <s v="West"/>
    <n v="5"/>
    <n v="1840"/>
  </r>
  <r>
    <d v="2024-11-01T00:00:00"/>
    <x v="8"/>
    <s v="Accessories"/>
    <s v="North"/>
    <n v="7"/>
    <n v="8071"/>
  </r>
  <r>
    <d v="2022-10-25T00:00:00"/>
    <x v="8"/>
    <s v="Accessories"/>
    <s v="North"/>
    <n v="3"/>
    <n v="2400"/>
  </r>
  <r>
    <d v="2023-07-01T00:00:00"/>
    <x v="5"/>
    <s v="Electronics"/>
    <s v="East"/>
    <n v="6"/>
    <n v="3570"/>
  </r>
  <r>
    <d v="2022-03-27T00:00:00"/>
    <x v="9"/>
    <s v="Electronics"/>
    <s v="East"/>
    <n v="3"/>
    <n v="1758"/>
  </r>
  <r>
    <d v="2023-08-06T00:00:00"/>
    <x v="6"/>
    <s v="Accessories"/>
    <s v="North"/>
    <n v="4"/>
    <n v="3072"/>
  </r>
  <r>
    <d v="2023-08-16T00:00:00"/>
    <x v="1"/>
    <s v="Accessories"/>
    <s v="South"/>
    <n v="5"/>
    <n v="2185"/>
  </r>
  <r>
    <d v="2023-02-03T00:00:00"/>
    <x v="7"/>
    <s v="Electronics"/>
    <s v="North"/>
    <n v="8"/>
    <n v="7664"/>
  </r>
  <r>
    <d v="2024-03-13T00:00:00"/>
    <x v="4"/>
    <s v="Accessories"/>
    <s v="West"/>
    <n v="5"/>
    <n v="1710"/>
  </r>
  <r>
    <d v="2024-08-17T00:00:00"/>
    <x v="0"/>
    <s v="Office"/>
    <s v="South"/>
    <n v="2"/>
    <n v="1878"/>
  </r>
  <r>
    <d v="2023-07-22T00:00:00"/>
    <x v="2"/>
    <s v="Electronics"/>
    <s v="South"/>
    <n v="1"/>
    <n v="569"/>
  </r>
  <r>
    <d v="2023-04-05T00:00:00"/>
    <x v="5"/>
    <s v="Electronics"/>
    <s v="West"/>
    <n v="3"/>
    <n v="1488"/>
  </r>
  <r>
    <d v="2024-04-20T00:00:00"/>
    <x v="1"/>
    <s v="Accessories"/>
    <s v="West"/>
    <n v="9"/>
    <n v="9918"/>
  </r>
  <r>
    <d v="2022-12-19T00:00:00"/>
    <x v="5"/>
    <s v="Electronics"/>
    <s v="South"/>
    <n v="3"/>
    <n v="432"/>
  </r>
  <r>
    <d v="2023-09-18T00:00:00"/>
    <x v="2"/>
    <s v="Electronics"/>
    <s v="East"/>
    <n v="9"/>
    <n v="9828"/>
  </r>
  <r>
    <d v="2024-12-28T00:00:00"/>
    <x v="5"/>
    <s v="Electronics"/>
    <s v="North"/>
    <n v="5"/>
    <n v="3625"/>
  </r>
  <r>
    <d v="2022-05-17T00:00:00"/>
    <x v="5"/>
    <s v="Electronics"/>
    <s v="South"/>
    <n v="3"/>
    <n v="2187"/>
  </r>
  <r>
    <d v="2023-10-24T00:00:00"/>
    <x v="6"/>
    <s v="Accessories"/>
    <s v="South"/>
    <n v="5"/>
    <n v="5105"/>
  </r>
  <r>
    <d v="2022-12-09T00:00:00"/>
    <x v="4"/>
    <s v="Accessories"/>
    <s v="South"/>
    <n v="3"/>
    <n v="1392"/>
  </r>
  <r>
    <d v="2022-11-07T00:00:00"/>
    <x v="7"/>
    <s v="Electronics"/>
    <s v="North"/>
    <n v="2"/>
    <n v="744"/>
  </r>
  <r>
    <d v="2023-06-05T00:00:00"/>
    <x v="5"/>
    <s v="Electronics"/>
    <s v="South"/>
    <n v="4"/>
    <n v="1724"/>
  </r>
  <r>
    <d v="2023-10-26T00:00:00"/>
    <x v="1"/>
    <s v="Accessories"/>
    <s v="West"/>
    <n v="5"/>
    <n v="1940"/>
  </r>
  <r>
    <d v="2023-07-28T00:00:00"/>
    <x v="1"/>
    <s v="Accessories"/>
    <s v="South"/>
    <n v="4"/>
    <n v="356"/>
  </r>
  <r>
    <d v="2023-05-26T00:00:00"/>
    <x v="6"/>
    <s v="Accessories"/>
    <s v="West"/>
    <n v="5"/>
    <n v="1095"/>
  </r>
  <r>
    <d v="2022-12-07T00:00:00"/>
    <x v="2"/>
    <s v="Electronics"/>
    <s v="North"/>
    <n v="8"/>
    <n v="4064"/>
  </r>
  <r>
    <d v="2024-11-20T00:00:00"/>
    <x v="5"/>
    <s v="Electronics"/>
    <s v="West"/>
    <n v="7"/>
    <n v="5453"/>
  </r>
  <r>
    <d v="2024-03-31T00:00:00"/>
    <x v="6"/>
    <s v="Accessories"/>
    <s v="South"/>
    <n v="8"/>
    <n v="7104"/>
  </r>
  <r>
    <d v="2024-04-17T00:00:00"/>
    <x v="8"/>
    <s v="Accessories"/>
    <s v="East"/>
    <n v="9"/>
    <n v="2745"/>
  </r>
  <r>
    <d v="2024-05-06T00:00:00"/>
    <x v="3"/>
    <s v="Electronics"/>
    <s v="North"/>
    <n v="5"/>
    <n v="1030"/>
  </r>
  <r>
    <d v="2023-02-25T00:00:00"/>
    <x v="2"/>
    <s v="Electronics"/>
    <s v="North"/>
    <n v="9"/>
    <n v="8973"/>
  </r>
  <r>
    <d v="2022-12-14T00:00:00"/>
    <x v="8"/>
    <s v="Accessories"/>
    <s v="North"/>
    <n v="2"/>
    <n v="794"/>
  </r>
  <r>
    <d v="2023-12-20T00:00:00"/>
    <x v="0"/>
    <s v="Office"/>
    <s v="South"/>
    <n v="6"/>
    <n v="2142"/>
  </r>
  <r>
    <d v="2023-10-13T00:00:00"/>
    <x v="4"/>
    <s v="Accessories"/>
    <s v="East"/>
    <n v="2"/>
    <n v="414"/>
  </r>
  <r>
    <d v="2023-06-14T00:00:00"/>
    <x v="2"/>
    <s v="Electronics"/>
    <s v="North"/>
    <n v="3"/>
    <n v="1416"/>
  </r>
  <r>
    <d v="2022-04-02T00:00:00"/>
    <x v="2"/>
    <s v="Electronics"/>
    <s v="South"/>
    <n v="3"/>
    <n v="2103"/>
  </r>
  <r>
    <d v="2024-06-20T00:00:00"/>
    <x v="3"/>
    <s v="Electronics"/>
    <s v="West"/>
    <n v="3"/>
    <n v="861"/>
  </r>
  <r>
    <d v="2024-05-19T00:00:00"/>
    <x v="4"/>
    <s v="Accessories"/>
    <s v="West"/>
    <n v="3"/>
    <n v="2367"/>
  </r>
  <r>
    <d v="2023-01-16T00:00:00"/>
    <x v="2"/>
    <s v="Electronics"/>
    <s v="South"/>
    <n v="5"/>
    <n v="2435"/>
  </r>
  <r>
    <d v="2023-05-07T00:00:00"/>
    <x v="0"/>
    <s v="Office"/>
    <s v="South"/>
    <n v="4"/>
    <n v="2456"/>
  </r>
  <r>
    <d v="2023-07-01T00:00:00"/>
    <x v="9"/>
    <s v="Electronics"/>
    <s v="East"/>
    <n v="4"/>
    <n v="3216"/>
  </r>
  <r>
    <d v="2024-07-25T00:00:00"/>
    <x v="5"/>
    <s v="Electronics"/>
    <s v="East"/>
    <n v="4"/>
    <n v="4324"/>
  </r>
  <r>
    <d v="2023-09-27T00:00:00"/>
    <x v="1"/>
    <s v="Accessories"/>
    <s v="South"/>
    <n v="4"/>
    <n v="2628"/>
  </r>
  <r>
    <d v="2023-08-12T00:00:00"/>
    <x v="8"/>
    <s v="Accessories"/>
    <s v="West"/>
    <n v="8"/>
    <n v="8992"/>
  </r>
  <r>
    <d v="2024-07-24T00:00:00"/>
    <x v="9"/>
    <s v="Electronics"/>
    <s v="West"/>
    <n v="6"/>
    <n v="360"/>
  </r>
  <r>
    <d v="2022-07-26T00:00:00"/>
    <x v="2"/>
    <s v="Electronics"/>
    <s v="South"/>
    <n v="3"/>
    <n v="2067"/>
  </r>
  <r>
    <d v="2024-12-03T00:00:00"/>
    <x v="1"/>
    <s v="Accessories"/>
    <s v="South"/>
    <n v="9"/>
    <n v="3573"/>
  </r>
  <r>
    <d v="2023-08-15T00:00:00"/>
    <x v="9"/>
    <s v="Electronics"/>
    <s v="South"/>
    <n v="8"/>
    <n v="1800"/>
  </r>
  <r>
    <d v="2023-11-28T00:00:00"/>
    <x v="0"/>
    <s v="Office"/>
    <s v="South"/>
    <n v="8"/>
    <n v="3912"/>
  </r>
  <r>
    <d v="2022-08-03T00:00:00"/>
    <x v="4"/>
    <s v="Accessories"/>
    <s v="North"/>
    <n v="8"/>
    <n v="5640"/>
  </r>
  <r>
    <d v="2022-09-02T00:00:00"/>
    <x v="2"/>
    <s v="Electronics"/>
    <s v="South"/>
    <n v="1"/>
    <n v="552"/>
  </r>
  <r>
    <d v="2022-04-25T00:00:00"/>
    <x v="1"/>
    <s v="Accessories"/>
    <s v="South"/>
    <n v="7"/>
    <n v="1428"/>
  </r>
  <r>
    <d v="2022-01-12T00:00:00"/>
    <x v="0"/>
    <s v="Office"/>
    <s v="West"/>
    <n v="1"/>
    <n v="349"/>
  </r>
  <r>
    <d v="2022-10-30T00:00:00"/>
    <x v="2"/>
    <s v="Electronics"/>
    <s v="North"/>
    <n v="6"/>
    <n v="6402"/>
  </r>
  <r>
    <d v="2023-06-09T00:00:00"/>
    <x v="6"/>
    <s v="Accessories"/>
    <s v="East"/>
    <n v="9"/>
    <n v="657"/>
  </r>
  <r>
    <d v="2023-01-13T00:00:00"/>
    <x v="1"/>
    <s v="Accessories"/>
    <s v="West"/>
    <n v="7"/>
    <n v="5327"/>
  </r>
  <r>
    <d v="2024-01-27T00:00:00"/>
    <x v="8"/>
    <s v="Accessories"/>
    <s v="North"/>
    <n v="4"/>
    <n v="4196"/>
  </r>
  <r>
    <d v="2023-11-04T00:00:00"/>
    <x v="9"/>
    <s v="Electronics"/>
    <s v="East"/>
    <n v="4"/>
    <n v="2892"/>
  </r>
  <r>
    <d v="2024-08-07T00:00:00"/>
    <x v="9"/>
    <s v="Electronics"/>
    <s v="West"/>
    <n v="9"/>
    <n v="2772"/>
  </r>
  <r>
    <d v="2024-07-13T00:00:00"/>
    <x v="5"/>
    <s v="Electronics"/>
    <s v="North"/>
    <n v="6"/>
    <n v="4692"/>
  </r>
  <r>
    <d v="2022-12-07T00:00:00"/>
    <x v="1"/>
    <s v="Accessories"/>
    <s v="East"/>
    <n v="6"/>
    <n v="2742"/>
  </r>
  <r>
    <d v="2023-01-16T00:00:00"/>
    <x v="7"/>
    <s v="Electronics"/>
    <s v="North"/>
    <n v="8"/>
    <n v="8896"/>
  </r>
  <r>
    <d v="2022-11-21T00:00:00"/>
    <x v="1"/>
    <s v="Accessories"/>
    <s v="North"/>
    <n v="2"/>
    <n v="2344"/>
  </r>
  <r>
    <d v="2022-01-26T00:00:00"/>
    <x v="4"/>
    <s v="Accessories"/>
    <s v="South"/>
    <n v="7"/>
    <n v="4186"/>
  </r>
  <r>
    <d v="2024-11-14T00:00:00"/>
    <x v="2"/>
    <s v="Electronics"/>
    <s v="East"/>
    <n v="9"/>
    <n v="5238"/>
  </r>
  <r>
    <d v="2022-10-20T00:00:00"/>
    <x v="1"/>
    <s v="Accessories"/>
    <s v="North"/>
    <n v="3"/>
    <n v="2982"/>
  </r>
  <r>
    <d v="2024-05-14T00:00:00"/>
    <x v="5"/>
    <s v="Electronics"/>
    <s v="West"/>
    <n v="4"/>
    <n v="2580"/>
  </r>
  <r>
    <d v="2024-01-17T00:00:00"/>
    <x v="8"/>
    <s v="Accessories"/>
    <s v="West"/>
    <n v="5"/>
    <n v="2675"/>
  </r>
  <r>
    <d v="2024-07-30T00:00:00"/>
    <x v="0"/>
    <s v="Office"/>
    <s v="East"/>
    <n v="4"/>
    <n v="2396"/>
  </r>
  <r>
    <d v="2024-09-30T00:00:00"/>
    <x v="9"/>
    <s v="Electronics"/>
    <s v="West"/>
    <n v="5"/>
    <n v="1600"/>
  </r>
  <r>
    <d v="2023-09-09T00:00:00"/>
    <x v="5"/>
    <s v="Electronics"/>
    <s v="North"/>
    <n v="4"/>
    <n v="304"/>
  </r>
  <r>
    <d v="2024-05-24T00:00:00"/>
    <x v="8"/>
    <s v="Accessories"/>
    <s v="East"/>
    <n v="9"/>
    <n v="2070"/>
  </r>
  <r>
    <d v="2022-09-12T00:00:00"/>
    <x v="0"/>
    <s v="Office"/>
    <s v="North"/>
    <n v="5"/>
    <n v="1230"/>
  </r>
  <r>
    <d v="2023-05-29T00:00:00"/>
    <x v="3"/>
    <s v="Electronics"/>
    <s v="South"/>
    <n v="6"/>
    <n v="6234"/>
  </r>
  <r>
    <d v="2024-01-27T00:00:00"/>
    <x v="4"/>
    <s v="Accessories"/>
    <s v="South"/>
    <n v="2"/>
    <n v="396"/>
  </r>
  <r>
    <d v="2023-08-17T00:00:00"/>
    <x v="1"/>
    <s v="Accessories"/>
    <s v="East"/>
    <n v="9"/>
    <n v="2349"/>
  </r>
  <r>
    <d v="2023-07-15T00:00:00"/>
    <x v="4"/>
    <s v="Accessories"/>
    <s v="North"/>
    <n v="9"/>
    <n v="5949"/>
  </r>
  <r>
    <d v="2022-01-15T00:00:00"/>
    <x v="0"/>
    <s v="Office"/>
    <s v="East"/>
    <n v="7"/>
    <n v="5957"/>
  </r>
  <r>
    <d v="2024-12-04T00:00:00"/>
    <x v="4"/>
    <s v="Accessories"/>
    <s v="East"/>
    <n v="3"/>
    <n v="1989"/>
  </r>
  <r>
    <d v="2024-11-19T00:00:00"/>
    <x v="1"/>
    <s v="Accessories"/>
    <s v="South"/>
    <n v="1"/>
    <n v="1138"/>
  </r>
  <r>
    <d v="2022-04-15T00:00:00"/>
    <x v="2"/>
    <s v="Electronics"/>
    <s v="West"/>
    <n v="9"/>
    <n v="3321"/>
  </r>
  <r>
    <d v="2023-10-03T00:00:00"/>
    <x v="3"/>
    <s v="Electronics"/>
    <s v="South"/>
    <n v="4"/>
    <n v="4480"/>
  </r>
  <r>
    <d v="2023-02-14T00:00:00"/>
    <x v="5"/>
    <s v="Electronics"/>
    <s v="East"/>
    <n v="3"/>
    <n v="1533"/>
  </r>
  <r>
    <d v="2024-02-10T00:00:00"/>
    <x v="1"/>
    <s v="Accessories"/>
    <s v="East"/>
    <n v="1"/>
    <n v="109"/>
  </r>
  <r>
    <d v="2024-04-07T00:00:00"/>
    <x v="7"/>
    <s v="Electronics"/>
    <s v="South"/>
    <n v="4"/>
    <n v="2380"/>
  </r>
  <r>
    <d v="2022-08-22T00:00:00"/>
    <x v="0"/>
    <s v="Office"/>
    <s v="South"/>
    <n v="8"/>
    <n v="2592"/>
  </r>
  <r>
    <d v="2023-12-08T00:00:00"/>
    <x v="9"/>
    <s v="Electronics"/>
    <s v="East"/>
    <n v="6"/>
    <n v="5112"/>
  </r>
  <r>
    <d v="2023-04-02T00:00:00"/>
    <x v="5"/>
    <s v="Electronics"/>
    <s v="North"/>
    <n v="8"/>
    <n v="9392"/>
  </r>
  <r>
    <d v="2024-10-21T00:00:00"/>
    <x v="9"/>
    <s v="Electronics"/>
    <s v="West"/>
    <n v="2"/>
    <n v="2386"/>
  </r>
  <r>
    <d v="2024-12-03T00:00:00"/>
    <x v="5"/>
    <s v="Electronics"/>
    <s v="South"/>
    <n v="5"/>
    <n v="465"/>
  </r>
  <r>
    <d v="2023-04-19T00:00:00"/>
    <x v="7"/>
    <s v="Electronics"/>
    <s v="West"/>
    <n v="2"/>
    <n v="604"/>
  </r>
  <r>
    <d v="2022-10-02T00:00:00"/>
    <x v="5"/>
    <s v="Electronics"/>
    <s v="East"/>
    <n v="2"/>
    <n v="2216"/>
  </r>
  <r>
    <d v="2023-06-06T00:00:00"/>
    <x v="1"/>
    <s v="Accessories"/>
    <s v="East"/>
    <n v="4"/>
    <n v="1168"/>
  </r>
  <r>
    <d v="2022-01-26T00:00:00"/>
    <x v="6"/>
    <s v="Accessories"/>
    <s v="South"/>
    <n v="7"/>
    <n v="4088"/>
  </r>
  <r>
    <d v="2022-02-24T00:00:00"/>
    <x v="8"/>
    <s v="Accessories"/>
    <s v="West"/>
    <n v="7"/>
    <n v="2597"/>
  </r>
  <r>
    <d v="2023-08-22T00:00:00"/>
    <x v="5"/>
    <s v="Electronics"/>
    <s v="West"/>
    <n v="3"/>
    <n v="2151"/>
  </r>
  <r>
    <d v="2024-09-08T00:00:00"/>
    <x v="9"/>
    <s v="Electronics"/>
    <s v="East"/>
    <n v="6"/>
    <n v="462"/>
  </r>
  <r>
    <d v="2022-10-23T00:00:00"/>
    <x v="1"/>
    <s v="Accessories"/>
    <s v="North"/>
    <n v="7"/>
    <n v="5957"/>
  </r>
  <r>
    <d v="2023-12-13T00:00:00"/>
    <x v="7"/>
    <s v="Electronics"/>
    <s v="West"/>
    <n v="6"/>
    <n v="6978"/>
  </r>
  <r>
    <d v="2024-10-20T00:00:00"/>
    <x v="4"/>
    <s v="Accessories"/>
    <s v="South"/>
    <n v="1"/>
    <n v="282"/>
  </r>
  <r>
    <d v="2023-12-05T00:00:00"/>
    <x v="3"/>
    <s v="Electronics"/>
    <s v="East"/>
    <n v="1"/>
    <n v="157"/>
  </r>
  <r>
    <d v="2023-07-14T00:00:00"/>
    <x v="6"/>
    <s v="Accessories"/>
    <s v="North"/>
    <n v="8"/>
    <n v="3304"/>
  </r>
  <r>
    <d v="2022-02-13T00:00:00"/>
    <x v="4"/>
    <s v="Accessories"/>
    <s v="North"/>
    <n v="3"/>
    <n v="3051"/>
  </r>
  <r>
    <d v="2024-06-16T00:00:00"/>
    <x v="1"/>
    <s v="Accessories"/>
    <s v="East"/>
    <n v="9"/>
    <n v="8082"/>
  </r>
  <r>
    <d v="2024-10-14T00:00:00"/>
    <x v="9"/>
    <s v="Electronics"/>
    <s v="West"/>
    <n v="3"/>
    <n v="510"/>
  </r>
  <r>
    <d v="2024-04-20T00:00:00"/>
    <x v="2"/>
    <s v="Electronics"/>
    <s v="East"/>
    <n v="8"/>
    <n v="3976"/>
  </r>
  <r>
    <d v="2023-12-26T00:00:00"/>
    <x v="7"/>
    <s v="Electronics"/>
    <s v="East"/>
    <n v="9"/>
    <n v="828"/>
  </r>
  <r>
    <d v="2023-04-05T00:00:00"/>
    <x v="4"/>
    <s v="Accessories"/>
    <s v="West"/>
    <n v="7"/>
    <n v="2457"/>
  </r>
  <r>
    <d v="2023-08-02T00:00:00"/>
    <x v="3"/>
    <s v="Electronics"/>
    <s v="North"/>
    <n v="4"/>
    <n v="3924"/>
  </r>
  <r>
    <d v="2022-11-30T00:00:00"/>
    <x v="4"/>
    <s v="Accessories"/>
    <s v="West"/>
    <n v="2"/>
    <n v="2018"/>
  </r>
  <r>
    <d v="2024-09-08T00:00:00"/>
    <x v="6"/>
    <s v="Accessories"/>
    <s v="West"/>
    <n v="3"/>
    <n v="2043"/>
  </r>
  <r>
    <d v="2024-06-07T00:00:00"/>
    <x v="0"/>
    <s v="Office"/>
    <s v="West"/>
    <n v="5"/>
    <n v="1035"/>
  </r>
  <r>
    <d v="2023-08-12T00:00:00"/>
    <x v="5"/>
    <s v="Electronics"/>
    <s v="North"/>
    <n v="6"/>
    <n v="2724"/>
  </r>
  <r>
    <d v="2023-05-02T00:00:00"/>
    <x v="3"/>
    <s v="Electronics"/>
    <s v="East"/>
    <n v="1"/>
    <n v="1120"/>
  </r>
  <r>
    <d v="2024-10-26T00:00:00"/>
    <x v="6"/>
    <s v="Accessories"/>
    <s v="North"/>
    <n v="6"/>
    <n v="3438"/>
  </r>
  <r>
    <d v="2022-09-27T00:00:00"/>
    <x v="5"/>
    <s v="Electronics"/>
    <s v="West"/>
    <n v="5"/>
    <n v="3170"/>
  </r>
  <r>
    <d v="2023-06-25T00:00:00"/>
    <x v="5"/>
    <s v="Electronics"/>
    <s v="East"/>
    <n v="4"/>
    <n v="660"/>
  </r>
  <r>
    <d v="2022-11-05T00:00:00"/>
    <x v="2"/>
    <s v="Electronics"/>
    <s v="East"/>
    <n v="7"/>
    <n v="4669"/>
  </r>
  <r>
    <d v="2022-08-12T00:00:00"/>
    <x v="5"/>
    <s v="Electronics"/>
    <s v="West"/>
    <n v="5"/>
    <n v="1045"/>
  </r>
  <r>
    <d v="2022-02-27T00:00:00"/>
    <x v="8"/>
    <s v="Accessories"/>
    <s v="North"/>
    <n v="4"/>
    <n v="2724"/>
  </r>
  <r>
    <d v="2023-09-14T00:00:00"/>
    <x v="4"/>
    <s v="Accessories"/>
    <s v="West"/>
    <n v="8"/>
    <n v="5312"/>
  </r>
  <r>
    <d v="2024-11-23T00:00:00"/>
    <x v="2"/>
    <s v="Electronics"/>
    <s v="West"/>
    <n v="4"/>
    <n v="4252"/>
  </r>
  <r>
    <d v="2024-10-09T00:00:00"/>
    <x v="0"/>
    <s v="Office"/>
    <s v="East"/>
    <n v="7"/>
    <n v="8057"/>
  </r>
  <r>
    <d v="2023-06-20T00:00:00"/>
    <x v="8"/>
    <s v="Accessories"/>
    <s v="South"/>
    <n v="7"/>
    <n v="2023"/>
  </r>
  <r>
    <d v="2024-03-16T00:00:00"/>
    <x v="6"/>
    <s v="Accessories"/>
    <s v="South"/>
    <n v="8"/>
    <n v="9416"/>
  </r>
  <r>
    <d v="2023-11-27T00:00:00"/>
    <x v="6"/>
    <s v="Accessories"/>
    <s v="East"/>
    <n v="8"/>
    <n v="7560"/>
  </r>
  <r>
    <d v="2023-01-08T00:00:00"/>
    <x v="6"/>
    <s v="Accessories"/>
    <s v="West"/>
    <n v="2"/>
    <n v="828"/>
  </r>
  <r>
    <d v="2023-12-07T00:00:00"/>
    <x v="1"/>
    <s v="Accessories"/>
    <s v="West"/>
    <n v="1"/>
    <n v="527"/>
  </r>
  <r>
    <d v="2022-09-11T00:00:00"/>
    <x v="8"/>
    <s v="Accessories"/>
    <s v="North"/>
    <n v="2"/>
    <n v="1160"/>
  </r>
  <r>
    <d v="2022-03-29T00:00:00"/>
    <x v="1"/>
    <s v="Accessories"/>
    <s v="West"/>
    <n v="5"/>
    <n v="5430"/>
  </r>
  <r>
    <d v="2024-01-15T00:00:00"/>
    <x v="2"/>
    <s v="Electronics"/>
    <s v="South"/>
    <n v="7"/>
    <n v="6874"/>
  </r>
  <r>
    <d v="2023-07-12T00:00:00"/>
    <x v="0"/>
    <s v="Office"/>
    <s v="East"/>
    <n v="8"/>
    <n v="8952"/>
  </r>
  <r>
    <d v="2022-06-06T00:00:00"/>
    <x v="1"/>
    <s v="Accessories"/>
    <s v="East"/>
    <n v="8"/>
    <n v="416"/>
  </r>
  <r>
    <d v="2023-11-18T00:00:00"/>
    <x v="7"/>
    <s v="Electronics"/>
    <s v="South"/>
    <n v="3"/>
    <n v="1680"/>
  </r>
  <r>
    <d v="2022-08-27T00:00:00"/>
    <x v="1"/>
    <s v="Accessories"/>
    <s v="South"/>
    <n v="7"/>
    <n v="4340"/>
  </r>
  <r>
    <d v="2022-01-16T00:00:00"/>
    <x v="9"/>
    <s v="Electronics"/>
    <s v="West"/>
    <n v="9"/>
    <n v="7650"/>
  </r>
  <r>
    <d v="2024-04-03T00:00:00"/>
    <x v="5"/>
    <s v="Electronics"/>
    <s v="West"/>
    <n v="8"/>
    <n v="6328"/>
  </r>
  <r>
    <d v="2022-08-19T00:00:00"/>
    <x v="8"/>
    <s v="Accessories"/>
    <s v="West"/>
    <n v="2"/>
    <n v="1312"/>
  </r>
  <r>
    <d v="2022-01-21T00:00:00"/>
    <x v="3"/>
    <s v="Electronics"/>
    <s v="East"/>
    <n v="9"/>
    <n v="8055"/>
  </r>
  <r>
    <d v="2022-03-19T00:00:00"/>
    <x v="3"/>
    <s v="Electronics"/>
    <s v="South"/>
    <n v="2"/>
    <n v="840"/>
  </r>
  <r>
    <d v="2023-03-16T00:00:00"/>
    <x v="2"/>
    <s v="Electronics"/>
    <s v="South"/>
    <n v="9"/>
    <n v="9423"/>
  </r>
  <r>
    <d v="2023-12-30T00:00:00"/>
    <x v="6"/>
    <s v="Accessories"/>
    <s v="North"/>
    <n v="8"/>
    <n v="6520"/>
  </r>
  <r>
    <d v="2022-10-20T00:00:00"/>
    <x v="9"/>
    <s v="Electronics"/>
    <s v="North"/>
    <n v="3"/>
    <n v="1950"/>
  </r>
  <r>
    <d v="2023-10-16T00:00:00"/>
    <x v="3"/>
    <s v="Electronics"/>
    <s v="South"/>
    <n v="6"/>
    <n v="5928"/>
  </r>
  <r>
    <d v="2023-07-29T00:00:00"/>
    <x v="3"/>
    <s v="Electronics"/>
    <s v="South"/>
    <n v="7"/>
    <n v="4809"/>
  </r>
  <r>
    <d v="2023-06-04T00:00:00"/>
    <x v="7"/>
    <s v="Electronics"/>
    <s v="West"/>
    <n v="4"/>
    <n v="356"/>
  </r>
  <r>
    <d v="2023-04-28T00:00:00"/>
    <x v="9"/>
    <s v="Electronics"/>
    <s v="South"/>
    <n v="2"/>
    <n v="570"/>
  </r>
  <r>
    <d v="2022-05-13T00:00:00"/>
    <x v="6"/>
    <s v="Accessories"/>
    <s v="East"/>
    <n v="7"/>
    <n v="7791"/>
  </r>
  <r>
    <d v="2024-05-10T00:00:00"/>
    <x v="5"/>
    <s v="Electronics"/>
    <s v="East"/>
    <n v="4"/>
    <n v="4168"/>
  </r>
  <r>
    <d v="2023-08-21T00:00:00"/>
    <x v="2"/>
    <s v="Electronics"/>
    <s v="North"/>
    <n v="2"/>
    <n v="684"/>
  </r>
  <r>
    <d v="2024-01-05T00:00:00"/>
    <x v="7"/>
    <s v="Electronics"/>
    <s v="East"/>
    <n v="7"/>
    <n v="3857"/>
  </r>
  <r>
    <d v="2024-09-07T00:00:00"/>
    <x v="3"/>
    <s v="Electronics"/>
    <s v="North"/>
    <n v="5"/>
    <n v="3250"/>
  </r>
  <r>
    <d v="2023-08-03T00:00:00"/>
    <x v="0"/>
    <s v="Office"/>
    <s v="North"/>
    <n v="6"/>
    <n v="1194"/>
  </r>
  <r>
    <d v="2023-05-07T00:00:00"/>
    <x v="9"/>
    <s v="Electronics"/>
    <s v="West"/>
    <n v="6"/>
    <n v="3486"/>
  </r>
  <r>
    <d v="2022-08-05T00:00:00"/>
    <x v="6"/>
    <s v="Accessories"/>
    <s v="West"/>
    <n v="7"/>
    <n v="1554"/>
  </r>
  <r>
    <d v="2024-07-19T00:00:00"/>
    <x v="5"/>
    <s v="Electronics"/>
    <s v="North"/>
    <n v="3"/>
    <n v="2601"/>
  </r>
  <r>
    <d v="2022-11-15T00:00:00"/>
    <x v="4"/>
    <s v="Accessories"/>
    <s v="West"/>
    <n v="4"/>
    <n v="3616"/>
  </r>
  <r>
    <d v="2023-02-01T00:00:00"/>
    <x v="1"/>
    <s v="Accessories"/>
    <s v="West"/>
    <n v="5"/>
    <n v="3350"/>
  </r>
  <r>
    <d v="2023-12-20T00:00:00"/>
    <x v="5"/>
    <s v="Electronics"/>
    <s v="South"/>
    <n v="5"/>
    <n v="2545"/>
  </r>
  <r>
    <d v="2024-08-26T00:00:00"/>
    <x v="6"/>
    <s v="Accessories"/>
    <s v="East"/>
    <n v="1"/>
    <n v="545"/>
  </r>
  <r>
    <d v="2023-12-19T00:00:00"/>
    <x v="1"/>
    <s v="Accessories"/>
    <s v="North"/>
    <n v="7"/>
    <n v="1470"/>
  </r>
  <r>
    <d v="2023-11-30T00:00:00"/>
    <x v="3"/>
    <s v="Electronics"/>
    <s v="South"/>
    <n v="3"/>
    <n v="3126"/>
  </r>
  <r>
    <d v="2024-12-27T00:00:00"/>
    <x v="9"/>
    <s v="Electronics"/>
    <s v="West"/>
    <n v="3"/>
    <n v="1368"/>
  </r>
  <r>
    <d v="2024-12-21T00:00:00"/>
    <x v="4"/>
    <s v="Accessories"/>
    <s v="East"/>
    <n v="9"/>
    <n v="7083"/>
  </r>
  <r>
    <d v="2024-01-28T00:00:00"/>
    <x v="0"/>
    <s v="Office"/>
    <s v="East"/>
    <n v="2"/>
    <n v="1994"/>
  </r>
  <r>
    <d v="2022-09-03T00:00:00"/>
    <x v="3"/>
    <s v="Electronics"/>
    <s v="North"/>
    <n v="4"/>
    <n v="4716"/>
  </r>
  <r>
    <d v="2024-02-29T00:00:00"/>
    <x v="6"/>
    <s v="Accessories"/>
    <s v="South"/>
    <n v="1"/>
    <n v="975"/>
  </r>
  <r>
    <d v="2023-04-21T00:00:00"/>
    <x v="7"/>
    <s v="Electronics"/>
    <s v="West"/>
    <n v="9"/>
    <n v="9891"/>
  </r>
  <r>
    <d v="2024-05-24T00:00:00"/>
    <x v="5"/>
    <s v="Electronics"/>
    <s v="South"/>
    <n v="2"/>
    <n v="626"/>
  </r>
  <r>
    <d v="2024-05-19T00:00:00"/>
    <x v="6"/>
    <s v="Accessories"/>
    <s v="East"/>
    <n v="8"/>
    <n v="5632"/>
  </r>
  <r>
    <d v="2024-09-10T00:00:00"/>
    <x v="0"/>
    <s v="Office"/>
    <s v="West"/>
    <n v="3"/>
    <n v="2568"/>
  </r>
  <r>
    <d v="2023-09-12T00:00:00"/>
    <x v="2"/>
    <s v="Electronics"/>
    <s v="East"/>
    <n v="7"/>
    <n v="5285"/>
  </r>
  <r>
    <d v="2023-11-08T00:00:00"/>
    <x v="3"/>
    <s v="Electronics"/>
    <s v="East"/>
    <n v="2"/>
    <n v="516"/>
  </r>
  <r>
    <d v="2022-05-31T00:00:00"/>
    <x v="6"/>
    <s v="Accessories"/>
    <s v="East"/>
    <n v="3"/>
    <n v="2139"/>
  </r>
  <r>
    <d v="2023-01-05T00:00:00"/>
    <x v="9"/>
    <s v="Electronics"/>
    <s v="East"/>
    <n v="9"/>
    <n v="8136"/>
  </r>
  <r>
    <d v="2024-10-25T00:00:00"/>
    <x v="9"/>
    <s v="Electronics"/>
    <s v="West"/>
    <n v="5"/>
    <n v="2130"/>
  </r>
  <r>
    <d v="2024-04-01T00:00:00"/>
    <x v="4"/>
    <s v="Accessories"/>
    <s v="South"/>
    <n v="5"/>
    <n v="3445"/>
  </r>
  <r>
    <d v="2024-12-16T00:00:00"/>
    <x v="2"/>
    <s v="Electronics"/>
    <s v="East"/>
    <n v="8"/>
    <n v="5376"/>
  </r>
  <r>
    <d v="2023-08-05T00:00:00"/>
    <x v="0"/>
    <s v="Office"/>
    <s v="West"/>
    <n v="6"/>
    <n v="3006"/>
  </r>
  <r>
    <d v="2022-12-31T00:00:00"/>
    <x v="4"/>
    <s v="Accessories"/>
    <s v="North"/>
    <n v="7"/>
    <n v="3941"/>
  </r>
  <r>
    <d v="2023-03-10T00:00:00"/>
    <x v="6"/>
    <s v="Accessories"/>
    <s v="North"/>
    <n v="5"/>
    <n v="3350"/>
  </r>
  <r>
    <d v="2024-05-05T00:00:00"/>
    <x v="0"/>
    <s v="Office"/>
    <s v="South"/>
    <n v="3"/>
    <n v="2019"/>
  </r>
  <r>
    <d v="2022-06-09T00:00:00"/>
    <x v="4"/>
    <s v="Accessories"/>
    <s v="North"/>
    <n v="8"/>
    <n v="2416"/>
  </r>
  <r>
    <d v="2022-05-13T00:00:00"/>
    <x v="6"/>
    <s v="Accessories"/>
    <s v="West"/>
    <n v="8"/>
    <n v="6160"/>
  </r>
  <r>
    <d v="2022-04-07T00:00:00"/>
    <x v="0"/>
    <s v="Office"/>
    <s v="East"/>
    <n v="4"/>
    <n v="2796"/>
  </r>
  <r>
    <d v="2024-12-19T00:00:00"/>
    <x v="5"/>
    <s v="Electronics"/>
    <s v="South"/>
    <n v="7"/>
    <n v="7700"/>
  </r>
  <r>
    <d v="2024-06-17T00:00:00"/>
    <x v="5"/>
    <s v="Electronics"/>
    <s v="West"/>
    <n v="5"/>
    <n v="2095"/>
  </r>
  <r>
    <d v="2024-09-25T00:00:00"/>
    <x v="3"/>
    <s v="Electronics"/>
    <s v="North"/>
    <n v="5"/>
    <n v="5990"/>
  </r>
  <r>
    <d v="2024-12-27T00:00:00"/>
    <x v="5"/>
    <s v="Electronics"/>
    <s v="North"/>
    <n v="2"/>
    <n v="1206"/>
  </r>
  <r>
    <d v="2024-03-15T00:00:00"/>
    <x v="5"/>
    <s v="Electronics"/>
    <s v="South"/>
    <n v="5"/>
    <n v="1330"/>
  </r>
  <r>
    <d v="2022-07-25T00:00:00"/>
    <x v="3"/>
    <s v="Electronics"/>
    <s v="West"/>
    <n v="6"/>
    <n v="2706"/>
  </r>
  <r>
    <d v="2023-01-14T00:00:00"/>
    <x v="9"/>
    <s v="Electronics"/>
    <s v="East"/>
    <n v="3"/>
    <n v="426"/>
  </r>
  <r>
    <d v="2024-11-13T00:00:00"/>
    <x v="2"/>
    <s v="Electronics"/>
    <s v="West"/>
    <n v="1"/>
    <n v="414"/>
  </r>
  <r>
    <d v="2024-06-29T00:00:00"/>
    <x v="9"/>
    <s v="Electronics"/>
    <s v="East"/>
    <n v="5"/>
    <n v="5465"/>
  </r>
  <r>
    <d v="2024-05-22T00:00:00"/>
    <x v="2"/>
    <s v="Electronics"/>
    <s v="South"/>
    <n v="3"/>
    <n v="726"/>
  </r>
  <r>
    <d v="2022-04-30T00:00:00"/>
    <x v="5"/>
    <s v="Electronics"/>
    <s v="East"/>
    <n v="1"/>
    <n v="1001"/>
  </r>
  <r>
    <d v="2022-02-16T00:00:00"/>
    <x v="1"/>
    <s v="Accessories"/>
    <s v="West"/>
    <n v="9"/>
    <n v="7362"/>
  </r>
  <r>
    <d v="2022-05-14T00:00:00"/>
    <x v="8"/>
    <s v="Accessories"/>
    <s v="East"/>
    <n v="4"/>
    <n v="2284"/>
  </r>
  <r>
    <d v="2022-12-17T00:00:00"/>
    <x v="2"/>
    <s v="Electronics"/>
    <s v="East"/>
    <n v="4"/>
    <n v="2940"/>
  </r>
  <r>
    <d v="2023-05-16T00:00:00"/>
    <x v="0"/>
    <s v="Office"/>
    <s v="South"/>
    <n v="4"/>
    <n v="3068"/>
  </r>
  <r>
    <d v="2024-08-07T00:00:00"/>
    <x v="7"/>
    <s v="Electronics"/>
    <s v="North"/>
    <n v="3"/>
    <n v="3477"/>
  </r>
  <r>
    <d v="2024-08-04T00:00:00"/>
    <x v="5"/>
    <s v="Electronics"/>
    <s v="West"/>
    <n v="9"/>
    <n v="4014"/>
  </r>
  <r>
    <d v="2024-08-07T00:00:00"/>
    <x v="6"/>
    <s v="Accessories"/>
    <s v="North"/>
    <n v="8"/>
    <n v="7200"/>
  </r>
  <r>
    <d v="2024-04-03T00:00:00"/>
    <x v="5"/>
    <s v="Electronics"/>
    <s v="West"/>
    <n v="3"/>
    <n v="735"/>
  </r>
  <r>
    <d v="2023-01-31T00:00:00"/>
    <x v="6"/>
    <s v="Accessories"/>
    <s v="East"/>
    <n v="3"/>
    <n v="2964"/>
  </r>
  <r>
    <d v="2022-03-25T00:00:00"/>
    <x v="3"/>
    <s v="Electronics"/>
    <s v="West"/>
    <n v="9"/>
    <n v="3699"/>
  </r>
  <r>
    <d v="2022-05-14T00:00:00"/>
    <x v="0"/>
    <s v="Office"/>
    <s v="West"/>
    <n v="3"/>
    <n v="1563"/>
  </r>
  <r>
    <d v="2023-07-13T00:00:00"/>
    <x v="1"/>
    <s v="Accessories"/>
    <s v="South"/>
    <n v="2"/>
    <n v="124"/>
  </r>
  <r>
    <d v="2023-07-03T00:00:00"/>
    <x v="1"/>
    <s v="Accessories"/>
    <s v="North"/>
    <n v="2"/>
    <n v="416"/>
  </r>
  <r>
    <d v="2023-03-07T00:00:00"/>
    <x v="3"/>
    <s v="Electronics"/>
    <s v="South"/>
    <n v="8"/>
    <n v="2624"/>
  </r>
  <r>
    <d v="2024-11-04T00:00:00"/>
    <x v="4"/>
    <s v="Accessories"/>
    <s v="East"/>
    <n v="4"/>
    <n v="1636"/>
  </r>
  <r>
    <d v="2023-12-24T00:00:00"/>
    <x v="4"/>
    <s v="Accessories"/>
    <s v="East"/>
    <n v="8"/>
    <n v="8200"/>
  </r>
  <r>
    <d v="2022-03-10T00:00:00"/>
    <x v="1"/>
    <s v="Accessories"/>
    <s v="East"/>
    <n v="5"/>
    <n v="5615"/>
  </r>
  <r>
    <d v="2022-09-30T00:00:00"/>
    <x v="0"/>
    <s v="Office"/>
    <s v="East"/>
    <n v="5"/>
    <n v="3085"/>
  </r>
  <r>
    <d v="2024-12-07T00:00:00"/>
    <x v="8"/>
    <s v="Accessories"/>
    <s v="South"/>
    <n v="6"/>
    <n v="3198"/>
  </r>
  <r>
    <d v="2022-02-13T00:00:00"/>
    <x v="3"/>
    <s v="Electronics"/>
    <s v="West"/>
    <n v="4"/>
    <n v="1848"/>
  </r>
  <r>
    <d v="2023-04-11T00:00:00"/>
    <x v="5"/>
    <s v="Electronics"/>
    <s v="North"/>
    <n v="4"/>
    <n v="652"/>
  </r>
  <r>
    <d v="2022-11-22T00:00:00"/>
    <x v="1"/>
    <s v="Accessories"/>
    <s v="South"/>
    <n v="6"/>
    <n v="2940"/>
  </r>
  <r>
    <d v="2022-05-29T00:00:00"/>
    <x v="4"/>
    <s v="Accessories"/>
    <s v="East"/>
    <n v="4"/>
    <n v="3912"/>
  </r>
  <r>
    <d v="2022-10-09T00:00:00"/>
    <x v="2"/>
    <s v="Electronics"/>
    <s v="South"/>
    <n v="8"/>
    <n v="9392"/>
  </r>
  <r>
    <d v="2022-10-21T00:00:00"/>
    <x v="6"/>
    <s v="Accessories"/>
    <s v="West"/>
    <n v="1"/>
    <n v="312"/>
  </r>
  <r>
    <d v="2023-11-24T00:00:00"/>
    <x v="9"/>
    <s v="Electronics"/>
    <s v="East"/>
    <n v="9"/>
    <n v="7731"/>
  </r>
  <r>
    <d v="2023-06-23T00:00:00"/>
    <x v="2"/>
    <s v="Electronics"/>
    <s v="West"/>
    <n v="1"/>
    <n v="1081"/>
  </r>
  <r>
    <d v="2023-08-16T00:00:00"/>
    <x v="7"/>
    <s v="Electronics"/>
    <s v="West"/>
    <n v="6"/>
    <n v="1926"/>
  </r>
  <r>
    <d v="2022-07-26T00:00:00"/>
    <x v="6"/>
    <s v="Accessories"/>
    <s v="East"/>
    <n v="3"/>
    <n v="936"/>
  </r>
  <r>
    <d v="2024-12-29T00:00:00"/>
    <x v="9"/>
    <s v="Electronics"/>
    <s v="South"/>
    <n v="9"/>
    <n v="8550"/>
  </r>
  <r>
    <d v="2023-08-24T00:00:00"/>
    <x v="6"/>
    <s v="Accessories"/>
    <s v="North"/>
    <n v="4"/>
    <n v="2468"/>
  </r>
  <r>
    <d v="2023-09-04T00:00:00"/>
    <x v="2"/>
    <s v="Electronics"/>
    <s v="West"/>
    <n v="3"/>
    <n v="801"/>
  </r>
  <r>
    <d v="2023-01-03T00:00:00"/>
    <x v="9"/>
    <s v="Electronics"/>
    <s v="East"/>
    <n v="9"/>
    <n v="2655"/>
  </r>
  <r>
    <d v="2023-11-30T00:00:00"/>
    <x v="5"/>
    <s v="Electronics"/>
    <s v="West"/>
    <n v="8"/>
    <n v="3928"/>
  </r>
  <r>
    <d v="2024-07-11T00:00:00"/>
    <x v="6"/>
    <s v="Accessories"/>
    <s v="East"/>
    <n v="8"/>
    <n v="6488"/>
  </r>
  <r>
    <d v="2024-02-03T00:00:00"/>
    <x v="4"/>
    <s v="Accessories"/>
    <s v="West"/>
    <n v="9"/>
    <n v="7695"/>
  </r>
  <r>
    <d v="2023-07-19T00:00:00"/>
    <x v="4"/>
    <s v="Accessories"/>
    <s v="West"/>
    <n v="2"/>
    <n v="1856"/>
  </r>
  <r>
    <d v="2022-04-14T00:00:00"/>
    <x v="5"/>
    <s v="Electronics"/>
    <s v="North"/>
    <n v="7"/>
    <n v="1519"/>
  </r>
  <r>
    <d v="2024-01-19T00:00:00"/>
    <x v="2"/>
    <s v="Electronics"/>
    <s v="West"/>
    <n v="3"/>
    <n v="3549"/>
  </r>
  <r>
    <d v="2024-09-12T00:00:00"/>
    <x v="9"/>
    <s v="Electronics"/>
    <s v="East"/>
    <n v="3"/>
    <n v="1656"/>
  </r>
  <r>
    <d v="2024-08-24T00:00:00"/>
    <x v="8"/>
    <s v="Accessories"/>
    <s v="North"/>
    <n v="7"/>
    <n v="812"/>
  </r>
  <r>
    <d v="2022-12-25T00:00:00"/>
    <x v="1"/>
    <s v="Accessories"/>
    <s v="North"/>
    <n v="5"/>
    <n v="3730"/>
  </r>
  <r>
    <d v="2023-12-24T00:00:00"/>
    <x v="6"/>
    <s v="Accessories"/>
    <s v="South"/>
    <n v="1"/>
    <n v="1161"/>
  </r>
  <r>
    <d v="2022-05-18T00:00:00"/>
    <x v="4"/>
    <s v="Accessories"/>
    <s v="North"/>
    <n v="3"/>
    <n v="2256"/>
  </r>
  <r>
    <d v="2024-09-28T00:00:00"/>
    <x v="6"/>
    <s v="Accessories"/>
    <s v="East"/>
    <n v="1"/>
    <n v="359"/>
  </r>
  <r>
    <d v="2024-03-23T00:00:00"/>
    <x v="4"/>
    <s v="Accessories"/>
    <s v="East"/>
    <n v="2"/>
    <n v="130"/>
  </r>
  <r>
    <d v="2022-09-26T00:00:00"/>
    <x v="1"/>
    <s v="Accessories"/>
    <s v="South"/>
    <n v="8"/>
    <n v="4248"/>
  </r>
  <r>
    <d v="2024-10-04T00:00:00"/>
    <x v="3"/>
    <s v="Electronics"/>
    <s v="South"/>
    <n v="5"/>
    <n v="1825"/>
  </r>
  <r>
    <d v="2024-09-25T00:00:00"/>
    <x v="8"/>
    <s v="Accessories"/>
    <s v="East"/>
    <n v="2"/>
    <n v="876"/>
  </r>
  <r>
    <d v="2023-01-03T00:00:00"/>
    <x v="3"/>
    <s v="Electronics"/>
    <s v="North"/>
    <n v="9"/>
    <n v="9180"/>
  </r>
  <r>
    <d v="2024-03-26T00:00:00"/>
    <x v="6"/>
    <s v="Accessories"/>
    <s v="West"/>
    <n v="5"/>
    <n v="1765"/>
  </r>
  <r>
    <d v="2022-10-06T00:00:00"/>
    <x v="6"/>
    <s v="Accessories"/>
    <s v="South"/>
    <n v="2"/>
    <n v="1504"/>
  </r>
  <r>
    <d v="2022-06-30T00:00:00"/>
    <x v="8"/>
    <s v="Accessories"/>
    <s v="South"/>
    <n v="9"/>
    <n v="1881"/>
  </r>
  <r>
    <d v="2022-01-16T00:00:00"/>
    <x v="8"/>
    <s v="Accessories"/>
    <s v="East"/>
    <n v="9"/>
    <n v="7425"/>
  </r>
  <r>
    <d v="2022-10-16T00:00:00"/>
    <x v="2"/>
    <s v="Electronics"/>
    <s v="East"/>
    <n v="9"/>
    <n v="720"/>
  </r>
  <r>
    <d v="2024-05-07T00:00:00"/>
    <x v="7"/>
    <s v="Electronics"/>
    <s v="West"/>
    <n v="5"/>
    <n v="2985"/>
  </r>
  <r>
    <d v="2022-01-04T00:00:00"/>
    <x v="9"/>
    <s v="Electronics"/>
    <s v="North"/>
    <n v="9"/>
    <n v="711"/>
  </r>
  <r>
    <d v="2024-08-13T00:00:00"/>
    <x v="0"/>
    <s v="Office"/>
    <s v="South"/>
    <n v="6"/>
    <n v="6276"/>
  </r>
  <r>
    <d v="2023-01-13T00:00:00"/>
    <x v="1"/>
    <s v="Accessories"/>
    <s v="East"/>
    <n v="7"/>
    <n v="7966"/>
  </r>
  <r>
    <d v="2023-03-14T00:00:00"/>
    <x v="4"/>
    <s v="Accessories"/>
    <s v="East"/>
    <n v="8"/>
    <n v="4200"/>
  </r>
  <r>
    <d v="2024-05-17T00:00:00"/>
    <x v="9"/>
    <s v="Electronics"/>
    <s v="East"/>
    <n v="7"/>
    <n v="455"/>
  </r>
  <r>
    <d v="2024-10-15T00:00:00"/>
    <x v="8"/>
    <s v="Accessories"/>
    <s v="South"/>
    <n v="8"/>
    <n v="5040"/>
  </r>
  <r>
    <d v="2023-09-11T00:00:00"/>
    <x v="1"/>
    <s v="Accessories"/>
    <s v="East"/>
    <n v="1"/>
    <n v="856"/>
  </r>
  <r>
    <d v="2023-07-20T00:00:00"/>
    <x v="6"/>
    <s v="Accessories"/>
    <s v="West"/>
    <n v="5"/>
    <n v="5230"/>
  </r>
  <r>
    <d v="2022-03-19T00:00:00"/>
    <x v="9"/>
    <s v="Electronics"/>
    <s v="South"/>
    <n v="5"/>
    <n v="4635"/>
  </r>
  <r>
    <d v="2024-12-07T00:00:00"/>
    <x v="9"/>
    <s v="Electronics"/>
    <s v="East"/>
    <n v="6"/>
    <n v="5508"/>
  </r>
  <r>
    <d v="2023-06-06T00:00:00"/>
    <x v="7"/>
    <s v="Electronics"/>
    <s v="North"/>
    <n v="1"/>
    <n v="258"/>
  </r>
  <r>
    <d v="2023-07-13T00:00:00"/>
    <x v="7"/>
    <s v="Electronics"/>
    <s v="East"/>
    <n v="1"/>
    <n v="677"/>
  </r>
  <r>
    <d v="2023-07-10T00:00:00"/>
    <x v="6"/>
    <s v="Accessories"/>
    <s v="West"/>
    <n v="5"/>
    <n v="4545"/>
  </r>
  <r>
    <d v="2024-09-09T00:00:00"/>
    <x v="7"/>
    <s v="Electronics"/>
    <s v="South"/>
    <n v="5"/>
    <n v="4370"/>
  </r>
  <r>
    <d v="2023-01-06T00:00:00"/>
    <x v="8"/>
    <s v="Accessories"/>
    <s v="East"/>
    <n v="3"/>
    <n v="372"/>
  </r>
  <r>
    <d v="2024-09-05T00:00:00"/>
    <x v="3"/>
    <s v="Electronics"/>
    <s v="West"/>
    <n v="9"/>
    <n v="3177"/>
  </r>
  <r>
    <d v="2023-04-19T00:00:00"/>
    <x v="0"/>
    <s v="Office"/>
    <s v="South"/>
    <n v="7"/>
    <n v="1659"/>
  </r>
  <r>
    <d v="2023-04-20T00:00:00"/>
    <x v="2"/>
    <s v="Electronics"/>
    <s v="South"/>
    <n v="3"/>
    <n v="3360"/>
  </r>
  <r>
    <d v="2023-03-02T00:00:00"/>
    <x v="7"/>
    <s v="Electronics"/>
    <s v="West"/>
    <n v="2"/>
    <n v="1132"/>
  </r>
  <r>
    <d v="2024-10-05T00:00:00"/>
    <x v="5"/>
    <s v="Electronics"/>
    <s v="East"/>
    <n v="5"/>
    <n v="1815"/>
  </r>
  <r>
    <d v="2023-11-11T00:00:00"/>
    <x v="1"/>
    <s v="Accessories"/>
    <s v="North"/>
    <n v="1"/>
    <n v="459"/>
  </r>
  <r>
    <d v="2023-11-15T00:00:00"/>
    <x v="7"/>
    <s v="Electronics"/>
    <s v="West"/>
    <n v="1"/>
    <n v="1128"/>
  </r>
  <r>
    <d v="2024-10-30T00:00:00"/>
    <x v="6"/>
    <s v="Accessories"/>
    <s v="East"/>
    <n v="6"/>
    <n v="1170"/>
  </r>
  <r>
    <d v="2022-08-01T00:00:00"/>
    <x v="5"/>
    <s v="Electronics"/>
    <s v="North"/>
    <n v="5"/>
    <n v="4420"/>
  </r>
  <r>
    <d v="2024-02-29T00:00:00"/>
    <x v="7"/>
    <s v="Electronics"/>
    <s v="West"/>
    <n v="6"/>
    <n v="456"/>
  </r>
  <r>
    <d v="2024-02-25T00:00:00"/>
    <x v="2"/>
    <s v="Electronics"/>
    <s v="North"/>
    <n v="2"/>
    <n v="1458"/>
  </r>
  <r>
    <d v="2024-06-24T00:00:00"/>
    <x v="6"/>
    <s v="Accessories"/>
    <s v="West"/>
    <n v="7"/>
    <n v="2989"/>
  </r>
  <r>
    <d v="2024-12-20T00:00:00"/>
    <x v="3"/>
    <s v="Electronics"/>
    <s v="North"/>
    <n v="4"/>
    <n v="3424"/>
  </r>
  <r>
    <d v="2024-10-14T00:00:00"/>
    <x v="1"/>
    <s v="Accessories"/>
    <s v="West"/>
    <n v="2"/>
    <n v="1226"/>
  </r>
  <r>
    <d v="2024-11-16T00:00:00"/>
    <x v="9"/>
    <s v="Electronics"/>
    <s v="North"/>
    <n v="8"/>
    <n v="6760"/>
  </r>
  <r>
    <d v="2023-09-25T00:00:00"/>
    <x v="7"/>
    <s v="Electronics"/>
    <s v="West"/>
    <n v="1"/>
    <n v="111"/>
  </r>
  <r>
    <d v="2023-06-09T00:00:00"/>
    <x v="0"/>
    <s v="Office"/>
    <s v="North"/>
    <n v="5"/>
    <n v="3275"/>
  </r>
  <r>
    <d v="2024-09-08T00:00:00"/>
    <x v="4"/>
    <s v="Accessories"/>
    <s v="North"/>
    <n v="3"/>
    <n v="2508"/>
  </r>
  <r>
    <d v="2024-09-01T00:00:00"/>
    <x v="8"/>
    <s v="Accessories"/>
    <s v="South"/>
    <n v="8"/>
    <n v="904"/>
  </r>
  <r>
    <d v="2024-09-05T00:00:00"/>
    <x v="0"/>
    <s v="Office"/>
    <s v="West"/>
    <n v="3"/>
    <n v="1506"/>
  </r>
  <r>
    <d v="2022-10-23T00:00:00"/>
    <x v="7"/>
    <s v="Electronics"/>
    <s v="South"/>
    <n v="3"/>
    <n v="987"/>
  </r>
  <r>
    <d v="2022-01-29T00:00:00"/>
    <x v="7"/>
    <s v="Electronics"/>
    <s v="East"/>
    <n v="7"/>
    <n v="2968"/>
  </r>
  <r>
    <d v="2022-03-17T00:00:00"/>
    <x v="1"/>
    <s v="Accessories"/>
    <s v="South"/>
    <n v="5"/>
    <n v="4200"/>
  </r>
  <r>
    <d v="2024-01-16T00:00:00"/>
    <x v="5"/>
    <s v="Electronics"/>
    <s v="North"/>
    <n v="5"/>
    <n v="1645"/>
  </r>
  <r>
    <d v="2024-11-25T00:00:00"/>
    <x v="0"/>
    <s v="Office"/>
    <s v="East"/>
    <n v="3"/>
    <n v="3282"/>
  </r>
  <r>
    <d v="2022-02-13T00:00:00"/>
    <x v="4"/>
    <s v="Accessories"/>
    <s v="East"/>
    <n v="9"/>
    <n v="4914"/>
  </r>
  <r>
    <d v="2023-03-30T00:00:00"/>
    <x v="9"/>
    <s v="Electronics"/>
    <s v="North"/>
    <n v="6"/>
    <n v="3924"/>
  </r>
  <r>
    <d v="2023-09-12T00:00:00"/>
    <x v="4"/>
    <s v="Accessories"/>
    <s v="South"/>
    <n v="6"/>
    <n v="420"/>
  </r>
  <r>
    <d v="2024-06-28T00:00:00"/>
    <x v="0"/>
    <s v="Office"/>
    <s v="West"/>
    <n v="4"/>
    <n v="1544"/>
  </r>
  <r>
    <d v="2022-08-29T00:00:00"/>
    <x v="4"/>
    <s v="Accessories"/>
    <s v="East"/>
    <n v="2"/>
    <n v="2046"/>
  </r>
  <r>
    <d v="2023-11-22T00:00:00"/>
    <x v="4"/>
    <s v="Accessories"/>
    <s v="West"/>
    <n v="2"/>
    <n v="1548"/>
  </r>
  <r>
    <d v="2023-05-10T00:00:00"/>
    <x v="8"/>
    <s v="Accessories"/>
    <s v="North"/>
    <n v="4"/>
    <n v="3184"/>
  </r>
  <r>
    <d v="2024-10-17T00:00:00"/>
    <x v="0"/>
    <s v="Office"/>
    <s v="South"/>
    <n v="5"/>
    <n v="3385"/>
  </r>
  <r>
    <d v="2023-10-11T00:00:00"/>
    <x v="6"/>
    <s v="Accessories"/>
    <s v="North"/>
    <n v="1"/>
    <n v="59"/>
  </r>
  <r>
    <d v="2024-05-18T00:00:00"/>
    <x v="6"/>
    <s v="Accessories"/>
    <s v="South"/>
    <n v="8"/>
    <n v="5976"/>
  </r>
  <r>
    <d v="2023-01-30T00:00:00"/>
    <x v="1"/>
    <s v="Accessories"/>
    <s v="West"/>
    <n v="3"/>
    <n v="1791"/>
  </r>
  <r>
    <d v="2023-01-13T00:00:00"/>
    <x v="5"/>
    <s v="Electronics"/>
    <s v="West"/>
    <n v="2"/>
    <n v="1644"/>
  </r>
  <r>
    <d v="2024-05-17T00:00:00"/>
    <x v="2"/>
    <s v="Electronics"/>
    <s v="West"/>
    <n v="8"/>
    <n v="6584"/>
  </r>
  <r>
    <d v="2022-08-03T00:00:00"/>
    <x v="4"/>
    <s v="Accessories"/>
    <s v="East"/>
    <n v="5"/>
    <n v="1620"/>
  </r>
  <r>
    <d v="2024-02-06T00:00:00"/>
    <x v="1"/>
    <s v="Accessories"/>
    <s v="West"/>
    <n v="9"/>
    <n v="2736"/>
  </r>
  <r>
    <d v="2024-04-11T00:00:00"/>
    <x v="6"/>
    <s v="Accessories"/>
    <s v="South"/>
    <n v="4"/>
    <n v="1064"/>
  </r>
  <r>
    <d v="2024-06-18T00:00:00"/>
    <x v="3"/>
    <s v="Electronics"/>
    <s v="South"/>
    <n v="7"/>
    <n v="2667"/>
  </r>
  <r>
    <d v="2023-04-03T00:00:00"/>
    <x v="4"/>
    <s v="Accessories"/>
    <s v="South"/>
    <n v="3"/>
    <n v="735"/>
  </r>
  <r>
    <d v="2024-12-18T00:00:00"/>
    <x v="9"/>
    <s v="Electronics"/>
    <s v="East"/>
    <n v="1"/>
    <n v="58"/>
  </r>
  <r>
    <d v="2023-04-25T00:00:00"/>
    <x v="3"/>
    <s v="Electronics"/>
    <s v="South"/>
    <n v="7"/>
    <n v="3136"/>
  </r>
  <r>
    <d v="2023-09-17T00:00:00"/>
    <x v="1"/>
    <s v="Accessories"/>
    <s v="East"/>
    <n v="4"/>
    <n v="3936"/>
  </r>
  <r>
    <d v="2022-11-23T00:00:00"/>
    <x v="7"/>
    <s v="Electronics"/>
    <s v="East"/>
    <n v="9"/>
    <n v="6102"/>
  </r>
  <r>
    <d v="2024-05-17T00:00:00"/>
    <x v="7"/>
    <s v="Electronics"/>
    <s v="North"/>
    <n v="8"/>
    <n v="9408"/>
  </r>
  <r>
    <d v="2022-12-14T00:00:00"/>
    <x v="1"/>
    <s v="Accessories"/>
    <s v="South"/>
    <n v="9"/>
    <n v="7875"/>
  </r>
  <r>
    <d v="2024-10-13T00:00:00"/>
    <x v="8"/>
    <s v="Accessories"/>
    <s v="North"/>
    <n v="9"/>
    <n v="9900"/>
  </r>
  <r>
    <d v="2024-10-16T00:00:00"/>
    <x v="8"/>
    <s v="Accessories"/>
    <s v="North"/>
    <n v="2"/>
    <n v="430"/>
  </r>
  <r>
    <d v="2023-09-18T00:00:00"/>
    <x v="1"/>
    <s v="Accessories"/>
    <s v="South"/>
    <n v="3"/>
    <n v="813"/>
  </r>
  <r>
    <d v="2023-12-09T00:00:00"/>
    <x v="3"/>
    <s v="Electronics"/>
    <s v="South"/>
    <n v="4"/>
    <n v="4176"/>
  </r>
  <r>
    <d v="2023-10-02T00:00:00"/>
    <x v="3"/>
    <s v="Electronics"/>
    <s v="South"/>
    <n v="4"/>
    <n v="3084"/>
  </r>
  <r>
    <d v="2022-03-31T00:00:00"/>
    <x v="1"/>
    <s v="Accessories"/>
    <s v="West"/>
    <n v="7"/>
    <n v="8008"/>
  </r>
  <r>
    <d v="2024-06-12T00:00:00"/>
    <x v="5"/>
    <s v="Electronics"/>
    <s v="South"/>
    <n v="4"/>
    <n v="4608"/>
  </r>
  <r>
    <d v="2024-06-16T00:00:00"/>
    <x v="4"/>
    <s v="Accessories"/>
    <s v="West"/>
    <n v="4"/>
    <n v="4356"/>
  </r>
  <r>
    <d v="2023-09-04T00:00:00"/>
    <x v="0"/>
    <s v="Office"/>
    <s v="South"/>
    <n v="1"/>
    <n v="566"/>
  </r>
  <r>
    <d v="2022-12-02T00:00:00"/>
    <x v="9"/>
    <s v="Electronics"/>
    <s v="East"/>
    <n v="7"/>
    <n v="945"/>
  </r>
  <r>
    <d v="2022-11-12T00:00:00"/>
    <x v="5"/>
    <s v="Electronics"/>
    <s v="North"/>
    <n v="4"/>
    <n v="2200"/>
  </r>
  <r>
    <d v="2024-12-30T00:00:00"/>
    <x v="1"/>
    <s v="Accessories"/>
    <s v="North"/>
    <n v="1"/>
    <n v="746"/>
  </r>
  <r>
    <d v="2024-12-06T00:00:00"/>
    <x v="6"/>
    <s v="Accessories"/>
    <s v="East"/>
    <n v="5"/>
    <n v="3505"/>
  </r>
  <r>
    <d v="2024-05-26T00:00:00"/>
    <x v="6"/>
    <s v="Accessories"/>
    <s v="East"/>
    <n v="5"/>
    <n v="4795"/>
  </r>
  <r>
    <d v="2024-10-20T00:00:00"/>
    <x v="6"/>
    <s v="Accessories"/>
    <s v="North"/>
    <n v="5"/>
    <n v="4590"/>
  </r>
  <r>
    <d v="2023-05-04T00:00:00"/>
    <x v="6"/>
    <s v="Accessories"/>
    <s v="North"/>
    <n v="4"/>
    <n v="2092"/>
  </r>
  <r>
    <d v="2024-05-09T00:00:00"/>
    <x v="1"/>
    <s v="Accessories"/>
    <s v="South"/>
    <n v="8"/>
    <n v="3568"/>
  </r>
  <r>
    <d v="2023-12-07T00:00:00"/>
    <x v="7"/>
    <s v="Electronics"/>
    <s v="West"/>
    <n v="9"/>
    <n v="10404"/>
  </r>
  <r>
    <d v="2022-12-10T00:00:00"/>
    <x v="0"/>
    <s v="Office"/>
    <s v="South"/>
    <n v="9"/>
    <n v="7029"/>
  </r>
  <r>
    <d v="2022-11-21T00:00:00"/>
    <x v="9"/>
    <s v="Electronics"/>
    <s v="West"/>
    <n v="8"/>
    <n v="664"/>
  </r>
  <r>
    <d v="2024-11-20T00:00:00"/>
    <x v="2"/>
    <s v="Electronics"/>
    <s v="West"/>
    <n v="3"/>
    <n v="1923"/>
  </r>
  <r>
    <d v="2022-11-30T00:00:00"/>
    <x v="0"/>
    <s v="Office"/>
    <s v="West"/>
    <n v="7"/>
    <n v="2471"/>
  </r>
  <r>
    <d v="2024-01-03T00:00:00"/>
    <x v="7"/>
    <s v="Electronics"/>
    <s v="North"/>
    <n v="2"/>
    <n v="258"/>
  </r>
  <r>
    <d v="2024-10-29T00:00:00"/>
    <x v="5"/>
    <s v="Electronics"/>
    <s v="East"/>
    <n v="9"/>
    <n v="1134"/>
  </r>
  <r>
    <d v="2024-09-24T00:00:00"/>
    <x v="4"/>
    <s v="Accessories"/>
    <s v="East"/>
    <n v="5"/>
    <n v="855"/>
  </r>
  <r>
    <d v="2024-04-09T00:00:00"/>
    <x v="5"/>
    <s v="Electronics"/>
    <s v="West"/>
    <n v="9"/>
    <n v="3231"/>
  </r>
  <r>
    <d v="2024-09-05T00:00:00"/>
    <x v="2"/>
    <s v="Electronics"/>
    <s v="South"/>
    <n v="7"/>
    <n v="3591"/>
  </r>
  <r>
    <d v="2024-02-03T00:00:00"/>
    <x v="3"/>
    <s v="Electronics"/>
    <s v="East"/>
    <n v="2"/>
    <n v="254"/>
  </r>
  <r>
    <d v="2023-03-17T00:00:00"/>
    <x v="7"/>
    <s v="Electronics"/>
    <s v="South"/>
    <n v="5"/>
    <n v="5930"/>
  </r>
  <r>
    <d v="2024-07-15T00:00:00"/>
    <x v="4"/>
    <s v="Accessories"/>
    <s v="West"/>
    <n v="2"/>
    <n v="1344"/>
  </r>
  <r>
    <d v="2023-03-20T00:00:00"/>
    <x v="9"/>
    <s v="Electronics"/>
    <s v="East"/>
    <n v="1"/>
    <n v="920"/>
  </r>
  <r>
    <d v="2022-08-28T00:00:00"/>
    <x v="0"/>
    <s v="Office"/>
    <s v="North"/>
    <n v="9"/>
    <n v="5454"/>
  </r>
  <r>
    <d v="2022-12-01T00:00:00"/>
    <x v="9"/>
    <s v="Electronics"/>
    <s v="West"/>
    <n v="8"/>
    <n v="9512"/>
  </r>
  <r>
    <d v="2023-01-21T00:00:00"/>
    <x v="1"/>
    <s v="Accessories"/>
    <s v="North"/>
    <n v="4"/>
    <n v="2972"/>
  </r>
  <r>
    <d v="2024-05-23T00:00:00"/>
    <x v="5"/>
    <s v="Electronics"/>
    <s v="West"/>
    <n v="3"/>
    <n v="3360"/>
  </r>
  <r>
    <d v="2022-10-24T00:00:00"/>
    <x v="2"/>
    <s v="Electronics"/>
    <s v="West"/>
    <n v="4"/>
    <n v="1004"/>
  </r>
  <r>
    <d v="2024-12-25T00:00:00"/>
    <x v="4"/>
    <s v="Accessories"/>
    <s v="West"/>
    <n v="2"/>
    <n v="1944"/>
  </r>
  <r>
    <d v="2023-09-18T00:00:00"/>
    <x v="6"/>
    <s v="Accessories"/>
    <s v="East"/>
    <n v="5"/>
    <n v="5055"/>
  </r>
  <r>
    <d v="2022-07-18T00:00:00"/>
    <x v="5"/>
    <s v="Electronics"/>
    <s v="West"/>
    <n v="2"/>
    <n v="128"/>
  </r>
  <r>
    <d v="2024-03-09T00:00:00"/>
    <x v="7"/>
    <s v="Electronics"/>
    <s v="East"/>
    <n v="3"/>
    <n v="633"/>
  </r>
  <r>
    <d v="2022-12-14T00:00:00"/>
    <x v="0"/>
    <s v="Office"/>
    <s v="South"/>
    <n v="3"/>
    <n v="2523"/>
  </r>
  <r>
    <d v="2023-11-06T00:00:00"/>
    <x v="0"/>
    <s v="Office"/>
    <s v="West"/>
    <n v="1"/>
    <n v="196"/>
  </r>
  <r>
    <d v="2022-02-11T00:00:00"/>
    <x v="0"/>
    <s v="Office"/>
    <s v="East"/>
    <n v="9"/>
    <n v="4212"/>
  </r>
  <r>
    <d v="2024-03-28T00:00:00"/>
    <x v="6"/>
    <s v="Accessories"/>
    <s v="North"/>
    <n v="1"/>
    <n v="63"/>
  </r>
  <r>
    <d v="2023-07-02T00:00:00"/>
    <x v="1"/>
    <s v="Accessories"/>
    <s v="South"/>
    <n v="8"/>
    <n v="2752"/>
  </r>
  <r>
    <d v="2024-11-11T00:00:00"/>
    <x v="1"/>
    <s v="Accessories"/>
    <s v="West"/>
    <n v="3"/>
    <n v="1989"/>
  </r>
  <r>
    <d v="2024-03-09T00:00:00"/>
    <x v="9"/>
    <s v="Electronics"/>
    <s v="East"/>
    <n v="8"/>
    <n v="8032"/>
  </r>
  <r>
    <d v="2022-01-21T00:00:00"/>
    <x v="2"/>
    <s v="Electronics"/>
    <s v="South"/>
    <n v="6"/>
    <n v="3702"/>
  </r>
  <r>
    <d v="2022-10-17T00:00:00"/>
    <x v="5"/>
    <s v="Electronics"/>
    <s v="East"/>
    <n v="8"/>
    <n v="456"/>
  </r>
  <r>
    <d v="2023-02-10T00:00:00"/>
    <x v="3"/>
    <s v="Electronics"/>
    <s v="West"/>
    <n v="7"/>
    <n v="5355"/>
  </r>
  <r>
    <d v="2024-03-04T00:00:00"/>
    <x v="3"/>
    <s v="Electronics"/>
    <s v="West"/>
    <n v="1"/>
    <n v="972"/>
  </r>
  <r>
    <d v="2022-01-08T00:00:00"/>
    <x v="4"/>
    <s v="Accessories"/>
    <s v="South"/>
    <n v="5"/>
    <n v="3290"/>
  </r>
  <r>
    <d v="2022-11-24T00:00:00"/>
    <x v="9"/>
    <s v="Electronics"/>
    <s v="East"/>
    <n v="1"/>
    <n v="735"/>
  </r>
  <r>
    <d v="2024-10-24T00:00:00"/>
    <x v="2"/>
    <s v="Electronics"/>
    <s v="North"/>
    <n v="3"/>
    <n v="3336"/>
  </r>
  <r>
    <d v="2022-10-03T00:00:00"/>
    <x v="8"/>
    <s v="Accessories"/>
    <s v="West"/>
    <n v="3"/>
    <n v="2082"/>
  </r>
  <r>
    <d v="2024-07-18T00:00:00"/>
    <x v="8"/>
    <s v="Accessories"/>
    <s v="East"/>
    <n v="2"/>
    <n v="1340"/>
  </r>
  <r>
    <d v="2022-03-13T00:00:00"/>
    <x v="9"/>
    <s v="Electronics"/>
    <s v="East"/>
    <n v="5"/>
    <n v="1160"/>
  </r>
  <r>
    <d v="2024-09-21T00:00:00"/>
    <x v="6"/>
    <s v="Accessories"/>
    <s v="East"/>
    <n v="4"/>
    <n v="1272"/>
  </r>
  <r>
    <d v="2022-01-14T00:00:00"/>
    <x v="0"/>
    <s v="Office"/>
    <s v="West"/>
    <n v="3"/>
    <n v="2817"/>
  </r>
  <r>
    <d v="2024-03-05T00:00:00"/>
    <x v="6"/>
    <s v="Accessories"/>
    <s v="East"/>
    <n v="3"/>
    <n v="1464"/>
  </r>
  <r>
    <d v="2023-02-13T00:00:00"/>
    <x v="4"/>
    <s v="Accessories"/>
    <s v="West"/>
    <n v="1"/>
    <n v="307"/>
  </r>
  <r>
    <d v="2022-10-01T00:00:00"/>
    <x v="2"/>
    <s v="Electronics"/>
    <s v="West"/>
    <n v="6"/>
    <n v="5706"/>
  </r>
  <r>
    <d v="2024-05-25T00:00:00"/>
    <x v="4"/>
    <s v="Accessories"/>
    <s v="North"/>
    <n v="1"/>
    <n v="1112"/>
  </r>
  <r>
    <d v="2023-07-15T00:00:00"/>
    <x v="8"/>
    <s v="Accessories"/>
    <s v="West"/>
    <n v="1"/>
    <n v="1147"/>
  </r>
  <r>
    <d v="2023-02-11T00:00:00"/>
    <x v="9"/>
    <s v="Electronics"/>
    <s v="North"/>
    <n v="2"/>
    <n v="330"/>
  </r>
  <r>
    <d v="2023-07-12T00:00:00"/>
    <x v="6"/>
    <s v="Accessories"/>
    <s v="North"/>
    <n v="4"/>
    <n v="2176"/>
  </r>
  <r>
    <d v="2022-03-19T00:00:00"/>
    <x v="4"/>
    <s v="Accessories"/>
    <s v="South"/>
    <n v="7"/>
    <n v="7616"/>
  </r>
  <r>
    <d v="2024-07-16T00:00:00"/>
    <x v="0"/>
    <s v="Office"/>
    <s v="North"/>
    <n v="1"/>
    <n v="1091"/>
  </r>
  <r>
    <d v="2024-04-03T00:00:00"/>
    <x v="2"/>
    <s v="Electronics"/>
    <s v="East"/>
    <n v="2"/>
    <n v="1026"/>
  </r>
  <r>
    <d v="2024-11-17T00:00:00"/>
    <x v="2"/>
    <s v="Electronics"/>
    <s v="West"/>
    <n v="2"/>
    <n v="210"/>
  </r>
  <r>
    <d v="2022-09-17T00:00:00"/>
    <x v="0"/>
    <s v="Office"/>
    <s v="North"/>
    <n v="2"/>
    <n v="180"/>
  </r>
  <r>
    <d v="2024-09-12T00:00:00"/>
    <x v="2"/>
    <s v="Electronics"/>
    <s v="North"/>
    <n v="4"/>
    <n v="380"/>
  </r>
  <r>
    <d v="2023-08-13T00:00:00"/>
    <x v="6"/>
    <s v="Accessories"/>
    <s v="West"/>
    <n v="8"/>
    <n v="7664"/>
  </r>
  <r>
    <d v="2022-10-22T00:00:00"/>
    <x v="7"/>
    <s v="Electronics"/>
    <s v="East"/>
    <n v="8"/>
    <n v="6056"/>
  </r>
  <r>
    <d v="2022-01-28T00:00:00"/>
    <x v="1"/>
    <s v="Accessories"/>
    <s v="North"/>
    <n v="6"/>
    <n v="606"/>
  </r>
  <r>
    <d v="2024-03-30T00:00:00"/>
    <x v="6"/>
    <s v="Accessories"/>
    <s v="North"/>
    <n v="3"/>
    <n v="750"/>
  </r>
  <r>
    <d v="2024-12-11T00:00:00"/>
    <x v="0"/>
    <s v="Office"/>
    <s v="East"/>
    <n v="2"/>
    <n v="1218"/>
  </r>
  <r>
    <d v="2023-03-26T00:00:00"/>
    <x v="9"/>
    <s v="Electronics"/>
    <s v="West"/>
    <n v="2"/>
    <n v="2162"/>
  </r>
  <r>
    <d v="2023-03-13T00:00:00"/>
    <x v="4"/>
    <s v="Accessories"/>
    <s v="East"/>
    <n v="9"/>
    <n v="2223"/>
  </r>
  <r>
    <d v="2023-09-19T00:00:00"/>
    <x v="7"/>
    <s v="Electronics"/>
    <s v="West"/>
    <n v="7"/>
    <n v="4452"/>
  </r>
  <r>
    <d v="2022-02-08T00:00:00"/>
    <x v="0"/>
    <s v="Office"/>
    <s v="West"/>
    <n v="1"/>
    <n v="184"/>
  </r>
  <r>
    <d v="2022-04-05T00:00:00"/>
    <x v="4"/>
    <s v="Accessories"/>
    <s v="North"/>
    <n v="3"/>
    <n v="288"/>
  </r>
  <r>
    <d v="2024-01-24T00:00:00"/>
    <x v="3"/>
    <s v="Electronics"/>
    <s v="West"/>
    <n v="2"/>
    <n v="834"/>
  </r>
  <r>
    <d v="2023-08-20T00:00:00"/>
    <x v="8"/>
    <s v="Accessories"/>
    <s v="East"/>
    <n v="5"/>
    <n v="4025"/>
  </r>
  <r>
    <d v="2023-09-08T00:00:00"/>
    <x v="4"/>
    <s v="Accessories"/>
    <s v="West"/>
    <n v="7"/>
    <n v="4732"/>
  </r>
  <r>
    <d v="2022-05-19T00:00:00"/>
    <x v="4"/>
    <s v="Accessories"/>
    <s v="West"/>
    <n v="5"/>
    <n v="4025"/>
  </r>
  <r>
    <d v="2023-07-15T00:00:00"/>
    <x v="0"/>
    <s v="Office"/>
    <s v="South"/>
    <n v="8"/>
    <n v="2416"/>
  </r>
  <r>
    <d v="2024-03-16T00:00:00"/>
    <x v="2"/>
    <s v="Electronics"/>
    <s v="North"/>
    <n v="7"/>
    <n v="1897"/>
  </r>
  <r>
    <d v="2022-04-16T00:00:00"/>
    <x v="1"/>
    <s v="Accessories"/>
    <s v="East"/>
    <n v="4"/>
    <n v="840"/>
  </r>
  <r>
    <d v="2022-01-02T00:00:00"/>
    <x v="1"/>
    <s v="Accessories"/>
    <s v="North"/>
    <n v="8"/>
    <n v="6600"/>
  </r>
  <r>
    <d v="2022-10-20T00:00:00"/>
    <x v="9"/>
    <s v="Electronics"/>
    <s v="West"/>
    <n v="2"/>
    <n v="2362"/>
  </r>
  <r>
    <d v="2024-02-04T00:00:00"/>
    <x v="4"/>
    <s v="Accessories"/>
    <s v="South"/>
    <n v="6"/>
    <n v="2958"/>
  </r>
  <r>
    <d v="2024-03-22T00:00:00"/>
    <x v="2"/>
    <s v="Electronics"/>
    <s v="East"/>
    <n v="1"/>
    <n v="477"/>
  </r>
  <r>
    <d v="2022-06-04T00:00:00"/>
    <x v="8"/>
    <s v="Accessories"/>
    <s v="North"/>
    <n v="3"/>
    <n v="942"/>
  </r>
  <r>
    <d v="2023-01-21T00:00:00"/>
    <x v="3"/>
    <s v="Electronics"/>
    <s v="East"/>
    <n v="2"/>
    <n v="2084"/>
  </r>
  <r>
    <d v="2023-08-16T00:00:00"/>
    <x v="2"/>
    <s v="Electronics"/>
    <s v="West"/>
    <n v="6"/>
    <n v="4584"/>
  </r>
  <r>
    <d v="2022-05-28T00:00:00"/>
    <x v="0"/>
    <s v="Office"/>
    <s v="East"/>
    <n v="1"/>
    <n v="1118"/>
  </r>
  <r>
    <d v="2024-04-30T00:00:00"/>
    <x v="1"/>
    <s v="Accessories"/>
    <s v="North"/>
    <n v="9"/>
    <n v="4005"/>
  </r>
  <r>
    <d v="2024-03-04T00:00:00"/>
    <x v="5"/>
    <s v="Electronics"/>
    <s v="East"/>
    <n v="5"/>
    <n v="4610"/>
  </r>
  <r>
    <d v="2024-10-14T00:00:00"/>
    <x v="8"/>
    <s v="Accessories"/>
    <s v="South"/>
    <n v="1"/>
    <n v="551"/>
  </r>
  <r>
    <d v="2022-08-05T00:00:00"/>
    <x v="0"/>
    <s v="Office"/>
    <s v="West"/>
    <n v="1"/>
    <n v="75"/>
  </r>
  <r>
    <d v="2023-12-19T00:00:00"/>
    <x v="1"/>
    <s v="Accessories"/>
    <s v="South"/>
    <n v="6"/>
    <n v="6576"/>
  </r>
  <r>
    <d v="2023-03-26T00:00:00"/>
    <x v="0"/>
    <s v="Office"/>
    <s v="North"/>
    <n v="6"/>
    <n v="6432"/>
  </r>
  <r>
    <d v="2022-08-08T00:00:00"/>
    <x v="4"/>
    <s v="Accessories"/>
    <s v="South"/>
    <n v="7"/>
    <n v="7763"/>
  </r>
  <r>
    <d v="2024-03-02T00:00:00"/>
    <x v="6"/>
    <s v="Accessories"/>
    <s v="East"/>
    <n v="7"/>
    <n v="2240"/>
  </r>
  <r>
    <d v="2022-12-04T00:00:00"/>
    <x v="4"/>
    <s v="Accessories"/>
    <s v="East"/>
    <n v="6"/>
    <n v="5298"/>
  </r>
  <r>
    <d v="2023-07-15T00:00:00"/>
    <x v="5"/>
    <s v="Electronics"/>
    <s v="North"/>
    <n v="2"/>
    <n v="116"/>
  </r>
  <r>
    <d v="2022-02-02T00:00:00"/>
    <x v="2"/>
    <s v="Electronics"/>
    <s v="East"/>
    <n v="8"/>
    <n v="6728"/>
  </r>
  <r>
    <d v="2022-12-02T00:00:00"/>
    <x v="6"/>
    <s v="Accessories"/>
    <s v="North"/>
    <n v="5"/>
    <n v="490"/>
  </r>
  <r>
    <d v="2024-01-26T00:00:00"/>
    <x v="6"/>
    <s v="Accessories"/>
    <s v="North"/>
    <n v="7"/>
    <n v="2765"/>
  </r>
  <r>
    <d v="2022-04-21T00:00:00"/>
    <x v="7"/>
    <s v="Electronics"/>
    <s v="West"/>
    <n v="8"/>
    <n v="2680"/>
  </r>
  <r>
    <d v="2023-08-19T00:00:00"/>
    <x v="3"/>
    <s v="Electronics"/>
    <s v="East"/>
    <n v="2"/>
    <n v="2174"/>
  </r>
  <r>
    <d v="2024-04-11T00:00:00"/>
    <x v="6"/>
    <s v="Accessories"/>
    <s v="North"/>
    <n v="9"/>
    <n v="5562"/>
  </r>
  <r>
    <d v="2022-09-27T00:00:00"/>
    <x v="7"/>
    <s v="Electronics"/>
    <s v="East"/>
    <n v="8"/>
    <n v="9208"/>
  </r>
  <r>
    <d v="2024-08-31T00:00:00"/>
    <x v="7"/>
    <s v="Electronics"/>
    <s v="West"/>
    <n v="4"/>
    <n v="4512"/>
  </r>
  <r>
    <d v="2024-03-04T00:00:00"/>
    <x v="3"/>
    <s v="Electronics"/>
    <s v="West"/>
    <n v="9"/>
    <n v="7974"/>
  </r>
  <r>
    <d v="2022-04-30T00:00:00"/>
    <x v="6"/>
    <s v="Accessories"/>
    <s v="East"/>
    <n v="6"/>
    <n v="4944"/>
  </r>
  <r>
    <d v="2022-03-19T00:00:00"/>
    <x v="0"/>
    <s v="Office"/>
    <s v="South"/>
    <n v="3"/>
    <n v="1611"/>
  </r>
  <r>
    <d v="2024-07-05T00:00:00"/>
    <x v="5"/>
    <s v="Electronics"/>
    <s v="West"/>
    <n v="9"/>
    <n v="4599"/>
  </r>
  <r>
    <d v="2024-03-21T00:00:00"/>
    <x v="9"/>
    <s v="Electronics"/>
    <s v="East"/>
    <n v="6"/>
    <n v="4380"/>
  </r>
  <r>
    <d v="2024-10-20T00:00:00"/>
    <x v="4"/>
    <s v="Accessories"/>
    <s v="South"/>
    <n v="2"/>
    <n v="2376"/>
  </r>
  <r>
    <d v="2023-01-03T00:00:00"/>
    <x v="6"/>
    <s v="Accessories"/>
    <s v="South"/>
    <n v="9"/>
    <n v="6588"/>
  </r>
  <r>
    <d v="2022-01-05T00:00:00"/>
    <x v="1"/>
    <s v="Accessories"/>
    <s v="East"/>
    <n v="5"/>
    <n v="3745"/>
  </r>
  <r>
    <d v="2022-06-18T00:00:00"/>
    <x v="3"/>
    <s v="Electronics"/>
    <s v="North"/>
    <n v="5"/>
    <n v="5305"/>
  </r>
  <r>
    <d v="2023-05-19T00:00:00"/>
    <x v="2"/>
    <s v="Electronics"/>
    <s v="North"/>
    <n v="8"/>
    <n v="1608"/>
  </r>
  <r>
    <d v="2024-07-18T00:00:00"/>
    <x v="6"/>
    <s v="Accessories"/>
    <s v="East"/>
    <n v="9"/>
    <n v="4977"/>
  </r>
  <r>
    <d v="2022-02-09T00:00:00"/>
    <x v="7"/>
    <s v="Electronics"/>
    <s v="East"/>
    <n v="7"/>
    <n v="4529"/>
  </r>
  <r>
    <d v="2024-04-15T00:00:00"/>
    <x v="3"/>
    <s v="Electronics"/>
    <s v="West"/>
    <n v="7"/>
    <n v="4690"/>
  </r>
  <r>
    <d v="2024-11-12T00:00:00"/>
    <x v="8"/>
    <s v="Accessories"/>
    <s v="East"/>
    <n v="4"/>
    <n v="2424"/>
  </r>
  <r>
    <d v="2024-11-27T00:00:00"/>
    <x v="8"/>
    <s v="Accessories"/>
    <s v="North"/>
    <n v="6"/>
    <n v="3594"/>
  </r>
  <r>
    <d v="2022-05-03T00:00:00"/>
    <x v="8"/>
    <s v="Accessories"/>
    <s v="North"/>
    <n v="7"/>
    <n v="3962"/>
  </r>
  <r>
    <d v="2024-03-14T00:00:00"/>
    <x v="3"/>
    <s v="Electronics"/>
    <s v="East"/>
    <n v="2"/>
    <n v="944"/>
  </r>
  <r>
    <d v="2022-12-20T00:00:00"/>
    <x v="5"/>
    <s v="Electronics"/>
    <s v="West"/>
    <n v="6"/>
    <n v="6792"/>
  </r>
  <r>
    <d v="2023-03-06T00:00:00"/>
    <x v="2"/>
    <s v="Electronics"/>
    <s v="North"/>
    <n v="7"/>
    <n v="6804"/>
  </r>
  <r>
    <d v="2024-09-20T00:00:00"/>
    <x v="3"/>
    <s v="Electronics"/>
    <s v="South"/>
    <n v="6"/>
    <n v="816"/>
  </r>
  <r>
    <d v="2022-07-10T00:00:00"/>
    <x v="6"/>
    <s v="Accessories"/>
    <s v="North"/>
    <n v="6"/>
    <n v="5916"/>
  </r>
  <r>
    <d v="2022-06-17T00:00:00"/>
    <x v="1"/>
    <s v="Accessories"/>
    <s v="South"/>
    <n v="5"/>
    <n v="5730"/>
  </r>
  <r>
    <d v="2024-05-13T00:00:00"/>
    <x v="4"/>
    <s v="Accessories"/>
    <s v="East"/>
    <n v="7"/>
    <n v="8288"/>
  </r>
  <r>
    <d v="2022-06-24T00:00:00"/>
    <x v="4"/>
    <s v="Accessories"/>
    <s v="South"/>
    <n v="2"/>
    <n v="2046"/>
  </r>
  <r>
    <d v="2022-06-05T00:00:00"/>
    <x v="2"/>
    <s v="Electronics"/>
    <s v="East"/>
    <n v="9"/>
    <n v="5031"/>
  </r>
  <r>
    <d v="2022-03-10T00:00:00"/>
    <x v="8"/>
    <s v="Accessories"/>
    <s v="South"/>
    <n v="9"/>
    <n v="1764"/>
  </r>
  <r>
    <d v="2022-07-23T00:00:00"/>
    <x v="9"/>
    <s v="Electronics"/>
    <s v="South"/>
    <n v="8"/>
    <n v="1880"/>
  </r>
  <r>
    <d v="2023-12-25T00:00:00"/>
    <x v="5"/>
    <s v="Electronics"/>
    <s v="West"/>
    <n v="2"/>
    <n v="200"/>
  </r>
  <r>
    <d v="2022-10-06T00:00:00"/>
    <x v="1"/>
    <s v="Accessories"/>
    <s v="East"/>
    <n v="3"/>
    <n v="2688"/>
  </r>
  <r>
    <d v="2023-01-02T00:00:00"/>
    <x v="9"/>
    <s v="Electronics"/>
    <s v="West"/>
    <n v="4"/>
    <n v="3216"/>
  </r>
  <r>
    <d v="2023-12-21T00:00:00"/>
    <x v="3"/>
    <s v="Electronics"/>
    <s v="East"/>
    <n v="8"/>
    <n v="8440"/>
  </r>
  <r>
    <d v="2024-04-26T00:00:00"/>
    <x v="2"/>
    <s v="Electronics"/>
    <s v="East"/>
    <n v="7"/>
    <n v="1582"/>
  </r>
  <r>
    <d v="2024-07-12T00:00:00"/>
    <x v="9"/>
    <s v="Electronics"/>
    <s v="North"/>
    <n v="1"/>
    <n v="58"/>
  </r>
  <r>
    <d v="2022-03-26T00:00:00"/>
    <x v="5"/>
    <s v="Electronics"/>
    <s v="West"/>
    <n v="8"/>
    <n v="608"/>
  </r>
  <r>
    <d v="2024-11-19T00:00:00"/>
    <x v="7"/>
    <s v="Electronics"/>
    <s v="North"/>
    <n v="3"/>
    <n v="183"/>
  </r>
  <r>
    <d v="2024-07-02T00:00:00"/>
    <x v="6"/>
    <s v="Accessories"/>
    <s v="West"/>
    <n v="5"/>
    <n v="3105"/>
  </r>
  <r>
    <d v="2023-04-13T00:00:00"/>
    <x v="6"/>
    <s v="Accessories"/>
    <s v="North"/>
    <n v="5"/>
    <n v="2450"/>
  </r>
  <r>
    <d v="2022-12-05T00:00:00"/>
    <x v="9"/>
    <s v="Electronics"/>
    <s v="North"/>
    <n v="3"/>
    <n v="3024"/>
  </r>
  <r>
    <d v="2023-04-20T00:00:00"/>
    <x v="0"/>
    <s v="Office"/>
    <s v="East"/>
    <n v="4"/>
    <n v="3856"/>
  </r>
  <r>
    <d v="2024-03-11T00:00:00"/>
    <x v="8"/>
    <s v="Accessories"/>
    <s v="West"/>
    <n v="7"/>
    <n v="532"/>
  </r>
  <r>
    <d v="2023-02-19T00:00:00"/>
    <x v="7"/>
    <s v="Electronics"/>
    <s v="South"/>
    <n v="4"/>
    <n v="3152"/>
  </r>
  <r>
    <d v="2023-12-04T00:00:00"/>
    <x v="6"/>
    <s v="Accessories"/>
    <s v="East"/>
    <n v="9"/>
    <n v="8586"/>
  </r>
  <r>
    <d v="2022-10-21T00:00:00"/>
    <x v="6"/>
    <s v="Accessories"/>
    <s v="South"/>
    <n v="2"/>
    <n v="1046"/>
  </r>
  <r>
    <d v="2022-02-15T00:00:00"/>
    <x v="2"/>
    <s v="Electronics"/>
    <s v="West"/>
    <n v="4"/>
    <n v="3452"/>
  </r>
  <r>
    <d v="2022-03-12T00:00:00"/>
    <x v="6"/>
    <s v="Accessories"/>
    <s v="West"/>
    <n v="4"/>
    <n v="2368"/>
  </r>
  <r>
    <d v="2022-10-20T00:00:00"/>
    <x v="3"/>
    <s v="Electronics"/>
    <s v="South"/>
    <n v="2"/>
    <n v="1924"/>
  </r>
  <r>
    <d v="2022-09-19T00:00:00"/>
    <x v="9"/>
    <s v="Electronics"/>
    <s v="West"/>
    <n v="5"/>
    <n v="4580"/>
  </r>
  <r>
    <d v="2024-11-02T00:00:00"/>
    <x v="4"/>
    <s v="Accessories"/>
    <s v="East"/>
    <n v="5"/>
    <n v="3735"/>
  </r>
  <r>
    <d v="2023-05-13T00:00:00"/>
    <x v="6"/>
    <s v="Accessories"/>
    <s v="North"/>
    <n v="4"/>
    <n v="2476"/>
  </r>
  <r>
    <d v="2023-07-13T00:00:00"/>
    <x v="9"/>
    <s v="Electronics"/>
    <s v="South"/>
    <n v="2"/>
    <n v="162"/>
  </r>
  <r>
    <d v="2022-07-04T00:00:00"/>
    <x v="0"/>
    <s v="Office"/>
    <s v="West"/>
    <n v="3"/>
    <n v="258"/>
  </r>
  <r>
    <d v="2022-03-19T00:00:00"/>
    <x v="8"/>
    <s v="Accessories"/>
    <s v="East"/>
    <n v="4"/>
    <n v="3524"/>
  </r>
  <r>
    <d v="2023-05-27T00:00:00"/>
    <x v="5"/>
    <s v="Electronics"/>
    <s v="South"/>
    <n v="8"/>
    <n v="6184"/>
  </r>
  <r>
    <d v="2023-03-07T00:00:00"/>
    <x v="6"/>
    <s v="Accessories"/>
    <s v="West"/>
    <n v="6"/>
    <n v="3750"/>
  </r>
  <r>
    <d v="2022-04-15T00:00:00"/>
    <x v="1"/>
    <s v="Accessories"/>
    <s v="South"/>
    <n v="5"/>
    <n v="1465"/>
  </r>
  <r>
    <d v="2024-03-28T00:00:00"/>
    <x v="3"/>
    <s v="Electronics"/>
    <s v="North"/>
    <n v="4"/>
    <n v="4480"/>
  </r>
  <r>
    <d v="2024-02-29T00:00:00"/>
    <x v="9"/>
    <s v="Electronics"/>
    <s v="North"/>
    <n v="8"/>
    <n v="1544"/>
  </r>
  <r>
    <d v="2024-01-21T00:00:00"/>
    <x v="4"/>
    <s v="Accessories"/>
    <s v="North"/>
    <n v="9"/>
    <n v="7974"/>
  </r>
  <r>
    <d v="2024-03-30T00:00:00"/>
    <x v="0"/>
    <s v="Office"/>
    <s v="East"/>
    <n v="5"/>
    <n v="5920"/>
  </r>
  <r>
    <d v="2024-10-02T00:00:00"/>
    <x v="5"/>
    <s v="Electronics"/>
    <s v="South"/>
    <n v="8"/>
    <n v="8792"/>
  </r>
  <r>
    <d v="2023-12-18T00:00:00"/>
    <x v="5"/>
    <s v="Electronics"/>
    <s v="East"/>
    <n v="1"/>
    <n v="294"/>
  </r>
  <r>
    <d v="2022-01-23T00:00:00"/>
    <x v="3"/>
    <s v="Electronics"/>
    <s v="East"/>
    <n v="7"/>
    <n v="1169"/>
  </r>
  <r>
    <d v="2024-02-14T00:00:00"/>
    <x v="3"/>
    <s v="Electronics"/>
    <s v="West"/>
    <n v="8"/>
    <n v="9232"/>
  </r>
  <r>
    <d v="2023-10-09T00:00:00"/>
    <x v="4"/>
    <s v="Accessories"/>
    <s v="South"/>
    <n v="4"/>
    <n v="1396"/>
  </r>
  <r>
    <d v="2024-01-23T00:00:00"/>
    <x v="3"/>
    <s v="Electronics"/>
    <s v="North"/>
    <n v="9"/>
    <n v="10188"/>
  </r>
  <r>
    <d v="2022-09-13T00:00:00"/>
    <x v="6"/>
    <s v="Accessories"/>
    <s v="West"/>
    <n v="2"/>
    <n v="222"/>
  </r>
  <r>
    <d v="2024-04-03T00:00:00"/>
    <x v="6"/>
    <s v="Accessories"/>
    <s v="West"/>
    <n v="2"/>
    <n v="1328"/>
  </r>
  <r>
    <d v="2024-11-06T00:00:00"/>
    <x v="0"/>
    <s v="Office"/>
    <s v="East"/>
    <n v="9"/>
    <n v="5085"/>
  </r>
  <r>
    <d v="2024-08-02T00:00:00"/>
    <x v="1"/>
    <s v="Accessories"/>
    <s v="West"/>
    <n v="3"/>
    <n v="1245"/>
  </r>
  <r>
    <d v="2022-08-18T00:00:00"/>
    <x v="2"/>
    <s v="Electronics"/>
    <s v="South"/>
    <n v="2"/>
    <n v="960"/>
  </r>
  <r>
    <d v="2024-03-03T00:00:00"/>
    <x v="7"/>
    <s v="Electronics"/>
    <s v="West"/>
    <n v="9"/>
    <n v="5553"/>
  </r>
  <r>
    <d v="2023-09-10T00:00:00"/>
    <x v="8"/>
    <s v="Accessories"/>
    <s v="North"/>
    <n v="2"/>
    <n v="1790"/>
  </r>
  <r>
    <d v="2024-07-11T00:00:00"/>
    <x v="8"/>
    <s v="Accessories"/>
    <s v="West"/>
    <n v="8"/>
    <n v="2712"/>
  </r>
  <r>
    <d v="2024-05-06T00:00:00"/>
    <x v="9"/>
    <s v="Electronics"/>
    <s v="North"/>
    <n v="1"/>
    <n v="632"/>
  </r>
  <r>
    <d v="2022-01-13T00:00:00"/>
    <x v="4"/>
    <s v="Accessories"/>
    <s v="South"/>
    <n v="8"/>
    <n v="4904"/>
  </r>
  <r>
    <d v="2022-12-05T00:00:00"/>
    <x v="8"/>
    <s v="Accessories"/>
    <s v="South"/>
    <n v="1"/>
    <n v="361"/>
  </r>
  <r>
    <d v="2022-02-11T00:00:00"/>
    <x v="0"/>
    <s v="Office"/>
    <s v="West"/>
    <n v="9"/>
    <n v="7290"/>
  </r>
  <r>
    <d v="2024-03-08T00:00:00"/>
    <x v="5"/>
    <s v="Electronics"/>
    <s v="South"/>
    <n v="4"/>
    <n v="2052"/>
  </r>
  <r>
    <d v="2024-05-21T00:00:00"/>
    <x v="1"/>
    <s v="Accessories"/>
    <s v="North"/>
    <n v="3"/>
    <n v="1842"/>
  </r>
  <r>
    <d v="2023-12-06T00:00:00"/>
    <x v="1"/>
    <s v="Accessories"/>
    <s v="North"/>
    <n v="9"/>
    <n v="10593"/>
  </r>
  <r>
    <d v="2022-08-28T00:00:00"/>
    <x v="3"/>
    <s v="Electronics"/>
    <s v="South"/>
    <n v="6"/>
    <n v="1218"/>
  </r>
  <r>
    <d v="2023-11-19T00:00:00"/>
    <x v="1"/>
    <s v="Accessories"/>
    <s v="South"/>
    <n v="5"/>
    <n v="4240"/>
  </r>
  <r>
    <d v="2024-10-29T00:00:00"/>
    <x v="8"/>
    <s v="Accessories"/>
    <s v="East"/>
    <n v="2"/>
    <n v="226"/>
  </r>
  <r>
    <d v="2022-03-25T00:00:00"/>
    <x v="3"/>
    <s v="Electronics"/>
    <s v="East"/>
    <n v="6"/>
    <n v="5154"/>
  </r>
  <r>
    <d v="2023-07-30T00:00:00"/>
    <x v="1"/>
    <s v="Accessories"/>
    <s v="North"/>
    <n v="6"/>
    <n v="1236"/>
  </r>
  <r>
    <d v="2022-11-14T00:00:00"/>
    <x v="2"/>
    <s v="Electronics"/>
    <s v="South"/>
    <n v="1"/>
    <n v="1179"/>
  </r>
  <r>
    <d v="2024-12-29T00:00:00"/>
    <x v="0"/>
    <s v="Office"/>
    <s v="West"/>
    <n v="5"/>
    <n v="2275"/>
  </r>
  <r>
    <d v="2023-05-21T00:00:00"/>
    <x v="5"/>
    <s v="Electronics"/>
    <s v="North"/>
    <n v="7"/>
    <n v="6188"/>
  </r>
  <r>
    <d v="2023-12-16T00:00:00"/>
    <x v="4"/>
    <s v="Accessories"/>
    <s v="West"/>
    <n v="3"/>
    <n v="2946"/>
  </r>
  <r>
    <d v="2023-09-10T00:00:00"/>
    <x v="4"/>
    <s v="Accessories"/>
    <s v="South"/>
    <n v="5"/>
    <n v="5085"/>
  </r>
  <r>
    <d v="2022-05-02T00:00:00"/>
    <x v="8"/>
    <s v="Accessories"/>
    <s v="North"/>
    <n v="2"/>
    <n v="712"/>
  </r>
  <r>
    <d v="2023-02-03T00:00:00"/>
    <x v="5"/>
    <s v="Electronics"/>
    <s v="East"/>
    <n v="6"/>
    <n v="648"/>
  </r>
  <r>
    <d v="2023-02-02T00:00:00"/>
    <x v="1"/>
    <s v="Accessories"/>
    <s v="North"/>
    <n v="5"/>
    <n v="2735"/>
  </r>
  <r>
    <d v="2022-12-26T00:00:00"/>
    <x v="0"/>
    <s v="Office"/>
    <s v="North"/>
    <n v="6"/>
    <n v="2910"/>
  </r>
  <r>
    <d v="2022-05-15T00:00:00"/>
    <x v="5"/>
    <s v="Electronics"/>
    <s v="South"/>
    <n v="1"/>
    <n v="263"/>
  </r>
  <r>
    <d v="2023-12-05T00:00:00"/>
    <x v="7"/>
    <s v="Electronics"/>
    <s v="North"/>
    <n v="2"/>
    <n v="876"/>
  </r>
  <r>
    <d v="2023-11-05T00:00:00"/>
    <x v="1"/>
    <s v="Accessories"/>
    <s v="West"/>
    <n v="1"/>
    <n v="913"/>
  </r>
  <r>
    <d v="2024-10-13T00:00:00"/>
    <x v="9"/>
    <s v="Electronics"/>
    <s v="South"/>
    <n v="9"/>
    <n v="594"/>
  </r>
  <r>
    <d v="2022-02-27T00:00:00"/>
    <x v="4"/>
    <s v="Accessories"/>
    <s v="South"/>
    <n v="2"/>
    <n v="956"/>
  </r>
  <r>
    <d v="2024-06-17T00:00:00"/>
    <x v="9"/>
    <s v="Electronics"/>
    <s v="East"/>
    <n v="7"/>
    <n v="7301"/>
  </r>
  <r>
    <d v="2023-05-14T00:00:00"/>
    <x v="4"/>
    <s v="Accessories"/>
    <s v="South"/>
    <n v="6"/>
    <n v="5754"/>
  </r>
  <r>
    <d v="2022-06-21T00:00:00"/>
    <x v="4"/>
    <s v="Accessories"/>
    <s v="East"/>
    <n v="4"/>
    <n v="1372"/>
  </r>
  <r>
    <d v="2022-07-08T00:00:00"/>
    <x v="4"/>
    <s v="Accessories"/>
    <s v="North"/>
    <n v="8"/>
    <n v="920"/>
  </r>
  <r>
    <d v="2024-01-18T00:00:00"/>
    <x v="7"/>
    <s v="Electronics"/>
    <s v="North"/>
    <n v="3"/>
    <n v="885"/>
  </r>
  <r>
    <d v="2024-12-30T00:00:00"/>
    <x v="3"/>
    <s v="Electronics"/>
    <s v="North"/>
    <n v="1"/>
    <n v="379"/>
  </r>
  <r>
    <d v="2024-09-09T00:00:00"/>
    <x v="4"/>
    <s v="Accessories"/>
    <s v="West"/>
    <n v="8"/>
    <n v="1024"/>
  </r>
  <r>
    <d v="2024-05-04T00:00:00"/>
    <x v="8"/>
    <s v="Accessories"/>
    <s v="West"/>
    <n v="4"/>
    <n v="4312"/>
  </r>
  <r>
    <d v="2023-06-06T00:00:00"/>
    <x v="1"/>
    <s v="Accessories"/>
    <s v="East"/>
    <n v="5"/>
    <n v="5030"/>
  </r>
  <r>
    <d v="2022-01-31T00:00:00"/>
    <x v="7"/>
    <s v="Electronics"/>
    <s v="West"/>
    <n v="2"/>
    <n v="1438"/>
  </r>
  <r>
    <d v="2022-04-07T00:00:00"/>
    <x v="8"/>
    <s v="Accessories"/>
    <s v="South"/>
    <n v="1"/>
    <n v="419"/>
  </r>
  <r>
    <d v="2022-02-24T00:00:00"/>
    <x v="4"/>
    <s v="Accessories"/>
    <s v="East"/>
    <n v="3"/>
    <n v="3519"/>
  </r>
  <r>
    <d v="2022-04-03T00:00:00"/>
    <x v="2"/>
    <s v="Electronics"/>
    <s v="East"/>
    <n v="8"/>
    <n v="2912"/>
  </r>
  <r>
    <d v="2023-02-20T00:00:00"/>
    <x v="7"/>
    <s v="Electronics"/>
    <s v="North"/>
    <n v="5"/>
    <n v="4005"/>
  </r>
  <r>
    <d v="2023-08-22T00:00:00"/>
    <x v="5"/>
    <s v="Electronics"/>
    <s v="South"/>
    <n v="5"/>
    <n v="2075"/>
  </r>
  <r>
    <d v="2023-02-23T00:00:00"/>
    <x v="9"/>
    <s v="Electronics"/>
    <s v="South"/>
    <n v="2"/>
    <n v="120"/>
  </r>
  <r>
    <d v="2024-08-12T00:00:00"/>
    <x v="3"/>
    <s v="Electronics"/>
    <s v="North"/>
    <n v="4"/>
    <n v="564"/>
  </r>
  <r>
    <d v="2023-10-01T00:00:00"/>
    <x v="5"/>
    <s v="Electronics"/>
    <s v="East"/>
    <n v="2"/>
    <n v="486"/>
  </r>
  <r>
    <d v="2023-04-15T00:00:00"/>
    <x v="5"/>
    <s v="Electronics"/>
    <s v="East"/>
    <n v="2"/>
    <n v="1488"/>
  </r>
  <r>
    <d v="2023-02-24T00:00:00"/>
    <x v="9"/>
    <s v="Electronics"/>
    <s v="West"/>
    <n v="6"/>
    <n v="3096"/>
  </r>
  <r>
    <d v="2022-11-04T00:00:00"/>
    <x v="5"/>
    <s v="Electronics"/>
    <s v="West"/>
    <n v="8"/>
    <n v="6488"/>
  </r>
  <r>
    <d v="2024-04-11T00:00:00"/>
    <x v="5"/>
    <s v="Electronics"/>
    <s v="West"/>
    <n v="4"/>
    <n v="4284"/>
  </r>
  <r>
    <d v="2022-07-05T00:00:00"/>
    <x v="5"/>
    <s v="Electronics"/>
    <s v="North"/>
    <n v="8"/>
    <n v="1864"/>
  </r>
  <r>
    <d v="2024-05-08T00:00:00"/>
    <x v="3"/>
    <s v="Electronics"/>
    <s v="West"/>
    <n v="5"/>
    <n v="4435"/>
  </r>
  <r>
    <d v="2024-10-03T00:00:00"/>
    <x v="3"/>
    <s v="Electronics"/>
    <s v="East"/>
    <n v="4"/>
    <n v="3296"/>
  </r>
  <r>
    <d v="2023-05-05T00:00:00"/>
    <x v="1"/>
    <s v="Accessories"/>
    <s v="East"/>
    <n v="3"/>
    <n v="780"/>
  </r>
  <r>
    <d v="2022-06-02T00:00:00"/>
    <x v="5"/>
    <s v="Electronics"/>
    <s v="East"/>
    <n v="7"/>
    <n v="4396"/>
  </r>
  <r>
    <d v="2023-05-02T00:00:00"/>
    <x v="8"/>
    <s v="Accessories"/>
    <s v="South"/>
    <n v="6"/>
    <n v="1362"/>
  </r>
  <r>
    <d v="2022-01-13T00:00:00"/>
    <x v="1"/>
    <s v="Accessories"/>
    <s v="East"/>
    <n v="7"/>
    <n v="3843"/>
  </r>
  <r>
    <d v="2022-09-09T00:00:00"/>
    <x v="0"/>
    <s v="Office"/>
    <s v="East"/>
    <n v="2"/>
    <n v="2080"/>
  </r>
  <r>
    <d v="2022-04-07T00:00:00"/>
    <x v="1"/>
    <s v="Accessories"/>
    <s v="South"/>
    <n v="5"/>
    <n v="1210"/>
  </r>
  <r>
    <d v="2023-11-15T00:00:00"/>
    <x v="0"/>
    <s v="Office"/>
    <s v="West"/>
    <n v="3"/>
    <n v="2316"/>
  </r>
  <r>
    <d v="2023-07-18T00:00:00"/>
    <x v="6"/>
    <s v="Accessories"/>
    <s v="West"/>
    <n v="6"/>
    <n v="3366"/>
  </r>
  <r>
    <d v="2024-06-07T00:00:00"/>
    <x v="2"/>
    <s v="Electronics"/>
    <s v="West"/>
    <n v="9"/>
    <n v="6507"/>
  </r>
  <r>
    <d v="2024-05-14T00:00:00"/>
    <x v="1"/>
    <s v="Accessories"/>
    <s v="South"/>
    <n v="1"/>
    <n v="384"/>
  </r>
  <r>
    <d v="2022-01-05T00:00:00"/>
    <x v="9"/>
    <s v="Electronics"/>
    <s v="South"/>
    <n v="5"/>
    <n v="3625"/>
  </r>
  <r>
    <d v="2022-12-14T00:00:00"/>
    <x v="2"/>
    <s v="Electronics"/>
    <s v="South"/>
    <n v="1"/>
    <n v="400"/>
  </r>
  <r>
    <d v="2022-02-22T00:00:00"/>
    <x v="6"/>
    <s v="Accessories"/>
    <s v="North"/>
    <n v="5"/>
    <n v="2880"/>
  </r>
  <r>
    <d v="2023-03-28T00:00:00"/>
    <x v="0"/>
    <s v="Office"/>
    <s v="West"/>
    <n v="6"/>
    <n v="1608"/>
  </r>
  <r>
    <d v="2023-02-08T00:00:00"/>
    <x v="4"/>
    <s v="Accessories"/>
    <s v="South"/>
    <n v="2"/>
    <n v="1574"/>
  </r>
  <r>
    <d v="2024-09-13T00:00:00"/>
    <x v="8"/>
    <s v="Accessories"/>
    <s v="East"/>
    <n v="3"/>
    <n v="2478"/>
  </r>
  <r>
    <d v="2024-09-20T00:00:00"/>
    <x v="4"/>
    <s v="Accessories"/>
    <s v="East"/>
    <n v="8"/>
    <n v="8872"/>
  </r>
  <r>
    <d v="2024-03-24T00:00:00"/>
    <x v="0"/>
    <s v="Office"/>
    <s v="East"/>
    <n v="8"/>
    <n v="2320"/>
  </r>
  <r>
    <d v="2023-07-29T00:00:00"/>
    <x v="4"/>
    <s v="Accessories"/>
    <s v="West"/>
    <n v="3"/>
    <n v="171"/>
  </r>
  <r>
    <d v="2024-11-20T00:00:00"/>
    <x v="8"/>
    <s v="Accessories"/>
    <s v="South"/>
    <n v="8"/>
    <n v="4536"/>
  </r>
  <r>
    <d v="2024-06-09T00:00:00"/>
    <x v="4"/>
    <s v="Accessories"/>
    <s v="South"/>
    <n v="3"/>
    <n v="1308"/>
  </r>
  <r>
    <d v="2022-10-27T00:00:00"/>
    <x v="9"/>
    <s v="Electronics"/>
    <s v="North"/>
    <n v="4"/>
    <n v="4048"/>
  </r>
  <r>
    <d v="2022-05-29T00:00:00"/>
    <x v="2"/>
    <s v="Electronics"/>
    <s v="East"/>
    <n v="9"/>
    <n v="4041"/>
  </r>
  <r>
    <d v="2024-05-24T00:00:00"/>
    <x v="4"/>
    <s v="Accessories"/>
    <s v="South"/>
    <n v="5"/>
    <n v="5665"/>
  </r>
  <r>
    <d v="2023-11-29T00:00:00"/>
    <x v="1"/>
    <s v="Accessories"/>
    <s v="South"/>
    <n v="6"/>
    <n v="6876"/>
  </r>
  <r>
    <d v="2023-03-02T00:00:00"/>
    <x v="6"/>
    <s v="Accessories"/>
    <s v="South"/>
    <n v="1"/>
    <n v="617"/>
  </r>
  <r>
    <d v="2022-09-15T00:00:00"/>
    <x v="6"/>
    <s v="Accessories"/>
    <s v="South"/>
    <n v="6"/>
    <n v="1440"/>
  </r>
  <r>
    <d v="2024-04-17T00:00:00"/>
    <x v="5"/>
    <s v="Electronics"/>
    <s v="East"/>
    <n v="8"/>
    <n v="472"/>
  </r>
  <r>
    <d v="2023-06-30T00:00:00"/>
    <x v="9"/>
    <s v="Electronics"/>
    <s v="North"/>
    <n v="5"/>
    <n v="5640"/>
  </r>
  <r>
    <d v="2022-10-26T00:00:00"/>
    <x v="4"/>
    <s v="Accessories"/>
    <s v="West"/>
    <n v="6"/>
    <n v="2640"/>
  </r>
  <r>
    <d v="2024-07-13T00:00:00"/>
    <x v="7"/>
    <s v="Electronics"/>
    <s v="South"/>
    <n v="3"/>
    <n v="768"/>
  </r>
  <r>
    <d v="2024-02-22T00:00:00"/>
    <x v="8"/>
    <s v="Accessories"/>
    <s v="South"/>
    <n v="1"/>
    <n v="725"/>
  </r>
  <r>
    <d v="2024-04-28T00:00:00"/>
    <x v="4"/>
    <s v="Accessories"/>
    <s v="North"/>
    <n v="8"/>
    <n v="1080"/>
  </r>
  <r>
    <d v="2024-10-30T00:00:00"/>
    <x v="4"/>
    <s v="Accessories"/>
    <s v="South"/>
    <n v="1"/>
    <n v="393"/>
  </r>
  <r>
    <d v="2024-06-11T00:00:00"/>
    <x v="5"/>
    <s v="Electronics"/>
    <s v="North"/>
    <n v="4"/>
    <n v="1264"/>
  </r>
  <r>
    <d v="2022-09-03T00:00:00"/>
    <x v="4"/>
    <s v="Accessories"/>
    <s v="South"/>
    <n v="9"/>
    <n v="4797"/>
  </r>
  <r>
    <d v="2022-03-27T00:00:00"/>
    <x v="2"/>
    <s v="Electronics"/>
    <s v="East"/>
    <n v="8"/>
    <n v="2080"/>
  </r>
  <r>
    <d v="2022-02-16T00:00:00"/>
    <x v="3"/>
    <s v="Electronics"/>
    <s v="West"/>
    <n v="4"/>
    <n v="3812"/>
  </r>
  <r>
    <d v="2024-02-25T00:00:00"/>
    <x v="1"/>
    <s v="Accessories"/>
    <s v="West"/>
    <n v="5"/>
    <n v="3695"/>
  </r>
  <r>
    <d v="2022-01-31T00:00:00"/>
    <x v="1"/>
    <s v="Accessories"/>
    <s v="South"/>
    <n v="1"/>
    <n v="1159"/>
  </r>
  <r>
    <d v="2024-08-06T00:00:00"/>
    <x v="2"/>
    <s v="Electronics"/>
    <s v="West"/>
    <n v="9"/>
    <n v="4149"/>
  </r>
  <r>
    <d v="2023-12-05T00:00:00"/>
    <x v="8"/>
    <s v="Accessories"/>
    <s v="East"/>
    <n v="2"/>
    <n v="1446"/>
  </r>
  <r>
    <d v="2024-07-24T00:00:00"/>
    <x v="9"/>
    <s v="Electronics"/>
    <s v="South"/>
    <n v="1"/>
    <n v="225"/>
  </r>
  <r>
    <d v="2022-12-09T00:00:00"/>
    <x v="4"/>
    <s v="Accessories"/>
    <s v="South"/>
    <n v="1"/>
    <n v="355"/>
  </r>
  <r>
    <d v="2023-09-15T00:00:00"/>
    <x v="2"/>
    <s v="Electronics"/>
    <s v="West"/>
    <n v="7"/>
    <n v="3164"/>
  </r>
  <r>
    <d v="2022-10-28T00:00:00"/>
    <x v="5"/>
    <s v="Electronics"/>
    <s v="East"/>
    <n v="1"/>
    <n v="498"/>
  </r>
  <r>
    <d v="2023-04-28T00:00:00"/>
    <x v="4"/>
    <s v="Accessories"/>
    <s v="South"/>
    <n v="5"/>
    <n v="1315"/>
  </r>
  <r>
    <d v="2024-09-13T00:00:00"/>
    <x v="4"/>
    <s v="Accessories"/>
    <s v="North"/>
    <n v="5"/>
    <n v="2805"/>
  </r>
  <r>
    <d v="2022-11-01T00:00:00"/>
    <x v="6"/>
    <s v="Accessories"/>
    <s v="East"/>
    <n v="5"/>
    <n v="5180"/>
  </r>
  <r>
    <d v="2022-06-07T00:00:00"/>
    <x v="3"/>
    <s v="Electronics"/>
    <s v="North"/>
    <n v="5"/>
    <n v="4045"/>
  </r>
  <r>
    <d v="2024-06-22T00:00:00"/>
    <x v="9"/>
    <s v="Electronics"/>
    <s v="North"/>
    <n v="9"/>
    <n v="8793"/>
  </r>
  <r>
    <d v="2024-08-08T00:00:00"/>
    <x v="4"/>
    <s v="Accessories"/>
    <s v="South"/>
    <n v="8"/>
    <n v="2592"/>
  </r>
  <r>
    <d v="2022-02-08T00:00:00"/>
    <x v="8"/>
    <s v="Accessories"/>
    <s v="East"/>
    <n v="7"/>
    <n v="7819"/>
  </r>
  <r>
    <d v="2024-07-11T00:00:00"/>
    <x v="5"/>
    <s v="Electronics"/>
    <s v="North"/>
    <n v="7"/>
    <n v="2919"/>
  </r>
  <r>
    <d v="2023-06-03T00:00:00"/>
    <x v="0"/>
    <s v="Office"/>
    <s v="South"/>
    <n v="3"/>
    <n v="768"/>
  </r>
  <r>
    <d v="2023-12-02T00:00:00"/>
    <x v="7"/>
    <s v="Electronics"/>
    <s v="West"/>
    <n v="2"/>
    <n v="1736"/>
  </r>
  <r>
    <d v="2023-07-18T00:00:00"/>
    <x v="5"/>
    <s v="Electronics"/>
    <s v="South"/>
    <n v="7"/>
    <n v="6293"/>
  </r>
  <r>
    <d v="2024-03-21T00:00:00"/>
    <x v="4"/>
    <s v="Accessories"/>
    <s v="South"/>
    <n v="6"/>
    <n v="3684"/>
  </r>
  <r>
    <d v="2024-12-24T00:00:00"/>
    <x v="0"/>
    <s v="Office"/>
    <s v="South"/>
    <n v="9"/>
    <n v="8370"/>
  </r>
  <r>
    <d v="2023-08-24T00:00:00"/>
    <x v="8"/>
    <s v="Accessories"/>
    <s v="South"/>
    <n v="4"/>
    <n v="3788"/>
  </r>
  <r>
    <d v="2023-08-22T00:00:00"/>
    <x v="9"/>
    <s v="Electronics"/>
    <s v="West"/>
    <n v="8"/>
    <n v="8296"/>
  </r>
  <r>
    <d v="2022-10-10T00:00:00"/>
    <x v="2"/>
    <s v="Electronics"/>
    <s v="West"/>
    <n v="5"/>
    <n v="325"/>
  </r>
  <r>
    <d v="2024-08-16T00:00:00"/>
    <x v="3"/>
    <s v="Electronics"/>
    <s v="North"/>
    <n v="2"/>
    <n v="2216"/>
  </r>
  <r>
    <d v="2022-01-31T00:00:00"/>
    <x v="9"/>
    <s v="Electronics"/>
    <s v="North"/>
    <n v="8"/>
    <n v="7064"/>
  </r>
  <r>
    <d v="2024-08-08T00:00:00"/>
    <x v="1"/>
    <s v="Accessories"/>
    <s v="East"/>
    <n v="9"/>
    <n v="2538"/>
  </r>
  <r>
    <d v="2024-03-13T00:00:00"/>
    <x v="4"/>
    <s v="Accessories"/>
    <s v="North"/>
    <n v="1"/>
    <n v="1151"/>
  </r>
  <r>
    <d v="2022-01-18T00:00:00"/>
    <x v="8"/>
    <s v="Accessories"/>
    <s v="East"/>
    <n v="1"/>
    <n v="717"/>
  </r>
  <r>
    <d v="2022-01-12T00:00:00"/>
    <x v="5"/>
    <s v="Electronics"/>
    <s v="East"/>
    <n v="8"/>
    <n v="3048"/>
  </r>
  <r>
    <d v="2024-02-19T00:00:00"/>
    <x v="8"/>
    <s v="Accessories"/>
    <s v="South"/>
    <n v="3"/>
    <n v="2070"/>
  </r>
  <r>
    <d v="2023-08-14T00:00:00"/>
    <x v="3"/>
    <s v="Electronics"/>
    <s v="East"/>
    <n v="5"/>
    <n v="3630"/>
  </r>
  <r>
    <d v="2022-04-13T00:00:00"/>
    <x v="2"/>
    <s v="Electronics"/>
    <s v="East"/>
    <n v="7"/>
    <n v="896"/>
  </r>
  <r>
    <d v="2024-02-29T00:00:00"/>
    <x v="2"/>
    <s v="Electronics"/>
    <s v="East"/>
    <n v="7"/>
    <n v="1981"/>
  </r>
  <r>
    <d v="2023-07-16T00:00:00"/>
    <x v="4"/>
    <s v="Accessories"/>
    <s v="West"/>
    <n v="6"/>
    <n v="7140"/>
  </r>
  <r>
    <d v="2023-04-13T00:00:00"/>
    <x v="6"/>
    <s v="Accessories"/>
    <s v="North"/>
    <n v="5"/>
    <n v="1015"/>
  </r>
  <r>
    <d v="2024-08-12T00:00:00"/>
    <x v="4"/>
    <s v="Accessories"/>
    <s v="North"/>
    <n v="4"/>
    <n v="524"/>
  </r>
  <r>
    <d v="2023-07-19T00:00:00"/>
    <x v="5"/>
    <s v="Electronics"/>
    <s v="North"/>
    <n v="2"/>
    <n v="1678"/>
  </r>
  <r>
    <d v="2023-05-26T00:00:00"/>
    <x v="2"/>
    <s v="Electronics"/>
    <s v="South"/>
    <n v="4"/>
    <n v="3260"/>
  </r>
  <r>
    <d v="2024-10-18T00:00:00"/>
    <x v="4"/>
    <s v="Accessories"/>
    <s v="South"/>
    <n v="5"/>
    <n v="720"/>
  </r>
  <r>
    <d v="2024-05-04T00:00:00"/>
    <x v="0"/>
    <s v="Office"/>
    <s v="West"/>
    <n v="4"/>
    <n v="1792"/>
  </r>
  <r>
    <d v="2022-06-18T00:00:00"/>
    <x v="2"/>
    <s v="Electronics"/>
    <s v="South"/>
    <n v="9"/>
    <n v="3096"/>
  </r>
  <r>
    <d v="2024-09-06T00:00:00"/>
    <x v="8"/>
    <s v="Accessories"/>
    <s v="South"/>
    <n v="5"/>
    <n v="1400"/>
  </r>
  <r>
    <d v="2023-02-05T00:00:00"/>
    <x v="5"/>
    <s v="Electronics"/>
    <s v="North"/>
    <n v="4"/>
    <n v="508"/>
  </r>
  <r>
    <d v="2022-09-16T00:00:00"/>
    <x v="2"/>
    <s v="Electronics"/>
    <s v="East"/>
    <n v="7"/>
    <n v="2646"/>
  </r>
  <r>
    <d v="2024-03-07T00:00:00"/>
    <x v="1"/>
    <s v="Accessories"/>
    <s v="East"/>
    <n v="1"/>
    <n v="357"/>
  </r>
  <r>
    <d v="2023-12-28T00:00:00"/>
    <x v="2"/>
    <s v="Electronics"/>
    <s v="North"/>
    <n v="1"/>
    <n v="373"/>
  </r>
  <r>
    <d v="2023-03-24T00:00:00"/>
    <x v="7"/>
    <s v="Electronics"/>
    <s v="East"/>
    <n v="1"/>
    <n v="266"/>
  </r>
  <r>
    <d v="2024-10-07T00:00:00"/>
    <x v="7"/>
    <s v="Electronics"/>
    <s v="North"/>
    <n v="4"/>
    <n v="344"/>
  </r>
  <r>
    <d v="2024-06-17T00:00:00"/>
    <x v="7"/>
    <s v="Electronics"/>
    <s v="North"/>
    <n v="7"/>
    <n v="1806"/>
  </r>
  <r>
    <d v="2023-03-10T00:00:00"/>
    <x v="0"/>
    <s v="Office"/>
    <s v="North"/>
    <n v="9"/>
    <n v="7281"/>
  </r>
  <r>
    <d v="2024-06-28T00:00:00"/>
    <x v="5"/>
    <s v="Electronics"/>
    <s v="West"/>
    <n v="7"/>
    <n v="3094"/>
  </r>
  <r>
    <d v="2024-06-02T00:00:00"/>
    <x v="8"/>
    <s v="Accessories"/>
    <s v="East"/>
    <n v="2"/>
    <n v="252"/>
  </r>
  <r>
    <d v="2022-04-27T00:00:00"/>
    <x v="3"/>
    <s v="Electronics"/>
    <s v="East"/>
    <n v="9"/>
    <n v="2691"/>
  </r>
  <r>
    <d v="2024-04-26T00:00:00"/>
    <x v="0"/>
    <s v="Office"/>
    <s v="West"/>
    <n v="6"/>
    <n v="990"/>
  </r>
  <r>
    <d v="2022-06-05T00:00:00"/>
    <x v="5"/>
    <s v="Electronics"/>
    <s v="South"/>
    <n v="4"/>
    <n v="3236"/>
  </r>
  <r>
    <d v="2022-04-27T00:00:00"/>
    <x v="9"/>
    <s v="Electronics"/>
    <s v="East"/>
    <n v="4"/>
    <n v="1076"/>
  </r>
  <r>
    <d v="2022-08-10T00:00:00"/>
    <x v="2"/>
    <s v="Electronics"/>
    <s v="North"/>
    <n v="4"/>
    <n v="1428"/>
  </r>
  <r>
    <d v="2022-04-22T00:00:00"/>
    <x v="8"/>
    <s v="Accessories"/>
    <s v="East"/>
    <n v="5"/>
    <n v="1000"/>
  </r>
  <r>
    <d v="2022-06-10T00:00:00"/>
    <x v="5"/>
    <s v="Electronics"/>
    <s v="South"/>
    <n v="9"/>
    <n v="3429"/>
  </r>
  <r>
    <d v="2023-10-17T00:00:00"/>
    <x v="6"/>
    <s v="Accessories"/>
    <s v="West"/>
    <n v="5"/>
    <n v="4730"/>
  </r>
  <r>
    <d v="2023-11-04T00:00:00"/>
    <x v="6"/>
    <s v="Accessories"/>
    <s v="South"/>
    <n v="6"/>
    <n v="6630"/>
  </r>
  <r>
    <d v="2024-10-22T00:00:00"/>
    <x v="3"/>
    <s v="Electronics"/>
    <s v="South"/>
    <n v="7"/>
    <n v="2296"/>
  </r>
  <r>
    <d v="2023-01-15T00:00:00"/>
    <x v="6"/>
    <s v="Accessories"/>
    <s v="East"/>
    <n v="7"/>
    <n v="7420"/>
  </r>
  <r>
    <d v="2022-04-23T00:00:00"/>
    <x v="0"/>
    <s v="Office"/>
    <s v="South"/>
    <n v="7"/>
    <n v="2338"/>
  </r>
  <r>
    <d v="2022-06-11T00:00:00"/>
    <x v="8"/>
    <s v="Accessories"/>
    <s v="South"/>
    <n v="7"/>
    <n v="4039"/>
  </r>
  <r>
    <d v="2023-05-19T00:00:00"/>
    <x v="9"/>
    <s v="Electronics"/>
    <s v="East"/>
    <n v="2"/>
    <n v="990"/>
  </r>
  <r>
    <d v="2023-08-05T00:00:00"/>
    <x v="9"/>
    <s v="Electronics"/>
    <s v="West"/>
    <n v="1"/>
    <n v="733"/>
  </r>
  <r>
    <d v="2024-01-24T00:00:00"/>
    <x v="7"/>
    <s v="Electronics"/>
    <s v="East"/>
    <n v="3"/>
    <n v="2421"/>
  </r>
  <r>
    <d v="2024-03-14T00:00:00"/>
    <x v="8"/>
    <s v="Accessories"/>
    <s v="East"/>
    <n v="8"/>
    <n v="832"/>
  </r>
  <r>
    <d v="2022-05-13T00:00:00"/>
    <x v="5"/>
    <s v="Electronics"/>
    <s v="East"/>
    <n v="1"/>
    <n v="483"/>
  </r>
  <r>
    <d v="2023-02-27T00:00:00"/>
    <x v="8"/>
    <s v="Accessories"/>
    <s v="North"/>
    <n v="6"/>
    <n v="2508"/>
  </r>
  <r>
    <d v="2023-10-01T00:00:00"/>
    <x v="8"/>
    <s v="Accessories"/>
    <s v="North"/>
    <n v="7"/>
    <n v="4032"/>
  </r>
  <r>
    <d v="2022-04-15T00:00:00"/>
    <x v="8"/>
    <s v="Accessories"/>
    <s v="East"/>
    <n v="8"/>
    <n v="3208"/>
  </r>
  <r>
    <d v="2024-05-10T00:00:00"/>
    <x v="5"/>
    <s v="Electronics"/>
    <s v="South"/>
    <n v="6"/>
    <n v="3402"/>
  </r>
  <r>
    <d v="2024-12-06T00:00:00"/>
    <x v="4"/>
    <s v="Accessories"/>
    <s v="North"/>
    <n v="1"/>
    <n v="541"/>
  </r>
  <r>
    <d v="2022-02-08T00:00:00"/>
    <x v="5"/>
    <s v="Electronics"/>
    <s v="West"/>
    <n v="7"/>
    <n v="1806"/>
  </r>
  <r>
    <d v="2024-08-03T00:00:00"/>
    <x v="4"/>
    <s v="Accessories"/>
    <s v="South"/>
    <n v="3"/>
    <n v="2433"/>
  </r>
  <r>
    <d v="2023-11-10T00:00:00"/>
    <x v="8"/>
    <s v="Accessories"/>
    <s v="East"/>
    <n v="6"/>
    <n v="5880"/>
  </r>
  <r>
    <d v="2023-05-24T00:00:00"/>
    <x v="1"/>
    <s v="Accessories"/>
    <s v="West"/>
    <n v="3"/>
    <n v="3375"/>
  </r>
  <r>
    <d v="2024-05-30T00:00:00"/>
    <x v="2"/>
    <s v="Electronics"/>
    <s v="North"/>
    <n v="8"/>
    <n v="6960"/>
  </r>
  <r>
    <d v="2024-08-06T00:00:00"/>
    <x v="8"/>
    <s v="Accessories"/>
    <s v="West"/>
    <n v="4"/>
    <n v="316"/>
  </r>
  <r>
    <d v="2022-10-10T00:00:00"/>
    <x v="2"/>
    <s v="Electronics"/>
    <s v="North"/>
    <n v="9"/>
    <n v="1404"/>
  </r>
  <r>
    <d v="2024-03-08T00:00:00"/>
    <x v="8"/>
    <s v="Accessories"/>
    <s v="North"/>
    <n v="9"/>
    <n v="5823"/>
  </r>
  <r>
    <d v="2024-05-16T00:00:00"/>
    <x v="4"/>
    <s v="Accessories"/>
    <s v="South"/>
    <n v="6"/>
    <n v="2790"/>
  </r>
  <r>
    <d v="2024-05-31T00:00:00"/>
    <x v="2"/>
    <s v="Electronics"/>
    <s v="West"/>
    <n v="7"/>
    <n v="1169"/>
  </r>
  <r>
    <d v="2023-10-26T00:00:00"/>
    <x v="0"/>
    <s v="Office"/>
    <s v="East"/>
    <n v="8"/>
    <n v="6016"/>
  </r>
  <r>
    <d v="2022-10-15T00:00:00"/>
    <x v="5"/>
    <s v="Electronics"/>
    <s v="North"/>
    <n v="7"/>
    <n v="7154"/>
  </r>
  <r>
    <d v="2024-01-29T00:00:00"/>
    <x v="8"/>
    <s v="Accessories"/>
    <s v="West"/>
    <n v="2"/>
    <n v="370"/>
  </r>
  <r>
    <d v="2024-03-16T00:00:00"/>
    <x v="6"/>
    <s v="Accessories"/>
    <s v="West"/>
    <n v="1"/>
    <n v="430"/>
  </r>
  <r>
    <d v="2022-04-28T00:00:00"/>
    <x v="5"/>
    <s v="Electronics"/>
    <s v="West"/>
    <n v="1"/>
    <n v="946"/>
  </r>
  <r>
    <d v="2024-05-20T00:00:00"/>
    <x v="2"/>
    <s v="Electronics"/>
    <s v="South"/>
    <n v="8"/>
    <n v="984"/>
  </r>
  <r>
    <d v="2022-11-26T00:00:00"/>
    <x v="8"/>
    <s v="Accessories"/>
    <s v="East"/>
    <n v="9"/>
    <n v="1467"/>
  </r>
  <r>
    <d v="2023-08-16T00:00:00"/>
    <x v="7"/>
    <s v="Electronics"/>
    <s v="South"/>
    <n v="4"/>
    <n v="2444"/>
  </r>
  <r>
    <d v="2023-11-02T00:00:00"/>
    <x v="1"/>
    <s v="Accessories"/>
    <s v="North"/>
    <n v="9"/>
    <n v="8640"/>
  </r>
  <r>
    <d v="2023-07-17T00:00:00"/>
    <x v="5"/>
    <s v="Electronics"/>
    <s v="West"/>
    <n v="9"/>
    <n v="3861"/>
  </r>
  <r>
    <d v="2022-07-24T00:00:00"/>
    <x v="8"/>
    <s v="Accessories"/>
    <s v="North"/>
    <n v="1"/>
    <n v="868"/>
  </r>
  <r>
    <d v="2024-11-03T00:00:00"/>
    <x v="9"/>
    <s v="Electronics"/>
    <s v="South"/>
    <n v="9"/>
    <n v="1746"/>
  </r>
  <r>
    <d v="2024-08-19T00:00:00"/>
    <x v="0"/>
    <s v="Office"/>
    <s v="South"/>
    <n v="1"/>
    <n v="915"/>
  </r>
  <r>
    <d v="2024-09-15T00:00:00"/>
    <x v="5"/>
    <s v="Electronics"/>
    <s v="East"/>
    <n v="9"/>
    <n v="3591"/>
  </r>
  <r>
    <d v="2023-01-28T00:00:00"/>
    <x v="3"/>
    <s v="Electronics"/>
    <s v="East"/>
    <n v="6"/>
    <n v="2562"/>
  </r>
  <r>
    <d v="2022-11-28T00:00:00"/>
    <x v="5"/>
    <s v="Electronics"/>
    <s v="West"/>
    <n v="9"/>
    <n v="5382"/>
  </r>
  <r>
    <d v="2024-11-18T00:00:00"/>
    <x v="5"/>
    <s v="Electronics"/>
    <s v="East"/>
    <n v="4"/>
    <n v="2792"/>
  </r>
  <r>
    <d v="2022-04-23T00:00:00"/>
    <x v="4"/>
    <s v="Accessories"/>
    <s v="East"/>
    <n v="4"/>
    <n v="2160"/>
  </r>
  <r>
    <d v="2023-05-23T00:00:00"/>
    <x v="6"/>
    <s v="Accessories"/>
    <s v="West"/>
    <n v="7"/>
    <n v="6377"/>
  </r>
  <r>
    <d v="2024-05-17T00:00:00"/>
    <x v="7"/>
    <s v="Electronics"/>
    <s v="East"/>
    <n v="8"/>
    <n v="5264"/>
  </r>
  <r>
    <d v="2023-12-18T00:00:00"/>
    <x v="9"/>
    <s v="Electronics"/>
    <s v="North"/>
    <n v="2"/>
    <n v="1346"/>
  </r>
  <r>
    <d v="2023-08-19T00:00:00"/>
    <x v="3"/>
    <s v="Electronics"/>
    <s v="South"/>
    <n v="7"/>
    <n v="7301"/>
  </r>
  <r>
    <d v="2023-04-20T00:00:00"/>
    <x v="8"/>
    <s v="Accessories"/>
    <s v="South"/>
    <n v="2"/>
    <n v="2016"/>
  </r>
  <r>
    <d v="2022-06-30T00:00:00"/>
    <x v="9"/>
    <s v="Electronics"/>
    <s v="North"/>
    <n v="6"/>
    <n v="1266"/>
  </r>
  <r>
    <d v="2023-04-11T00:00:00"/>
    <x v="1"/>
    <s v="Accessories"/>
    <s v="West"/>
    <n v="2"/>
    <n v="140"/>
  </r>
  <r>
    <d v="2024-07-22T00:00:00"/>
    <x v="3"/>
    <s v="Electronics"/>
    <s v="East"/>
    <n v="8"/>
    <n v="6520"/>
  </r>
  <r>
    <d v="2022-02-19T00:00:00"/>
    <x v="8"/>
    <s v="Accessories"/>
    <s v="East"/>
    <n v="1"/>
    <n v="582"/>
  </r>
  <r>
    <d v="2024-03-10T00:00:00"/>
    <x v="0"/>
    <s v="Office"/>
    <s v="West"/>
    <n v="1"/>
    <n v="245"/>
  </r>
  <r>
    <d v="2024-04-27T00:00:00"/>
    <x v="1"/>
    <s v="Accessories"/>
    <s v="South"/>
    <n v="1"/>
    <n v="504"/>
  </r>
  <r>
    <d v="2022-10-06T00:00:00"/>
    <x v="6"/>
    <s v="Accessories"/>
    <s v="South"/>
    <n v="6"/>
    <n v="6834"/>
  </r>
  <r>
    <d v="2022-10-01T00:00:00"/>
    <x v="4"/>
    <s v="Accessories"/>
    <s v="West"/>
    <n v="8"/>
    <n v="5712"/>
  </r>
  <r>
    <d v="2023-05-09T00:00:00"/>
    <x v="9"/>
    <s v="Electronics"/>
    <s v="South"/>
    <n v="5"/>
    <n v="4485"/>
  </r>
  <r>
    <d v="2024-06-02T00:00:00"/>
    <x v="4"/>
    <s v="Accessories"/>
    <s v="West"/>
    <n v="8"/>
    <n v="2304"/>
  </r>
  <r>
    <d v="2024-06-23T00:00:00"/>
    <x v="1"/>
    <s v="Accessories"/>
    <s v="North"/>
    <n v="6"/>
    <n v="6576"/>
  </r>
  <r>
    <d v="2022-11-16T00:00:00"/>
    <x v="8"/>
    <s v="Accessories"/>
    <s v="South"/>
    <n v="9"/>
    <n v="10629"/>
  </r>
  <r>
    <d v="2022-03-12T00:00:00"/>
    <x v="3"/>
    <s v="Electronics"/>
    <s v="East"/>
    <n v="1"/>
    <n v="706"/>
  </r>
  <r>
    <d v="2022-04-16T00:00:00"/>
    <x v="4"/>
    <s v="Accessories"/>
    <s v="South"/>
    <n v="1"/>
    <n v="977"/>
  </r>
  <r>
    <d v="2023-04-16T00:00:00"/>
    <x v="5"/>
    <s v="Electronics"/>
    <s v="South"/>
    <n v="4"/>
    <n v="776"/>
  </r>
  <r>
    <d v="2022-10-12T00:00:00"/>
    <x v="2"/>
    <s v="Electronics"/>
    <s v="West"/>
    <n v="4"/>
    <n v="3932"/>
  </r>
  <r>
    <d v="2022-10-29T00:00:00"/>
    <x v="8"/>
    <s v="Accessories"/>
    <s v="East"/>
    <n v="3"/>
    <n v="1263"/>
  </r>
  <r>
    <d v="2022-08-01T00:00:00"/>
    <x v="8"/>
    <s v="Accessories"/>
    <s v="East"/>
    <n v="8"/>
    <n v="7064"/>
  </r>
  <r>
    <d v="2023-04-20T00:00:00"/>
    <x v="8"/>
    <s v="Accessories"/>
    <s v="West"/>
    <n v="4"/>
    <n v="4740"/>
  </r>
  <r>
    <d v="2024-03-25T00:00:00"/>
    <x v="0"/>
    <s v="Office"/>
    <s v="South"/>
    <n v="7"/>
    <n v="4522"/>
  </r>
  <r>
    <d v="2023-12-28T00:00:00"/>
    <x v="2"/>
    <s v="Electronics"/>
    <s v="South"/>
    <n v="7"/>
    <n v="2009"/>
  </r>
  <r>
    <d v="2024-04-18T00:00:00"/>
    <x v="7"/>
    <s v="Electronics"/>
    <s v="East"/>
    <n v="2"/>
    <n v="2110"/>
  </r>
  <r>
    <d v="2024-09-26T00:00:00"/>
    <x v="1"/>
    <s v="Accessories"/>
    <s v="West"/>
    <n v="1"/>
    <n v="95"/>
  </r>
  <r>
    <d v="2023-11-19T00:00:00"/>
    <x v="5"/>
    <s v="Electronics"/>
    <s v="East"/>
    <n v="1"/>
    <n v="384"/>
  </r>
  <r>
    <d v="2023-04-23T00:00:00"/>
    <x v="2"/>
    <s v="Electronics"/>
    <s v="North"/>
    <n v="3"/>
    <n v="3471"/>
  </r>
  <r>
    <d v="2023-06-20T00:00:00"/>
    <x v="2"/>
    <s v="Electronics"/>
    <s v="West"/>
    <n v="4"/>
    <n v="2048"/>
  </r>
  <r>
    <d v="2022-08-05T00:00:00"/>
    <x v="6"/>
    <s v="Accessories"/>
    <s v="South"/>
    <n v="8"/>
    <n v="9296"/>
  </r>
  <r>
    <d v="2022-05-28T00:00:00"/>
    <x v="9"/>
    <s v="Electronics"/>
    <s v="West"/>
    <n v="8"/>
    <n v="5272"/>
  </r>
  <r>
    <d v="2024-01-18T00:00:00"/>
    <x v="4"/>
    <s v="Accessories"/>
    <s v="East"/>
    <n v="1"/>
    <n v="619"/>
  </r>
  <r>
    <d v="2023-04-27T00:00:00"/>
    <x v="9"/>
    <s v="Electronics"/>
    <s v="North"/>
    <n v="1"/>
    <n v="448"/>
  </r>
  <r>
    <d v="2022-06-10T00:00:00"/>
    <x v="8"/>
    <s v="Accessories"/>
    <s v="North"/>
    <n v="9"/>
    <n v="5004"/>
  </r>
  <r>
    <d v="2023-12-05T00:00:00"/>
    <x v="8"/>
    <s v="Accessories"/>
    <s v="North"/>
    <n v="4"/>
    <n v="4716"/>
  </r>
  <r>
    <d v="2022-05-11T00:00:00"/>
    <x v="0"/>
    <s v="Office"/>
    <s v="West"/>
    <n v="9"/>
    <n v="7506"/>
  </r>
  <r>
    <d v="2024-01-11T00:00:00"/>
    <x v="8"/>
    <s v="Accessories"/>
    <s v="North"/>
    <n v="7"/>
    <n v="4095"/>
  </r>
  <r>
    <d v="2024-07-31T00:00:00"/>
    <x v="5"/>
    <s v="Electronics"/>
    <s v="North"/>
    <n v="7"/>
    <n v="4459"/>
  </r>
  <r>
    <d v="2022-10-31T00:00:00"/>
    <x v="2"/>
    <s v="Electronics"/>
    <s v="South"/>
    <n v="5"/>
    <n v="620"/>
  </r>
  <r>
    <d v="2022-08-17T00:00:00"/>
    <x v="5"/>
    <s v="Electronics"/>
    <s v="West"/>
    <n v="2"/>
    <n v="2362"/>
  </r>
  <r>
    <d v="2022-03-28T00:00:00"/>
    <x v="0"/>
    <s v="Office"/>
    <s v="North"/>
    <n v="2"/>
    <n v="606"/>
  </r>
  <r>
    <d v="2024-07-26T00:00:00"/>
    <x v="3"/>
    <s v="Electronics"/>
    <s v="East"/>
    <n v="4"/>
    <n v="1084"/>
  </r>
  <r>
    <d v="2022-02-04T00:00:00"/>
    <x v="9"/>
    <s v="Electronics"/>
    <s v="North"/>
    <n v="8"/>
    <n v="2880"/>
  </r>
  <r>
    <d v="2023-04-20T00:00:00"/>
    <x v="9"/>
    <s v="Electronics"/>
    <s v="West"/>
    <n v="8"/>
    <n v="4544"/>
  </r>
  <r>
    <d v="2024-09-08T00:00:00"/>
    <x v="1"/>
    <s v="Accessories"/>
    <s v="West"/>
    <n v="4"/>
    <n v="556"/>
  </r>
  <r>
    <d v="2023-11-30T00:00:00"/>
    <x v="9"/>
    <s v="Electronics"/>
    <s v="North"/>
    <n v="5"/>
    <n v="505"/>
  </r>
  <r>
    <d v="2023-03-03T00:00:00"/>
    <x v="2"/>
    <s v="Electronics"/>
    <s v="West"/>
    <n v="5"/>
    <n v="2595"/>
  </r>
  <r>
    <d v="2023-01-24T00:00:00"/>
    <x v="4"/>
    <s v="Accessories"/>
    <s v="South"/>
    <n v="5"/>
    <n v="2820"/>
  </r>
  <r>
    <d v="2023-10-29T00:00:00"/>
    <x v="8"/>
    <s v="Accessories"/>
    <s v="East"/>
    <n v="2"/>
    <n v="1018"/>
  </r>
  <r>
    <d v="2023-03-04T00:00:00"/>
    <x v="9"/>
    <s v="Electronics"/>
    <s v="East"/>
    <n v="4"/>
    <n v="944"/>
  </r>
  <r>
    <d v="2023-08-30T00:00:00"/>
    <x v="2"/>
    <s v="Electronics"/>
    <s v="East"/>
    <n v="1"/>
    <n v="610"/>
  </r>
  <r>
    <d v="2024-05-25T00:00:00"/>
    <x v="3"/>
    <s v="Electronics"/>
    <s v="South"/>
    <n v="4"/>
    <n v="912"/>
  </r>
  <r>
    <d v="2023-04-02T00:00:00"/>
    <x v="6"/>
    <s v="Accessories"/>
    <s v="West"/>
    <n v="9"/>
    <n v="10413"/>
  </r>
  <r>
    <d v="2023-07-27T00:00:00"/>
    <x v="0"/>
    <s v="Office"/>
    <s v="West"/>
    <n v="8"/>
    <n v="2176"/>
  </r>
  <r>
    <d v="2022-01-04T00:00:00"/>
    <x v="0"/>
    <s v="Office"/>
    <s v="East"/>
    <n v="6"/>
    <n v="6108"/>
  </r>
  <r>
    <d v="2024-02-14T00:00:00"/>
    <x v="1"/>
    <s v="Accessories"/>
    <s v="West"/>
    <n v="2"/>
    <n v="1148"/>
  </r>
  <r>
    <d v="2024-05-01T00:00:00"/>
    <x v="6"/>
    <s v="Accessories"/>
    <s v="East"/>
    <n v="8"/>
    <n v="8824"/>
  </r>
  <r>
    <d v="2022-06-17T00:00:00"/>
    <x v="4"/>
    <s v="Accessories"/>
    <s v="North"/>
    <n v="5"/>
    <n v="2240"/>
  </r>
  <r>
    <d v="2022-02-17T00:00:00"/>
    <x v="3"/>
    <s v="Electronics"/>
    <s v="North"/>
    <n v="2"/>
    <n v="1312"/>
  </r>
  <r>
    <d v="2023-02-02T00:00:00"/>
    <x v="9"/>
    <s v="Electronics"/>
    <s v="South"/>
    <n v="9"/>
    <n v="10620"/>
  </r>
  <r>
    <d v="2024-09-30T00:00:00"/>
    <x v="2"/>
    <s v="Electronics"/>
    <s v="East"/>
    <n v="2"/>
    <n v="2178"/>
  </r>
  <r>
    <d v="2024-05-12T00:00:00"/>
    <x v="6"/>
    <s v="Accessories"/>
    <s v="East"/>
    <n v="3"/>
    <n v="1671"/>
  </r>
  <r>
    <d v="2024-07-28T00:00:00"/>
    <x v="6"/>
    <s v="Accessories"/>
    <s v="East"/>
    <n v="3"/>
    <n v="2025"/>
  </r>
  <r>
    <d v="2024-11-01T00:00:00"/>
    <x v="1"/>
    <s v="Accessories"/>
    <s v="East"/>
    <n v="6"/>
    <n v="2886"/>
  </r>
  <r>
    <d v="2024-07-27T00:00:00"/>
    <x v="0"/>
    <s v="Office"/>
    <s v="East"/>
    <n v="2"/>
    <n v="1868"/>
  </r>
  <r>
    <d v="2023-01-08T00:00:00"/>
    <x v="4"/>
    <s v="Accessories"/>
    <s v="East"/>
    <n v="4"/>
    <n v="3280"/>
  </r>
  <r>
    <d v="2022-05-18T00:00:00"/>
    <x v="2"/>
    <s v="Electronics"/>
    <s v="West"/>
    <n v="2"/>
    <n v="1768"/>
  </r>
  <r>
    <d v="2022-12-19T00:00:00"/>
    <x v="3"/>
    <s v="Electronics"/>
    <s v="West"/>
    <n v="7"/>
    <n v="6937"/>
  </r>
  <r>
    <d v="2024-09-21T00:00:00"/>
    <x v="5"/>
    <s v="Electronics"/>
    <s v="North"/>
    <n v="6"/>
    <n v="3012"/>
  </r>
  <r>
    <d v="2024-09-19T00:00:00"/>
    <x v="4"/>
    <s v="Accessories"/>
    <s v="South"/>
    <n v="3"/>
    <n v="777"/>
  </r>
  <r>
    <d v="2024-02-16T00:00:00"/>
    <x v="7"/>
    <s v="Electronics"/>
    <s v="East"/>
    <n v="6"/>
    <n v="4056"/>
  </r>
  <r>
    <d v="2024-11-29T00:00:00"/>
    <x v="0"/>
    <s v="Office"/>
    <s v="South"/>
    <n v="4"/>
    <n v="3212"/>
  </r>
  <r>
    <d v="2024-08-03T00:00:00"/>
    <x v="5"/>
    <s v="Electronics"/>
    <s v="West"/>
    <n v="1"/>
    <n v="952"/>
  </r>
  <r>
    <d v="2022-05-29T00:00:00"/>
    <x v="7"/>
    <s v="Electronics"/>
    <s v="North"/>
    <n v="3"/>
    <n v="1674"/>
  </r>
  <r>
    <d v="2024-02-13T00:00:00"/>
    <x v="5"/>
    <s v="Electronics"/>
    <s v="East"/>
    <n v="5"/>
    <n v="4315"/>
  </r>
  <r>
    <d v="2023-12-15T00:00:00"/>
    <x v="1"/>
    <s v="Accessories"/>
    <s v="North"/>
    <n v="7"/>
    <n v="1722"/>
  </r>
  <r>
    <d v="2022-09-14T00:00:00"/>
    <x v="8"/>
    <s v="Accessories"/>
    <s v="South"/>
    <n v="5"/>
    <n v="2895"/>
  </r>
  <r>
    <d v="2023-07-28T00:00:00"/>
    <x v="2"/>
    <s v="Electronics"/>
    <s v="North"/>
    <n v="2"/>
    <n v="1280"/>
  </r>
  <r>
    <d v="2022-04-10T00:00:00"/>
    <x v="4"/>
    <s v="Accessories"/>
    <s v="East"/>
    <n v="5"/>
    <n v="4295"/>
  </r>
  <r>
    <d v="2022-08-07T00:00:00"/>
    <x v="0"/>
    <s v="Office"/>
    <s v="South"/>
    <n v="6"/>
    <n v="4434"/>
  </r>
  <r>
    <d v="2022-07-09T00:00:00"/>
    <x v="8"/>
    <s v="Accessories"/>
    <s v="North"/>
    <n v="6"/>
    <n v="3816"/>
  </r>
  <r>
    <d v="2024-04-09T00:00:00"/>
    <x v="4"/>
    <s v="Accessories"/>
    <s v="East"/>
    <n v="7"/>
    <n v="6335"/>
  </r>
  <r>
    <d v="2024-11-11T00:00:00"/>
    <x v="1"/>
    <s v="Accessories"/>
    <s v="West"/>
    <n v="3"/>
    <n v="315"/>
  </r>
  <r>
    <d v="2024-11-27T00:00:00"/>
    <x v="3"/>
    <s v="Electronics"/>
    <s v="East"/>
    <n v="2"/>
    <n v="626"/>
  </r>
  <r>
    <d v="2024-05-23T00:00:00"/>
    <x v="5"/>
    <s v="Electronics"/>
    <s v="South"/>
    <n v="1"/>
    <n v="1140"/>
  </r>
  <r>
    <d v="2022-11-16T00:00:00"/>
    <x v="7"/>
    <s v="Electronics"/>
    <s v="North"/>
    <n v="5"/>
    <n v="590"/>
  </r>
  <r>
    <d v="2022-04-21T00:00:00"/>
    <x v="2"/>
    <s v="Electronics"/>
    <s v="East"/>
    <n v="1"/>
    <n v="631"/>
  </r>
  <r>
    <d v="2024-09-04T00:00:00"/>
    <x v="6"/>
    <s v="Accessories"/>
    <s v="South"/>
    <n v="8"/>
    <n v="1944"/>
  </r>
  <r>
    <d v="2024-03-24T00:00:00"/>
    <x v="7"/>
    <s v="Electronics"/>
    <s v="North"/>
    <n v="6"/>
    <n v="5100"/>
  </r>
  <r>
    <d v="2024-09-24T00:00:00"/>
    <x v="8"/>
    <s v="Accessories"/>
    <s v="South"/>
    <n v="6"/>
    <n v="1092"/>
  </r>
  <r>
    <d v="2023-08-12T00:00:00"/>
    <x v="6"/>
    <s v="Accessories"/>
    <s v="West"/>
    <n v="7"/>
    <n v="4662"/>
  </r>
  <r>
    <d v="2023-01-18T00:00:00"/>
    <x v="4"/>
    <s v="Accessories"/>
    <s v="West"/>
    <n v="7"/>
    <n v="4312"/>
  </r>
  <r>
    <d v="2022-10-20T00:00:00"/>
    <x v="1"/>
    <s v="Accessories"/>
    <s v="North"/>
    <n v="6"/>
    <n v="4056"/>
  </r>
  <r>
    <d v="2023-11-23T00:00:00"/>
    <x v="4"/>
    <s v="Accessories"/>
    <s v="North"/>
    <n v="3"/>
    <n v="534"/>
  </r>
  <r>
    <d v="2023-05-31T00:00:00"/>
    <x v="0"/>
    <s v="Office"/>
    <s v="South"/>
    <n v="5"/>
    <n v="3475"/>
  </r>
  <r>
    <d v="2023-07-11T00:00:00"/>
    <x v="2"/>
    <s v="Electronics"/>
    <s v="South"/>
    <n v="5"/>
    <n v="4880"/>
  </r>
  <r>
    <d v="2024-10-25T00:00:00"/>
    <x v="2"/>
    <s v="Electronics"/>
    <s v="West"/>
    <n v="8"/>
    <n v="8336"/>
  </r>
  <r>
    <d v="2023-05-08T00:00:00"/>
    <x v="1"/>
    <s v="Accessories"/>
    <s v="North"/>
    <n v="8"/>
    <n v="9232"/>
  </r>
  <r>
    <d v="2022-01-07T00:00:00"/>
    <x v="7"/>
    <s v="Electronics"/>
    <s v="South"/>
    <n v="3"/>
    <n v="2031"/>
  </r>
  <r>
    <d v="2022-01-10T00:00:00"/>
    <x v="5"/>
    <s v="Electronics"/>
    <s v="North"/>
    <n v="3"/>
    <n v="2412"/>
  </r>
  <r>
    <d v="2023-12-03T00:00:00"/>
    <x v="7"/>
    <s v="Electronics"/>
    <s v="East"/>
    <n v="1"/>
    <n v="1039"/>
  </r>
  <r>
    <d v="2023-01-03T00:00:00"/>
    <x v="3"/>
    <s v="Electronics"/>
    <s v="West"/>
    <n v="6"/>
    <n v="696"/>
  </r>
  <r>
    <d v="2024-06-26T00:00:00"/>
    <x v="9"/>
    <s v="Electronics"/>
    <s v="North"/>
    <n v="8"/>
    <n v="6160"/>
  </r>
  <r>
    <d v="2022-12-15T00:00:00"/>
    <x v="3"/>
    <s v="Electronics"/>
    <s v="East"/>
    <n v="3"/>
    <n v="447"/>
  </r>
  <r>
    <d v="2023-04-29T00:00:00"/>
    <x v="8"/>
    <s v="Accessories"/>
    <s v="West"/>
    <n v="6"/>
    <n v="6102"/>
  </r>
  <r>
    <d v="2024-04-03T00:00:00"/>
    <x v="3"/>
    <s v="Electronics"/>
    <s v="South"/>
    <n v="9"/>
    <n v="5085"/>
  </r>
  <r>
    <d v="2024-08-16T00:00:00"/>
    <x v="9"/>
    <s v="Electronics"/>
    <s v="North"/>
    <n v="7"/>
    <n v="3038"/>
  </r>
  <r>
    <d v="2024-03-11T00:00:00"/>
    <x v="4"/>
    <s v="Accessories"/>
    <s v="West"/>
    <n v="1"/>
    <n v="882"/>
  </r>
  <r>
    <d v="2023-03-15T00:00:00"/>
    <x v="6"/>
    <s v="Accessories"/>
    <s v="West"/>
    <n v="6"/>
    <n v="2490"/>
  </r>
  <r>
    <d v="2024-08-05T00:00:00"/>
    <x v="3"/>
    <s v="Electronics"/>
    <s v="North"/>
    <n v="1"/>
    <n v="635"/>
  </r>
  <r>
    <d v="2024-07-05T00:00:00"/>
    <x v="9"/>
    <s v="Electronics"/>
    <s v="East"/>
    <n v="1"/>
    <n v="1083"/>
  </r>
  <r>
    <d v="2023-08-10T00:00:00"/>
    <x v="8"/>
    <s v="Accessories"/>
    <s v="West"/>
    <n v="6"/>
    <n v="720"/>
  </r>
  <r>
    <d v="2022-09-17T00:00:00"/>
    <x v="0"/>
    <s v="Office"/>
    <s v="West"/>
    <n v="3"/>
    <n v="3111"/>
  </r>
  <r>
    <d v="2022-04-09T00:00:00"/>
    <x v="5"/>
    <s v="Electronics"/>
    <s v="North"/>
    <n v="6"/>
    <n v="1242"/>
  </r>
  <r>
    <d v="2023-08-02T00:00:00"/>
    <x v="5"/>
    <s v="Electronics"/>
    <s v="West"/>
    <n v="5"/>
    <n v="5845"/>
  </r>
  <r>
    <d v="2023-03-29T00:00:00"/>
    <x v="5"/>
    <s v="Electronics"/>
    <s v="West"/>
    <n v="1"/>
    <n v="835"/>
  </r>
  <r>
    <d v="2022-05-16T00:00:00"/>
    <x v="6"/>
    <s v="Accessories"/>
    <s v="South"/>
    <n v="2"/>
    <n v="2314"/>
  </r>
  <r>
    <d v="2023-02-04T00:00:00"/>
    <x v="5"/>
    <s v="Electronics"/>
    <s v="East"/>
    <n v="7"/>
    <n v="6041"/>
  </r>
  <r>
    <d v="2022-03-23T00:00:00"/>
    <x v="1"/>
    <s v="Accessories"/>
    <s v="North"/>
    <n v="3"/>
    <n v="369"/>
  </r>
  <r>
    <d v="2022-08-12T00:00:00"/>
    <x v="2"/>
    <s v="Electronics"/>
    <s v="West"/>
    <n v="5"/>
    <n v="1635"/>
  </r>
  <r>
    <d v="2022-04-07T00:00:00"/>
    <x v="8"/>
    <s v="Accessories"/>
    <s v="West"/>
    <n v="3"/>
    <n v="2067"/>
  </r>
  <r>
    <d v="2022-03-04T00:00:00"/>
    <x v="7"/>
    <s v="Electronics"/>
    <s v="West"/>
    <n v="6"/>
    <n v="7128"/>
  </r>
  <r>
    <d v="2024-04-24T00:00:00"/>
    <x v="0"/>
    <s v="Office"/>
    <s v="North"/>
    <n v="2"/>
    <n v="944"/>
  </r>
  <r>
    <d v="2022-06-10T00:00:00"/>
    <x v="2"/>
    <s v="Electronics"/>
    <s v="East"/>
    <n v="5"/>
    <n v="5160"/>
  </r>
  <r>
    <d v="2022-06-18T00:00:00"/>
    <x v="7"/>
    <s v="Electronics"/>
    <s v="West"/>
    <n v="8"/>
    <n v="8032"/>
  </r>
  <r>
    <d v="2024-12-16T00:00:00"/>
    <x v="3"/>
    <s v="Electronics"/>
    <s v="South"/>
    <n v="2"/>
    <n v="376"/>
  </r>
  <r>
    <d v="2024-06-22T00:00:00"/>
    <x v="7"/>
    <s v="Electronics"/>
    <s v="South"/>
    <n v="7"/>
    <n v="4144"/>
  </r>
  <r>
    <d v="2024-11-04T00:00:00"/>
    <x v="3"/>
    <s v="Electronics"/>
    <s v="South"/>
    <n v="4"/>
    <n v="2228"/>
  </r>
  <r>
    <d v="2022-11-15T00:00:00"/>
    <x v="2"/>
    <s v="Electronics"/>
    <s v="West"/>
    <n v="1"/>
    <n v="1178"/>
  </r>
  <r>
    <d v="2024-04-27T00:00:00"/>
    <x v="1"/>
    <s v="Accessories"/>
    <s v="North"/>
    <n v="5"/>
    <n v="2505"/>
  </r>
  <r>
    <d v="2024-02-28T00:00:00"/>
    <x v="5"/>
    <s v="Electronics"/>
    <s v="West"/>
    <n v="4"/>
    <n v="1872"/>
  </r>
  <r>
    <d v="2023-12-29T00:00:00"/>
    <x v="0"/>
    <s v="Office"/>
    <s v="West"/>
    <n v="2"/>
    <n v="340"/>
  </r>
  <r>
    <d v="2023-03-08T00:00:00"/>
    <x v="9"/>
    <s v="Electronics"/>
    <s v="West"/>
    <n v="1"/>
    <n v="589"/>
  </r>
  <r>
    <d v="2023-12-12T00:00:00"/>
    <x v="9"/>
    <s v="Electronics"/>
    <s v="West"/>
    <n v="3"/>
    <n v="2598"/>
  </r>
  <r>
    <d v="2022-02-17T00:00:00"/>
    <x v="2"/>
    <s v="Electronics"/>
    <s v="North"/>
    <n v="1"/>
    <n v="502"/>
  </r>
  <r>
    <d v="2024-01-24T00:00:00"/>
    <x v="9"/>
    <s v="Electronics"/>
    <s v="South"/>
    <n v="3"/>
    <n v="3576"/>
  </r>
  <r>
    <d v="2023-02-07T00:00:00"/>
    <x v="8"/>
    <s v="Accessories"/>
    <s v="East"/>
    <n v="3"/>
    <n v="2412"/>
  </r>
  <r>
    <d v="2024-07-31T00:00:00"/>
    <x v="0"/>
    <s v="Office"/>
    <s v="West"/>
    <n v="5"/>
    <n v="1145"/>
  </r>
  <r>
    <d v="2022-02-03T00:00:00"/>
    <x v="8"/>
    <s v="Accessories"/>
    <s v="West"/>
    <n v="2"/>
    <n v="2116"/>
  </r>
  <r>
    <d v="2024-12-16T00:00:00"/>
    <x v="9"/>
    <s v="Electronics"/>
    <s v="North"/>
    <n v="1"/>
    <n v="707"/>
  </r>
  <r>
    <d v="2022-11-11T00:00:00"/>
    <x v="1"/>
    <s v="Accessories"/>
    <s v="South"/>
    <n v="9"/>
    <n v="657"/>
  </r>
  <r>
    <d v="2024-10-14T00:00:00"/>
    <x v="9"/>
    <s v="Electronics"/>
    <s v="South"/>
    <n v="5"/>
    <n v="5345"/>
  </r>
  <r>
    <d v="2024-01-27T00:00:00"/>
    <x v="2"/>
    <s v="Electronics"/>
    <s v="South"/>
    <n v="8"/>
    <n v="4032"/>
  </r>
  <r>
    <d v="2022-08-30T00:00:00"/>
    <x v="3"/>
    <s v="Electronics"/>
    <s v="South"/>
    <n v="4"/>
    <n v="3840"/>
  </r>
  <r>
    <d v="2023-01-23T00:00:00"/>
    <x v="6"/>
    <s v="Accessories"/>
    <s v="East"/>
    <n v="5"/>
    <n v="575"/>
  </r>
  <r>
    <d v="2023-01-02T00:00:00"/>
    <x v="9"/>
    <s v="Electronics"/>
    <s v="West"/>
    <n v="9"/>
    <n v="9315"/>
  </r>
  <r>
    <d v="2024-11-25T00:00:00"/>
    <x v="1"/>
    <s v="Accessories"/>
    <s v="East"/>
    <n v="7"/>
    <n v="3423"/>
  </r>
  <r>
    <d v="2023-11-07T00:00:00"/>
    <x v="6"/>
    <s v="Accessories"/>
    <s v="South"/>
    <n v="6"/>
    <n v="3942"/>
  </r>
  <r>
    <d v="2024-07-15T00:00:00"/>
    <x v="9"/>
    <s v="Electronics"/>
    <s v="South"/>
    <n v="2"/>
    <n v="574"/>
  </r>
  <r>
    <d v="2024-06-04T00:00:00"/>
    <x v="4"/>
    <s v="Accessories"/>
    <s v="North"/>
    <n v="6"/>
    <n v="3024"/>
  </r>
  <r>
    <d v="2022-03-02T00:00:00"/>
    <x v="4"/>
    <s v="Accessories"/>
    <s v="North"/>
    <n v="7"/>
    <n v="952"/>
  </r>
  <r>
    <d v="2023-11-25T00:00:00"/>
    <x v="7"/>
    <s v="Electronics"/>
    <s v="West"/>
    <n v="9"/>
    <n v="9090"/>
  </r>
  <r>
    <d v="2022-05-10T00:00:00"/>
    <x v="2"/>
    <s v="Electronics"/>
    <s v="West"/>
    <n v="2"/>
    <n v="1166"/>
  </r>
  <r>
    <d v="2024-01-09T00:00:00"/>
    <x v="8"/>
    <s v="Accessories"/>
    <s v="South"/>
    <n v="3"/>
    <n v="2925"/>
  </r>
  <r>
    <d v="2023-12-25T00:00:00"/>
    <x v="3"/>
    <s v="Electronics"/>
    <s v="South"/>
    <n v="5"/>
    <n v="3455"/>
  </r>
  <r>
    <d v="2022-12-06T00:00:00"/>
    <x v="7"/>
    <s v="Electronics"/>
    <s v="North"/>
    <n v="2"/>
    <n v="1614"/>
  </r>
  <r>
    <d v="2024-08-07T00:00:00"/>
    <x v="1"/>
    <s v="Accessories"/>
    <s v="West"/>
    <n v="7"/>
    <n v="1771"/>
  </r>
  <r>
    <d v="2023-01-06T00:00:00"/>
    <x v="0"/>
    <s v="Office"/>
    <s v="South"/>
    <n v="6"/>
    <n v="5658"/>
  </r>
  <r>
    <d v="2024-09-25T00:00:00"/>
    <x v="1"/>
    <s v="Accessories"/>
    <s v="East"/>
    <n v="9"/>
    <n v="8460"/>
  </r>
  <r>
    <d v="2023-11-26T00:00:00"/>
    <x v="0"/>
    <s v="Office"/>
    <s v="West"/>
    <n v="5"/>
    <n v="1925"/>
  </r>
  <r>
    <d v="2024-02-02T00:00:00"/>
    <x v="9"/>
    <s v="Electronics"/>
    <s v="North"/>
    <n v="6"/>
    <n v="2196"/>
  </r>
  <r>
    <d v="2024-07-05T00:00:00"/>
    <x v="8"/>
    <s v="Accessories"/>
    <s v="East"/>
    <n v="2"/>
    <n v="1696"/>
  </r>
  <r>
    <d v="2023-11-16T00:00:00"/>
    <x v="0"/>
    <s v="Office"/>
    <s v="South"/>
    <n v="9"/>
    <n v="6813"/>
  </r>
  <r>
    <d v="2024-10-19T00:00:00"/>
    <x v="8"/>
    <s v="Accessories"/>
    <s v="North"/>
    <n v="5"/>
    <n v="3670"/>
  </r>
  <r>
    <d v="2024-10-10T00:00:00"/>
    <x v="8"/>
    <s v="Accessories"/>
    <s v="South"/>
    <n v="4"/>
    <n v="2936"/>
  </r>
  <r>
    <d v="2024-01-29T00:00:00"/>
    <x v="6"/>
    <s v="Accessories"/>
    <s v="West"/>
    <n v="5"/>
    <n v="5165"/>
  </r>
  <r>
    <d v="2024-09-06T00:00:00"/>
    <x v="3"/>
    <s v="Electronics"/>
    <s v="East"/>
    <n v="5"/>
    <n v="5940"/>
  </r>
  <r>
    <d v="2023-06-07T00:00:00"/>
    <x v="5"/>
    <s v="Electronics"/>
    <s v="East"/>
    <n v="6"/>
    <n v="2664"/>
  </r>
  <r>
    <d v="2024-04-12T00:00:00"/>
    <x v="4"/>
    <s v="Accessories"/>
    <s v="East"/>
    <n v="2"/>
    <n v="1198"/>
  </r>
  <r>
    <d v="2024-08-22T00:00:00"/>
    <x v="4"/>
    <s v="Accessories"/>
    <s v="North"/>
    <n v="4"/>
    <n v="1340"/>
  </r>
  <r>
    <d v="2022-10-15T00:00:00"/>
    <x v="6"/>
    <s v="Accessories"/>
    <s v="East"/>
    <n v="9"/>
    <n v="9657"/>
  </r>
  <r>
    <d v="2022-06-28T00:00:00"/>
    <x v="3"/>
    <s v="Electronics"/>
    <s v="North"/>
    <n v="8"/>
    <n v="2592"/>
  </r>
  <r>
    <d v="2023-06-10T00:00:00"/>
    <x v="3"/>
    <s v="Electronics"/>
    <s v="West"/>
    <n v="4"/>
    <n v="1168"/>
  </r>
  <r>
    <d v="2023-03-23T00:00:00"/>
    <x v="4"/>
    <s v="Accessories"/>
    <s v="South"/>
    <n v="8"/>
    <n v="5920"/>
  </r>
  <r>
    <d v="2022-02-17T00:00:00"/>
    <x v="7"/>
    <s v="Electronics"/>
    <s v="West"/>
    <n v="2"/>
    <n v="2260"/>
  </r>
  <r>
    <d v="2023-09-19T00:00:00"/>
    <x v="0"/>
    <s v="Office"/>
    <s v="West"/>
    <n v="8"/>
    <n v="7016"/>
  </r>
  <r>
    <d v="2024-03-29T00:00:00"/>
    <x v="4"/>
    <s v="Accessories"/>
    <s v="North"/>
    <n v="6"/>
    <n v="546"/>
  </r>
  <r>
    <d v="2024-12-02T00:00:00"/>
    <x v="9"/>
    <s v="Electronics"/>
    <s v="East"/>
    <n v="1"/>
    <n v="839"/>
  </r>
  <r>
    <d v="2024-07-24T00:00:00"/>
    <x v="2"/>
    <s v="Electronics"/>
    <s v="South"/>
    <n v="8"/>
    <n v="5176"/>
  </r>
  <r>
    <d v="2023-04-02T00:00:00"/>
    <x v="9"/>
    <s v="Electronics"/>
    <s v="West"/>
    <n v="4"/>
    <n v="280"/>
  </r>
  <r>
    <d v="2024-12-28T00:00:00"/>
    <x v="6"/>
    <s v="Accessories"/>
    <s v="North"/>
    <n v="9"/>
    <n v="2097"/>
  </r>
  <r>
    <d v="2024-05-24T00:00:00"/>
    <x v="1"/>
    <s v="Accessories"/>
    <s v="West"/>
    <n v="6"/>
    <n v="4632"/>
  </r>
  <r>
    <d v="2023-02-09T00:00:00"/>
    <x v="8"/>
    <s v="Accessories"/>
    <s v="North"/>
    <n v="4"/>
    <n v="1088"/>
  </r>
  <r>
    <d v="2023-09-17T00:00:00"/>
    <x v="3"/>
    <s v="Electronics"/>
    <s v="North"/>
    <n v="2"/>
    <n v="1314"/>
  </r>
  <r>
    <d v="2023-05-07T00:00:00"/>
    <x v="1"/>
    <s v="Accessories"/>
    <s v="North"/>
    <n v="8"/>
    <n v="7960"/>
  </r>
  <r>
    <d v="2023-11-22T00:00:00"/>
    <x v="0"/>
    <s v="Office"/>
    <s v="North"/>
    <n v="8"/>
    <n v="2856"/>
  </r>
  <r>
    <d v="2022-06-16T00:00:00"/>
    <x v="5"/>
    <s v="Electronics"/>
    <s v="West"/>
    <n v="4"/>
    <n v="1680"/>
  </r>
  <r>
    <d v="2024-11-20T00:00:00"/>
    <x v="6"/>
    <s v="Accessories"/>
    <s v="North"/>
    <n v="4"/>
    <n v="4464"/>
  </r>
  <r>
    <d v="2023-06-08T00:00:00"/>
    <x v="7"/>
    <s v="Electronics"/>
    <s v="East"/>
    <n v="6"/>
    <n v="2940"/>
  </r>
  <r>
    <d v="2022-06-12T00:00:00"/>
    <x v="6"/>
    <s v="Accessories"/>
    <s v="West"/>
    <n v="8"/>
    <n v="1272"/>
  </r>
  <r>
    <d v="2024-11-21T00:00:00"/>
    <x v="0"/>
    <s v="Office"/>
    <s v="East"/>
    <n v="6"/>
    <n v="1728"/>
  </r>
  <r>
    <d v="2022-09-06T00:00:00"/>
    <x v="6"/>
    <s v="Accessories"/>
    <s v="North"/>
    <n v="3"/>
    <n v="3153"/>
  </r>
  <r>
    <d v="2024-03-23T00:00:00"/>
    <x v="7"/>
    <s v="Electronics"/>
    <s v="West"/>
    <n v="4"/>
    <n v="2536"/>
  </r>
  <r>
    <d v="2022-03-16T00:00:00"/>
    <x v="2"/>
    <s v="Electronics"/>
    <s v="South"/>
    <n v="3"/>
    <n v="2508"/>
  </r>
  <r>
    <d v="2024-10-18T00:00:00"/>
    <x v="2"/>
    <s v="Electronics"/>
    <s v="East"/>
    <n v="1"/>
    <n v="123"/>
  </r>
  <r>
    <d v="2023-07-30T00:00:00"/>
    <x v="7"/>
    <s v="Electronics"/>
    <s v="South"/>
    <n v="3"/>
    <n v="2379"/>
  </r>
  <r>
    <d v="2023-01-04T00:00:00"/>
    <x v="0"/>
    <s v="Office"/>
    <s v="West"/>
    <n v="6"/>
    <n v="6924"/>
  </r>
  <r>
    <d v="2023-05-31T00:00:00"/>
    <x v="5"/>
    <s v="Electronics"/>
    <s v="West"/>
    <n v="9"/>
    <n v="9054"/>
  </r>
  <r>
    <d v="2023-12-08T00:00:00"/>
    <x v="3"/>
    <s v="Electronics"/>
    <s v="South"/>
    <n v="9"/>
    <n v="9936"/>
  </r>
  <r>
    <d v="2022-12-21T00:00:00"/>
    <x v="7"/>
    <s v="Electronics"/>
    <s v="East"/>
    <n v="1"/>
    <n v="393"/>
  </r>
  <r>
    <d v="2024-08-19T00:00:00"/>
    <x v="0"/>
    <s v="Office"/>
    <s v="East"/>
    <n v="2"/>
    <n v="308"/>
  </r>
  <r>
    <d v="2024-10-26T00:00:00"/>
    <x v="2"/>
    <s v="Electronics"/>
    <s v="South"/>
    <n v="5"/>
    <n v="4900"/>
  </r>
  <r>
    <d v="2024-08-24T00:00:00"/>
    <x v="9"/>
    <s v="Electronics"/>
    <s v="South"/>
    <n v="1"/>
    <n v="927"/>
  </r>
  <r>
    <d v="2023-11-23T00:00:00"/>
    <x v="8"/>
    <s v="Accessories"/>
    <s v="East"/>
    <n v="1"/>
    <n v="266"/>
  </r>
  <r>
    <d v="2022-11-04T00:00:00"/>
    <x v="0"/>
    <s v="Office"/>
    <s v="South"/>
    <n v="5"/>
    <n v="4750"/>
  </r>
  <r>
    <d v="2024-07-20T00:00:00"/>
    <x v="5"/>
    <s v="Electronics"/>
    <s v="East"/>
    <n v="8"/>
    <n v="3272"/>
  </r>
  <r>
    <d v="2022-12-10T00:00:00"/>
    <x v="1"/>
    <s v="Accessories"/>
    <s v="East"/>
    <n v="5"/>
    <n v="4350"/>
  </r>
  <r>
    <d v="2024-07-27T00:00:00"/>
    <x v="8"/>
    <s v="Accessories"/>
    <s v="East"/>
    <n v="1"/>
    <n v="706"/>
  </r>
  <r>
    <d v="2024-05-24T00:00:00"/>
    <x v="9"/>
    <s v="Electronics"/>
    <s v="North"/>
    <n v="3"/>
    <n v="213"/>
  </r>
  <r>
    <d v="2023-10-25T00:00:00"/>
    <x v="7"/>
    <s v="Electronics"/>
    <s v="East"/>
    <n v="2"/>
    <n v="1614"/>
  </r>
  <r>
    <d v="2023-02-09T00:00:00"/>
    <x v="1"/>
    <s v="Accessories"/>
    <s v="West"/>
    <n v="8"/>
    <n v="6232"/>
  </r>
  <r>
    <d v="2023-02-03T00:00:00"/>
    <x v="0"/>
    <s v="Office"/>
    <s v="North"/>
    <n v="4"/>
    <n v="3864"/>
  </r>
  <r>
    <d v="2024-12-08T00:00:00"/>
    <x v="4"/>
    <s v="Accessories"/>
    <s v="South"/>
    <n v="3"/>
    <n v="2601"/>
  </r>
  <r>
    <d v="2023-02-01T00:00:00"/>
    <x v="1"/>
    <s v="Accessories"/>
    <s v="East"/>
    <n v="6"/>
    <n v="4944"/>
  </r>
  <r>
    <d v="2023-11-16T00:00:00"/>
    <x v="0"/>
    <s v="Office"/>
    <s v="South"/>
    <n v="4"/>
    <n v="4680"/>
  </r>
  <r>
    <d v="2022-01-29T00:00:00"/>
    <x v="1"/>
    <s v="Accessories"/>
    <s v="South"/>
    <n v="8"/>
    <n v="2112"/>
  </r>
  <r>
    <d v="2022-04-24T00:00:00"/>
    <x v="6"/>
    <s v="Accessories"/>
    <s v="East"/>
    <n v="6"/>
    <n v="7140"/>
  </r>
  <r>
    <d v="2022-10-19T00:00:00"/>
    <x v="8"/>
    <s v="Accessories"/>
    <s v="East"/>
    <n v="1"/>
    <n v="750"/>
  </r>
  <r>
    <d v="2022-08-12T00:00:00"/>
    <x v="1"/>
    <s v="Accessories"/>
    <s v="East"/>
    <n v="4"/>
    <n v="392"/>
  </r>
  <r>
    <d v="2024-10-02T00:00:00"/>
    <x v="9"/>
    <s v="Electronics"/>
    <s v="South"/>
    <n v="4"/>
    <n v="2408"/>
  </r>
  <r>
    <d v="2023-09-13T00:00:00"/>
    <x v="6"/>
    <s v="Accessories"/>
    <s v="East"/>
    <n v="2"/>
    <n v="2016"/>
  </r>
  <r>
    <d v="2022-07-25T00:00:00"/>
    <x v="6"/>
    <s v="Accessories"/>
    <s v="South"/>
    <n v="4"/>
    <n v="464"/>
  </r>
  <r>
    <d v="2023-12-09T00:00:00"/>
    <x v="4"/>
    <s v="Accessories"/>
    <s v="East"/>
    <n v="1"/>
    <n v="832"/>
  </r>
  <r>
    <d v="2024-03-31T00:00:00"/>
    <x v="4"/>
    <s v="Accessories"/>
    <s v="East"/>
    <n v="8"/>
    <n v="1296"/>
  </r>
  <r>
    <d v="2022-04-23T00:00:00"/>
    <x v="7"/>
    <s v="Electronics"/>
    <s v="East"/>
    <n v="1"/>
    <n v="300"/>
  </r>
  <r>
    <d v="2024-07-06T00:00:00"/>
    <x v="6"/>
    <s v="Accessories"/>
    <s v="North"/>
    <n v="6"/>
    <n v="2856"/>
  </r>
  <r>
    <d v="2022-12-10T00:00:00"/>
    <x v="2"/>
    <s v="Electronics"/>
    <s v="West"/>
    <n v="5"/>
    <n v="3380"/>
  </r>
  <r>
    <d v="2022-01-27T00:00:00"/>
    <x v="2"/>
    <s v="Electronics"/>
    <s v="North"/>
    <n v="5"/>
    <n v="400"/>
  </r>
  <r>
    <d v="2022-10-14T00:00:00"/>
    <x v="3"/>
    <s v="Electronics"/>
    <s v="North"/>
    <n v="1"/>
    <n v="722"/>
  </r>
  <r>
    <d v="2024-11-23T00:00:00"/>
    <x v="9"/>
    <s v="Electronics"/>
    <s v="South"/>
    <n v="4"/>
    <n v="4596"/>
  </r>
  <r>
    <d v="2023-04-08T00:00:00"/>
    <x v="8"/>
    <s v="Accessories"/>
    <s v="West"/>
    <n v="8"/>
    <n v="1176"/>
  </r>
  <r>
    <d v="2022-07-21T00:00:00"/>
    <x v="3"/>
    <s v="Electronics"/>
    <s v="North"/>
    <n v="2"/>
    <n v="644"/>
  </r>
  <r>
    <d v="2022-11-07T00:00:00"/>
    <x v="7"/>
    <s v="Electronics"/>
    <s v="West"/>
    <n v="8"/>
    <n v="544"/>
  </r>
  <r>
    <d v="2023-05-30T00:00:00"/>
    <x v="6"/>
    <s v="Accessories"/>
    <s v="East"/>
    <n v="2"/>
    <n v="586"/>
  </r>
  <r>
    <d v="2022-04-30T00:00:00"/>
    <x v="8"/>
    <s v="Accessories"/>
    <s v="North"/>
    <n v="5"/>
    <n v="3835"/>
  </r>
  <r>
    <d v="2023-12-13T00:00:00"/>
    <x v="0"/>
    <s v="Office"/>
    <s v="South"/>
    <n v="5"/>
    <n v="1415"/>
  </r>
  <r>
    <d v="2023-05-11T00:00:00"/>
    <x v="8"/>
    <s v="Accessories"/>
    <s v="South"/>
    <n v="9"/>
    <n v="1125"/>
  </r>
  <r>
    <d v="2023-09-11T00:00:00"/>
    <x v="3"/>
    <s v="Electronics"/>
    <s v="South"/>
    <n v="3"/>
    <n v="3399"/>
  </r>
  <r>
    <d v="2022-03-03T00:00:00"/>
    <x v="6"/>
    <s v="Accessories"/>
    <s v="East"/>
    <n v="6"/>
    <n v="5370"/>
  </r>
  <r>
    <d v="2024-03-30T00:00:00"/>
    <x v="8"/>
    <s v="Accessories"/>
    <s v="West"/>
    <n v="3"/>
    <n v="2331"/>
  </r>
  <r>
    <d v="2022-06-27T00:00:00"/>
    <x v="9"/>
    <s v="Electronics"/>
    <s v="East"/>
    <n v="9"/>
    <n v="10728"/>
  </r>
  <r>
    <d v="2023-03-02T00:00:00"/>
    <x v="6"/>
    <s v="Accessories"/>
    <s v="West"/>
    <n v="8"/>
    <n v="9056"/>
  </r>
  <r>
    <d v="2024-11-04T00:00:00"/>
    <x v="6"/>
    <s v="Accessories"/>
    <s v="West"/>
    <n v="9"/>
    <n v="4581"/>
  </r>
  <r>
    <d v="2024-10-01T00:00:00"/>
    <x v="3"/>
    <s v="Electronics"/>
    <s v="North"/>
    <n v="3"/>
    <n v="1074"/>
  </r>
  <r>
    <d v="2023-06-17T00:00:00"/>
    <x v="2"/>
    <s v="Electronics"/>
    <s v="West"/>
    <n v="4"/>
    <n v="4572"/>
  </r>
  <r>
    <d v="2023-11-20T00:00:00"/>
    <x v="9"/>
    <s v="Electronics"/>
    <s v="South"/>
    <n v="7"/>
    <n v="8141"/>
  </r>
  <r>
    <d v="2023-11-24T00:00:00"/>
    <x v="0"/>
    <s v="Office"/>
    <s v="West"/>
    <n v="4"/>
    <n v="604"/>
  </r>
  <r>
    <d v="2024-05-04T00:00:00"/>
    <x v="1"/>
    <s v="Accessories"/>
    <s v="South"/>
    <n v="2"/>
    <n v="906"/>
  </r>
  <r>
    <d v="2023-04-22T00:00:00"/>
    <x v="4"/>
    <s v="Accessories"/>
    <s v="South"/>
    <n v="7"/>
    <n v="1582"/>
  </r>
  <r>
    <d v="2024-01-31T00:00:00"/>
    <x v="1"/>
    <s v="Accessories"/>
    <s v="West"/>
    <n v="6"/>
    <n v="3306"/>
  </r>
  <r>
    <d v="2023-12-24T00:00:00"/>
    <x v="4"/>
    <s v="Accessories"/>
    <s v="West"/>
    <n v="1"/>
    <n v="847"/>
  </r>
  <r>
    <d v="2022-11-09T00:00:00"/>
    <x v="0"/>
    <s v="Office"/>
    <s v="East"/>
    <n v="6"/>
    <n v="3222"/>
  </r>
  <r>
    <d v="2024-11-03T00:00:00"/>
    <x v="8"/>
    <s v="Accessories"/>
    <s v="East"/>
    <n v="3"/>
    <n v="189"/>
  </r>
  <r>
    <d v="2023-08-12T00:00:00"/>
    <x v="9"/>
    <s v="Electronics"/>
    <s v="South"/>
    <n v="4"/>
    <n v="1224"/>
  </r>
  <r>
    <d v="2023-02-08T00:00:00"/>
    <x v="3"/>
    <s v="Electronics"/>
    <s v="South"/>
    <n v="7"/>
    <n v="5621"/>
  </r>
  <r>
    <d v="2024-01-16T00:00:00"/>
    <x v="2"/>
    <s v="Electronics"/>
    <s v="West"/>
    <n v="6"/>
    <n v="966"/>
  </r>
  <r>
    <d v="2023-08-02T00:00:00"/>
    <x v="2"/>
    <s v="Electronics"/>
    <s v="West"/>
    <n v="9"/>
    <n v="1728"/>
  </r>
  <r>
    <d v="2024-01-13T00:00:00"/>
    <x v="1"/>
    <s v="Accessories"/>
    <s v="West"/>
    <n v="9"/>
    <n v="6138"/>
  </r>
  <r>
    <d v="2024-11-20T00:00:00"/>
    <x v="6"/>
    <s v="Accessories"/>
    <s v="South"/>
    <n v="4"/>
    <n v="964"/>
  </r>
  <r>
    <d v="2023-10-13T00:00:00"/>
    <x v="7"/>
    <s v="Electronics"/>
    <s v="South"/>
    <n v="7"/>
    <n v="4697"/>
  </r>
  <r>
    <d v="2022-05-09T00:00:00"/>
    <x v="7"/>
    <s v="Electronics"/>
    <s v="West"/>
    <n v="2"/>
    <n v="1232"/>
  </r>
  <r>
    <d v="2022-12-21T00:00:00"/>
    <x v="6"/>
    <s v="Accessories"/>
    <s v="West"/>
    <n v="7"/>
    <n v="6384"/>
  </r>
  <r>
    <d v="2024-11-22T00:00:00"/>
    <x v="1"/>
    <s v="Accessories"/>
    <s v="West"/>
    <n v="4"/>
    <n v="780"/>
  </r>
  <r>
    <d v="2023-01-27T00:00:00"/>
    <x v="0"/>
    <s v="Office"/>
    <s v="West"/>
    <n v="4"/>
    <n v="1256"/>
  </r>
  <r>
    <d v="2022-05-08T00:00:00"/>
    <x v="1"/>
    <s v="Accessories"/>
    <s v="South"/>
    <n v="1"/>
    <n v="1162"/>
  </r>
  <r>
    <d v="2023-02-10T00:00:00"/>
    <x v="1"/>
    <s v="Accessories"/>
    <s v="South"/>
    <n v="8"/>
    <n v="7520"/>
  </r>
  <r>
    <d v="2024-03-26T00:00:00"/>
    <x v="4"/>
    <s v="Accessories"/>
    <s v="South"/>
    <n v="7"/>
    <n v="2387"/>
  </r>
  <r>
    <d v="2023-10-20T00:00:00"/>
    <x v="8"/>
    <s v="Accessories"/>
    <s v="East"/>
    <n v="8"/>
    <n v="2256"/>
  </r>
  <r>
    <d v="2024-06-06T00:00:00"/>
    <x v="6"/>
    <s v="Accessories"/>
    <s v="North"/>
    <n v="8"/>
    <n v="7792"/>
  </r>
  <r>
    <d v="2023-05-24T00:00:00"/>
    <x v="9"/>
    <s v="Electronics"/>
    <s v="East"/>
    <n v="8"/>
    <n v="3944"/>
  </r>
  <r>
    <d v="2023-12-17T00:00:00"/>
    <x v="7"/>
    <s v="Electronics"/>
    <s v="South"/>
    <n v="2"/>
    <n v="822"/>
  </r>
  <r>
    <d v="2024-06-20T00:00:00"/>
    <x v="4"/>
    <s v="Accessories"/>
    <s v="North"/>
    <n v="3"/>
    <n v="1962"/>
  </r>
  <r>
    <d v="2022-12-21T00:00:00"/>
    <x v="0"/>
    <s v="Office"/>
    <s v="North"/>
    <n v="4"/>
    <n v="1016"/>
  </r>
  <r>
    <d v="2023-06-20T00:00:00"/>
    <x v="2"/>
    <s v="Electronics"/>
    <s v="North"/>
    <n v="2"/>
    <n v="1980"/>
  </r>
  <r>
    <d v="2024-12-08T00:00:00"/>
    <x v="4"/>
    <s v="Accessories"/>
    <s v="West"/>
    <n v="4"/>
    <n v="3996"/>
  </r>
  <r>
    <d v="2022-07-18T00:00:00"/>
    <x v="5"/>
    <s v="Electronics"/>
    <s v="North"/>
    <n v="1"/>
    <n v="663"/>
  </r>
  <r>
    <d v="2023-10-05T00:00:00"/>
    <x v="9"/>
    <s v="Electronics"/>
    <s v="South"/>
    <n v="1"/>
    <n v="575"/>
  </r>
  <r>
    <d v="2023-09-04T00:00:00"/>
    <x v="2"/>
    <s v="Electronics"/>
    <s v="South"/>
    <n v="1"/>
    <n v="187"/>
  </r>
  <r>
    <d v="2023-08-01T00:00:00"/>
    <x v="2"/>
    <s v="Electronics"/>
    <s v="East"/>
    <n v="7"/>
    <n v="6216"/>
  </r>
  <r>
    <d v="2022-03-05T00:00:00"/>
    <x v="3"/>
    <s v="Electronics"/>
    <s v="South"/>
    <n v="1"/>
    <n v="189"/>
  </r>
  <r>
    <d v="2022-08-13T00:00:00"/>
    <x v="2"/>
    <s v="Electronics"/>
    <s v="South"/>
    <n v="2"/>
    <n v="358"/>
  </r>
  <r>
    <d v="2022-04-17T00:00:00"/>
    <x v="8"/>
    <s v="Accessories"/>
    <s v="North"/>
    <n v="6"/>
    <n v="6192"/>
  </r>
  <r>
    <d v="2023-05-25T00:00:00"/>
    <x v="2"/>
    <s v="Electronics"/>
    <s v="East"/>
    <n v="7"/>
    <n v="4382"/>
  </r>
  <r>
    <d v="2024-10-20T00:00:00"/>
    <x v="8"/>
    <s v="Accessories"/>
    <s v="East"/>
    <n v="2"/>
    <n v="1122"/>
  </r>
  <r>
    <d v="2022-06-21T00:00:00"/>
    <x v="9"/>
    <s v="Electronics"/>
    <s v="North"/>
    <n v="8"/>
    <n v="8192"/>
  </r>
  <r>
    <d v="2022-08-22T00:00:00"/>
    <x v="9"/>
    <s v="Electronics"/>
    <s v="South"/>
    <n v="6"/>
    <n v="2658"/>
  </r>
  <r>
    <d v="2023-03-17T00:00:00"/>
    <x v="2"/>
    <s v="Electronics"/>
    <s v="West"/>
    <n v="6"/>
    <n v="606"/>
  </r>
  <r>
    <d v="2024-11-02T00:00:00"/>
    <x v="6"/>
    <s v="Accessories"/>
    <s v="South"/>
    <n v="8"/>
    <n v="448"/>
  </r>
  <r>
    <d v="2023-01-17T00:00:00"/>
    <x v="0"/>
    <s v="Office"/>
    <s v="North"/>
    <n v="3"/>
    <n v="1674"/>
  </r>
  <r>
    <d v="2022-02-13T00:00:00"/>
    <x v="2"/>
    <s v="Electronics"/>
    <s v="South"/>
    <n v="6"/>
    <n v="1944"/>
  </r>
  <r>
    <d v="2022-02-07T00:00:00"/>
    <x v="6"/>
    <s v="Accessories"/>
    <s v="South"/>
    <n v="6"/>
    <n v="1716"/>
  </r>
  <r>
    <d v="2022-05-05T00:00:00"/>
    <x v="3"/>
    <s v="Electronics"/>
    <s v="South"/>
    <n v="6"/>
    <n v="2982"/>
  </r>
  <r>
    <d v="2022-08-14T00:00:00"/>
    <x v="9"/>
    <s v="Electronics"/>
    <s v="North"/>
    <n v="9"/>
    <n v="7497"/>
  </r>
  <r>
    <d v="2024-01-26T00:00:00"/>
    <x v="4"/>
    <s v="Accessories"/>
    <s v="South"/>
    <n v="3"/>
    <n v="1026"/>
  </r>
  <r>
    <d v="2024-12-11T00:00:00"/>
    <x v="9"/>
    <s v="Electronics"/>
    <s v="South"/>
    <n v="7"/>
    <n v="7392"/>
  </r>
  <r>
    <d v="2024-06-23T00:00:00"/>
    <x v="0"/>
    <s v="Office"/>
    <s v="North"/>
    <n v="4"/>
    <n v="2604"/>
  </r>
  <r>
    <d v="2023-11-23T00:00:00"/>
    <x v="5"/>
    <s v="Electronics"/>
    <s v="North"/>
    <n v="6"/>
    <n v="1746"/>
  </r>
  <r>
    <d v="2024-02-23T00:00:00"/>
    <x v="4"/>
    <s v="Accessories"/>
    <s v="West"/>
    <n v="6"/>
    <n v="5682"/>
  </r>
  <r>
    <d v="2024-06-24T00:00:00"/>
    <x v="1"/>
    <s v="Accessories"/>
    <s v="North"/>
    <n v="8"/>
    <n v="8664"/>
  </r>
  <r>
    <d v="2023-07-08T00:00:00"/>
    <x v="2"/>
    <s v="Electronics"/>
    <s v="West"/>
    <n v="3"/>
    <n v="1887"/>
  </r>
  <r>
    <d v="2024-10-29T00:00:00"/>
    <x v="7"/>
    <s v="Electronics"/>
    <s v="East"/>
    <n v="7"/>
    <n v="6013"/>
  </r>
  <r>
    <d v="2024-01-05T00:00:00"/>
    <x v="5"/>
    <s v="Electronics"/>
    <s v="North"/>
    <n v="2"/>
    <n v="1578"/>
  </r>
  <r>
    <d v="2022-08-19T00:00:00"/>
    <x v="3"/>
    <s v="Electronics"/>
    <s v="South"/>
    <n v="3"/>
    <n v="285"/>
  </r>
  <r>
    <d v="2023-01-27T00:00:00"/>
    <x v="9"/>
    <s v="Electronics"/>
    <s v="West"/>
    <n v="6"/>
    <n v="5448"/>
  </r>
  <r>
    <d v="2024-08-09T00:00:00"/>
    <x v="0"/>
    <s v="Office"/>
    <s v="East"/>
    <n v="2"/>
    <n v="1710"/>
  </r>
  <r>
    <d v="2022-11-03T00:00:00"/>
    <x v="8"/>
    <s v="Accessories"/>
    <s v="West"/>
    <n v="9"/>
    <n v="2817"/>
  </r>
  <r>
    <d v="2022-04-09T00:00:00"/>
    <x v="7"/>
    <s v="Electronics"/>
    <s v="East"/>
    <n v="9"/>
    <n v="9117"/>
  </r>
  <r>
    <d v="2023-08-09T00:00:00"/>
    <x v="5"/>
    <s v="Electronics"/>
    <s v="South"/>
    <n v="2"/>
    <n v="274"/>
  </r>
  <r>
    <d v="2023-09-25T00:00:00"/>
    <x v="8"/>
    <s v="Accessories"/>
    <s v="South"/>
    <n v="6"/>
    <n v="6408"/>
  </r>
  <r>
    <d v="2022-05-16T00:00:00"/>
    <x v="8"/>
    <s v="Accessories"/>
    <s v="West"/>
    <n v="5"/>
    <n v="5755"/>
  </r>
  <r>
    <d v="2024-12-10T00:00:00"/>
    <x v="2"/>
    <s v="Electronics"/>
    <s v="West"/>
    <n v="3"/>
    <n v="2262"/>
  </r>
  <r>
    <d v="2024-05-30T00:00:00"/>
    <x v="4"/>
    <s v="Accessories"/>
    <s v="East"/>
    <n v="7"/>
    <n v="1785"/>
  </r>
  <r>
    <d v="2023-06-06T00:00:00"/>
    <x v="0"/>
    <s v="Office"/>
    <s v="North"/>
    <n v="8"/>
    <n v="5128"/>
  </r>
  <r>
    <d v="2024-01-04T00:00:00"/>
    <x v="3"/>
    <s v="Electronics"/>
    <s v="South"/>
    <n v="8"/>
    <n v="5176"/>
  </r>
  <r>
    <d v="2023-09-16T00:00:00"/>
    <x v="8"/>
    <s v="Accessories"/>
    <s v="North"/>
    <n v="5"/>
    <n v="1510"/>
  </r>
  <r>
    <d v="2023-03-17T00:00:00"/>
    <x v="8"/>
    <s v="Accessories"/>
    <s v="North"/>
    <n v="1"/>
    <n v="947"/>
  </r>
  <r>
    <d v="2023-12-31T00:00:00"/>
    <x v="7"/>
    <s v="Electronics"/>
    <s v="North"/>
    <n v="9"/>
    <n v="5427"/>
  </r>
  <r>
    <d v="2022-04-09T00:00:00"/>
    <x v="5"/>
    <s v="Electronics"/>
    <s v="South"/>
    <n v="4"/>
    <n v="4560"/>
  </r>
  <r>
    <d v="2023-05-03T00:00:00"/>
    <x v="2"/>
    <s v="Electronics"/>
    <s v="South"/>
    <n v="6"/>
    <n v="2100"/>
  </r>
  <r>
    <d v="2024-05-10T00:00:00"/>
    <x v="9"/>
    <s v="Electronics"/>
    <s v="North"/>
    <n v="1"/>
    <n v="1054"/>
  </r>
  <r>
    <d v="2022-08-18T00:00:00"/>
    <x v="5"/>
    <s v="Electronics"/>
    <s v="West"/>
    <n v="6"/>
    <n v="7026"/>
  </r>
  <r>
    <d v="2022-07-14T00:00:00"/>
    <x v="3"/>
    <s v="Electronics"/>
    <s v="North"/>
    <n v="9"/>
    <n v="513"/>
  </r>
  <r>
    <d v="2024-04-29T00:00:00"/>
    <x v="4"/>
    <s v="Accessories"/>
    <s v="South"/>
    <n v="2"/>
    <n v="2244"/>
  </r>
  <r>
    <d v="2024-02-22T00:00:00"/>
    <x v="7"/>
    <s v="Electronics"/>
    <s v="North"/>
    <n v="5"/>
    <n v="1785"/>
  </r>
  <r>
    <d v="2023-06-24T00:00:00"/>
    <x v="8"/>
    <s v="Accessories"/>
    <s v="South"/>
    <n v="5"/>
    <n v="725"/>
  </r>
  <r>
    <d v="2024-11-13T00:00:00"/>
    <x v="7"/>
    <s v="Electronics"/>
    <s v="North"/>
    <n v="4"/>
    <n v="2516"/>
  </r>
  <r>
    <d v="2023-05-29T00:00:00"/>
    <x v="6"/>
    <s v="Accessories"/>
    <s v="East"/>
    <n v="8"/>
    <n v="6256"/>
  </r>
  <r>
    <d v="2023-06-11T00:00:00"/>
    <x v="3"/>
    <s v="Electronics"/>
    <s v="North"/>
    <n v="2"/>
    <n v="452"/>
  </r>
  <r>
    <d v="2022-03-05T00:00:00"/>
    <x v="9"/>
    <s v="Electronics"/>
    <s v="South"/>
    <n v="7"/>
    <n v="5285"/>
  </r>
  <r>
    <d v="2023-03-19T00:00:00"/>
    <x v="7"/>
    <s v="Electronics"/>
    <s v="North"/>
    <n v="6"/>
    <n v="4872"/>
  </r>
  <r>
    <d v="2023-08-22T00:00:00"/>
    <x v="8"/>
    <s v="Accessories"/>
    <s v="East"/>
    <n v="5"/>
    <n v="2495"/>
  </r>
  <r>
    <d v="2022-02-19T00:00:00"/>
    <x v="6"/>
    <s v="Accessories"/>
    <s v="West"/>
    <n v="1"/>
    <n v="442"/>
  </r>
  <r>
    <d v="2024-09-17T00:00:00"/>
    <x v="0"/>
    <s v="Office"/>
    <s v="East"/>
    <n v="9"/>
    <n v="8595"/>
  </r>
  <r>
    <d v="2022-04-08T00:00:00"/>
    <x v="8"/>
    <s v="Accessories"/>
    <s v="East"/>
    <n v="4"/>
    <n v="3528"/>
  </r>
  <r>
    <d v="2024-06-10T00:00:00"/>
    <x v="9"/>
    <s v="Electronics"/>
    <s v="North"/>
    <n v="7"/>
    <n v="7777"/>
  </r>
  <r>
    <d v="2022-11-05T00:00:00"/>
    <x v="5"/>
    <s v="Electronics"/>
    <s v="South"/>
    <n v="4"/>
    <n v="2008"/>
  </r>
  <r>
    <d v="2022-05-03T00:00:00"/>
    <x v="1"/>
    <s v="Accessories"/>
    <s v="North"/>
    <n v="2"/>
    <n v="596"/>
  </r>
  <r>
    <d v="2024-12-25T00:00:00"/>
    <x v="5"/>
    <s v="Electronics"/>
    <s v="East"/>
    <n v="9"/>
    <n v="4950"/>
  </r>
  <r>
    <d v="2024-06-16T00:00:00"/>
    <x v="8"/>
    <s v="Accessories"/>
    <s v="South"/>
    <n v="2"/>
    <n v="630"/>
  </r>
  <r>
    <d v="2024-07-05T00:00:00"/>
    <x v="3"/>
    <s v="Electronics"/>
    <s v="North"/>
    <n v="6"/>
    <n v="6144"/>
  </r>
  <r>
    <d v="2023-12-03T00:00:00"/>
    <x v="6"/>
    <s v="Accessories"/>
    <s v="North"/>
    <n v="1"/>
    <n v="140"/>
  </r>
  <r>
    <d v="2024-01-30T00:00:00"/>
    <x v="4"/>
    <s v="Accessories"/>
    <s v="East"/>
    <n v="2"/>
    <n v="2014"/>
  </r>
  <r>
    <d v="2024-08-06T00:00:00"/>
    <x v="1"/>
    <s v="Accessories"/>
    <s v="West"/>
    <n v="2"/>
    <n v="384"/>
  </r>
  <r>
    <d v="2022-01-18T00:00:00"/>
    <x v="0"/>
    <s v="Office"/>
    <s v="East"/>
    <n v="7"/>
    <n v="3780"/>
  </r>
  <r>
    <d v="2023-02-28T00:00:00"/>
    <x v="6"/>
    <s v="Accessories"/>
    <s v="West"/>
    <n v="7"/>
    <n v="5047"/>
  </r>
  <r>
    <d v="2022-08-27T00:00:00"/>
    <x v="4"/>
    <s v="Accessories"/>
    <s v="South"/>
    <n v="3"/>
    <n v="2658"/>
  </r>
  <r>
    <d v="2023-10-14T00:00:00"/>
    <x v="1"/>
    <s v="Accessories"/>
    <s v="West"/>
    <n v="8"/>
    <n v="528"/>
  </r>
  <r>
    <d v="2022-06-23T00:00:00"/>
    <x v="8"/>
    <s v="Accessories"/>
    <s v="East"/>
    <n v="9"/>
    <n v="6507"/>
  </r>
  <r>
    <d v="2023-06-02T00:00:00"/>
    <x v="3"/>
    <s v="Electronics"/>
    <s v="South"/>
    <n v="7"/>
    <n v="5887"/>
  </r>
  <r>
    <d v="2023-08-13T00:00:00"/>
    <x v="4"/>
    <s v="Accessories"/>
    <s v="East"/>
    <n v="8"/>
    <n v="8224"/>
  </r>
  <r>
    <d v="2022-03-12T00:00:00"/>
    <x v="9"/>
    <s v="Electronics"/>
    <s v="South"/>
    <n v="3"/>
    <n v="723"/>
  </r>
  <r>
    <d v="2023-06-03T00:00:00"/>
    <x v="1"/>
    <s v="Accessories"/>
    <s v="North"/>
    <n v="2"/>
    <n v="2272"/>
  </r>
  <r>
    <d v="2022-07-03T00:00:00"/>
    <x v="8"/>
    <s v="Accessories"/>
    <s v="East"/>
    <n v="9"/>
    <n v="8640"/>
  </r>
  <r>
    <d v="2023-09-14T00:00:00"/>
    <x v="3"/>
    <s v="Electronics"/>
    <s v="North"/>
    <n v="8"/>
    <n v="2984"/>
  </r>
  <r>
    <d v="2022-04-28T00:00:00"/>
    <x v="7"/>
    <s v="Electronics"/>
    <s v="East"/>
    <n v="2"/>
    <n v="606"/>
  </r>
  <r>
    <d v="2022-04-08T00:00:00"/>
    <x v="6"/>
    <s v="Accessories"/>
    <s v="West"/>
    <n v="2"/>
    <n v="170"/>
  </r>
  <r>
    <d v="2022-03-21T00:00:00"/>
    <x v="4"/>
    <s v="Accessories"/>
    <s v="East"/>
    <n v="9"/>
    <n v="5283"/>
  </r>
  <r>
    <d v="2023-02-27T00:00:00"/>
    <x v="5"/>
    <s v="Electronics"/>
    <s v="West"/>
    <n v="6"/>
    <n v="1350"/>
  </r>
  <r>
    <d v="2022-11-28T00:00:00"/>
    <x v="4"/>
    <s v="Accessories"/>
    <s v="South"/>
    <n v="4"/>
    <n v="2500"/>
  </r>
  <r>
    <d v="2022-02-11T00:00:00"/>
    <x v="3"/>
    <s v="Electronics"/>
    <s v="North"/>
    <n v="4"/>
    <n v="4648"/>
  </r>
  <r>
    <d v="2023-05-21T00:00:00"/>
    <x v="0"/>
    <s v="Office"/>
    <s v="North"/>
    <n v="5"/>
    <n v="650"/>
  </r>
  <r>
    <d v="2022-09-14T00:00:00"/>
    <x v="6"/>
    <s v="Accessories"/>
    <s v="North"/>
    <n v="2"/>
    <n v="1538"/>
  </r>
  <r>
    <d v="2024-06-15T00:00:00"/>
    <x v="5"/>
    <s v="Electronics"/>
    <s v="East"/>
    <n v="4"/>
    <n v="3928"/>
  </r>
  <r>
    <d v="2022-03-23T00:00:00"/>
    <x v="4"/>
    <s v="Accessories"/>
    <s v="North"/>
    <n v="2"/>
    <n v="2258"/>
  </r>
  <r>
    <d v="2022-06-09T00:00:00"/>
    <x v="6"/>
    <s v="Accessories"/>
    <s v="West"/>
    <n v="9"/>
    <n v="2988"/>
  </r>
  <r>
    <d v="2023-04-07T00:00:00"/>
    <x v="4"/>
    <s v="Accessories"/>
    <s v="South"/>
    <n v="8"/>
    <n v="4136"/>
  </r>
  <r>
    <d v="2023-10-22T00:00:00"/>
    <x v="1"/>
    <s v="Accessories"/>
    <s v="South"/>
    <n v="7"/>
    <n v="3605"/>
  </r>
  <r>
    <d v="2023-08-10T00:00:00"/>
    <x v="5"/>
    <s v="Electronics"/>
    <s v="West"/>
    <n v="3"/>
    <n v="1656"/>
  </r>
  <r>
    <d v="2022-12-24T00:00:00"/>
    <x v="0"/>
    <s v="Office"/>
    <s v="West"/>
    <n v="8"/>
    <n v="7072"/>
  </r>
  <r>
    <d v="2024-09-04T00:00:00"/>
    <x v="8"/>
    <s v="Accessories"/>
    <s v="South"/>
    <n v="8"/>
    <n v="5368"/>
  </r>
  <r>
    <d v="2024-01-22T00:00:00"/>
    <x v="9"/>
    <s v="Electronics"/>
    <s v="East"/>
    <n v="4"/>
    <n v="1356"/>
  </r>
  <r>
    <d v="2024-06-26T00:00:00"/>
    <x v="0"/>
    <s v="Office"/>
    <s v="South"/>
    <n v="6"/>
    <n v="1326"/>
  </r>
  <r>
    <d v="2024-10-26T00:00:00"/>
    <x v="0"/>
    <s v="Office"/>
    <s v="East"/>
    <n v="1"/>
    <n v="730"/>
  </r>
  <r>
    <d v="2024-05-10T00:00:00"/>
    <x v="4"/>
    <s v="Accessories"/>
    <s v="South"/>
    <n v="4"/>
    <n v="4664"/>
  </r>
  <r>
    <d v="2023-12-04T00:00:00"/>
    <x v="9"/>
    <s v="Electronics"/>
    <s v="North"/>
    <n v="8"/>
    <n v="3528"/>
  </r>
  <r>
    <d v="2023-03-19T00:00:00"/>
    <x v="1"/>
    <s v="Accessories"/>
    <s v="West"/>
    <n v="3"/>
    <n v="1497"/>
  </r>
  <r>
    <d v="2023-04-21T00:00:00"/>
    <x v="2"/>
    <s v="Electronics"/>
    <s v="North"/>
    <n v="3"/>
    <n v="2628"/>
  </r>
  <r>
    <d v="2022-11-12T00:00:00"/>
    <x v="9"/>
    <s v="Electronics"/>
    <s v="West"/>
    <n v="4"/>
    <n v="4196"/>
  </r>
  <r>
    <d v="2022-08-02T00:00:00"/>
    <x v="6"/>
    <s v="Accessories"/>
    <s v="South"/>
    <n v="7"/>
    <n v="1204"/>
  </r>
  <r>
    <d v="2023-08-23T00:00:00"/>
    <x v="0"/>
    <s v="Office"/>
    <s v="West"/>
    <n v="7"/>
    <n v="7119"/>
  </r>
  <r>
    <d v="2024-05-12T00:00:00"/>
    <x v="2"/>
    <s v="Electronics"/>
    <s v="West"/>
    <n v="8"/>
    <n v="1848"/>
  </r>
  <r>
    <d v="2024-05-24T00:00:00"/>
    <x v="2"/>
    <s v="Electronics"/>
    <s v="South"/>
    <n v="4"/>
    <n v="2232"/>
  </r>
  <r>
    <d v="2024-12-19T00:00:00"/>
    <x v="1"/>
    <s v="Accessories"/>
    <s v="West"/>
    <n v="6"/>
    <n v="5190"/>
  </r>
  <r>
    <d v="2022-01-28T00:00:00"/>
    <x v="7"/>
    <s v="Electronics"/>
    <s v="West"/>
    <n v="3"/>
    <n v="1830"/>
  </r>
  <r>
    <d v="2022-01-29T00:00:00"/>
    <x v="1"/>
    <s v="Accessories"/>
    <s v="West"/>
    <n v="1"/>
    <n v="1033"/>
  </r>
  <r>
    <d v="2022-11-01T00:00:00"/>
    <x v="5"/>
    <s v="Electronics"/>
    <s v="South"/>
    <n v="7"/>
    <n v="2324"/>
  </r>
  <r>
    <d v="2023-06-04T00:00:00"/>
    <x v="8"/>
    <s v="Accessories"/>
    <s v="North"/>
    <n v="2"/>
    <n v="1942"/>
  </r>
  <r>
    <d v="2022-03-27T00:00:00"/>
    <x v="0"/>
    <s v="Office"/>
    <s v="South"/>
    <n v="7"/>
    <n v="5740"/>
  </r>
  <r>
    <d v="2022-10-22T00:00:00"/>
    <x v="5"/>
    <s v="Electronics"/>
    <s v="South"/>
    <n v="9"/>
    <n v="6435"/>
  </r>
  <r>
    <d v="2022-03-29T00:00:00"/>
    <x v="1"/>
    <s v="Accessories"/>
    <s v="North"/>
    <n v="2"/>
    <n v="1168"/>
  </r>
  <r>
    <d v="2022-08-26T00:00:00"/>
    <x v="2"/>
    <s v="Electronics"/>
    <s v="South"/>
    <n v="9"/>
    <n v="7362"/>
  </r>
  <r>
    <d v="2023-10-17T00:00:00"/>
    <x v="5"/>
    <s v="Electronics"/>
    <s v="West"/>
    <n v="2"/>
    <n v="862"/>
  </r>
  <r>
    <d v="2023-10-25T00:00:00"/>
    <x v="1"/>
    <s v="Accessories"/>
    <s v="West"/>
    <n v="1"/>
    <n v="956"/>
  </r>
  <r>
    <d v="2022-06-07T00:00:00"/>
    <x v="7"/>
    <s v="Electronics"/>
    <s v="West"/>
    <n v="7"/>
    <n v="4438"/>
  </r>
  <r>
    <d v="2023-10-10T00:00:00"/>
    <x v="8"/>
    <s v="Accessories"/>
    <s v="East"/>
    <n v="9"/>
    <n v="972"/>
  </r>
  <r>
    <d v="2022-09-02T00:00:00"/>
    <x v="8"/>
    <s v="Accessories"/>
    <s v="West"/>
    <n v="2"/>
    <n v="1816"/>
  </r>
  <r>
    <d v="2023-04-25T00:00:00"/>
    <x v="6"/>
    <s v="Accessories"/>
    <s v="East"/>
    <n v="4"/>
    <n v="596"/>
  </r>
  <r>
    <d v="2024-03-24T00:00:00"/>
    <x v="1"/>
    <s v="Accessories"/>
    <s v="East"/>
    <n v="9"/>
    <n v="1233"/>
  </r>
  <r>
    <d v="2023-01-09T00:00:00"/>
    <x v="4"/>
    <s v="Accessories"/>
    <s v="West"/>
    <n v="1"/>
    <n v="1055"/>
  </r>
  <r>
    <d v="2022-11-13T00:00:00"/>
    <x v="2"/>
    <s v="Electronics"/>
    <s v="East"/>
    <n v="2"/>
    <n v="952"/>
  </r>
  <r>
    <d v="2023-03-04T00:00:00"/>
    <x v="1"/>
    <s v="Accessories"/>
    <s v="West"/>
    <n v="1"/>
    <n v="312"/>
  </r>
  <r>
    <d v="2022-02-12T00:00:00"/>
    <x v="2"/>
    <s v="Electronics"/>
    <s v="South"/>
    <n v="2"/>
    <n v="294"/>
  </r>
  <r>
    <d v="2022-03-28T00:00:00"/>
    <x v="5"/>
    <s v="Electronics"/>
    <s v="North"/>
    <n v="2"/>
    <n v="474"/>
  </r>
  <r>
    <d v="2023-06-02T00:00:00"/>
    <x v="3"/>
    <s v="Electronics"/>
    <s v="East"/>
    <n v="2"/>
    <n v="788"/>
  </r>
  <r>
    <d v="2022-05-15T00:00:00"/>
    <x v="1"/>
    <s v="Accessories"/>
    <s v="North"/>
    <n v="8"/>
    <n v="2760"/>
  </r>
  <r>
    <d v="2023-10-14T00:00:00"/>
    <x v="9"/>
    <s v="Electronics"/>
    <s v="North"/>
    <n v="4"/>
    <n v="908"/>
  </r>
  <r>
    <d v="2022-10-17T00:00:00"/>
    <x v="7"/>
    <s v="Electronics"/>
    <s v="East"/>
    <n v="1"/>
    <n v="593"/>
  </r>
  <r>
    <d v="2023-07-16T00:00:00"/>
    <x v="4"/>
    <s v="Accessories"/>
    <s v="South"/>
    <n v="6"/>
    <n v="1698"/>
  </r>
  <r>
    <d v="2024-09-23T00:00:00"/>
    <x v="0"/>
    <s v="Office"/>
    <s v="East"/>
    <n v="1"/>
    <n v="546"/>
  </r>
  <r>
    <d v="2022-08-11T00:00:00"/>
    <x v="9"/>
    <s v="Electronics"/>
    <s v="West"/>
    <n v="5"/>
    <n v="4380"/>
  </r>
  <r>
    <d v="2023-06-11T00:00:00"/>
    <x v="3"/>
    <s v="Electronics"/>
    <s v="West"/>
    <n v="4"/>
    <n v="2472"/>
  </r>
  <r>
    <d v="2024-04-01T00:00:00"/>
    <x v="7"/>
    <s v="Electronics"/>
    <s v="East"/>
    <n v="4"/>
    <n v="1996"/>
  </r>
  <r>
    <d v="2024-12-25T00:00:00"/>
    <x v="3"/>
    <s v="Electronics"/>
    <s v="West"/>
    <n v="5"/>
    <n v="2525"/>
  </r>
  <r>
    <d v="2022-07-05T00:00:00"/>
    <x v="4"/>
    <s v="Accessories"/>
    <s v="West"/>
    <n v="9"/>
    <n v="4041"/>
  </r>
  <r>
    <d v="2024-07-16T00:00:00"/>
    <x v="8"/>
    <s v="Accessories"/>
    <s v="South"/>
    <n v="3"/>
    <n v="858"/>
  </r>
  <r>
    <d v="2022-12-14T00:00:00"/>
    <x v="8"/>
    <s v="Accessories"/>
    <s v="North"/>
    <n v="9"/>
    <n v="4221"/>
  </r>
  <r>
    <d v="2023-02-16T00:00:00"/>
    <x v="2"/>
    <s v="Electronics"/>
    <s v="East"/>
    <n v="2"/>
    <n v="858"/>
  </r>
  <r>
    <d v="2024-12-05T00:00:00"/>
    <x v="8"/>
    <s v="Accessories"/>
    <s v="North"/>
    <n v="1"/>
    <n v="776"/>
  </r>
  <r>
    <d v="2023-08-23T00:00:00"/>
    <x v="9"/>
    <s v="Electronics"/>
    <s v="North"/>
    <n v="7"/>
    <n v="3654"/>
  </r>
  <r>
    <d v="2024-02-14T00:00:00"/>
    <x v="4"/>
    <s v="Accessories"/>
    <s v="East"/>
    <n v="3"/>
    <n v="384"/>
  </r>
  <r>
    <d v="2023-09-16T00:00:00"/>
    <x v="0"/>
    <s v="Office"/>
    <s v="West"/>
    <n v="5"/>
    <n v="535"/>
  </r>
  <r>
    <d v="2022-11-26T00:00:00"/>
    <x v="4"/>
    <s v="Accessories"/>
    <s v="North"/>
    <n v="9"/>
    <n v="7992"/>
  </r>
  <r>
    <d v="2024-07-04T00:00:00"/>
    <x v="1"/>
    <s v="Accessories"/>
    <s v="North"/>
    <n v="7"/>
    <n v="3892"/>
  </r>
  <r>
    <d v="2024-02-26T00:00:00"/>
    <x v="2"/>
    <s v="Electronics"/>
    <s v="East"/>
    <n v="3"/>
    <n v="2637"/>
  </r>
  <r>
    <d v="2024-02-12T00:00:00"/>
    <x v="1"/>
    <s v="Accessories"/>
    <s v="South"/>
    <n v="8"/>
    <n v="8664"/>
  </r>
  <r>
    <d v="2023-10-03T00:00:00"/>
    <x v="5"/>
    <s v="Electronics"/>
    <s v="South"/>
    <n v="6"/>
    <n v="918"/>
  </r>
  <r>
    <d v="2024-01-17T00:00:00"/>
    <x v="6"/>
    <s v="Accessories"/>
    <s v="West"/>
    <n v="5"/>
    <n v="5625"/>
  </r>
  <r>
    <d v="2023-06-02T00:00:00"/>
    <x v="2"/>
    <s v="Electronics"/>
    <s v="West"/>
    <n v="6"/>
    <n v="6030"/>
  </r>
  <r>
    <d v="2022-04-22T00:00:00"/>
    <x v="0"/>
    <s v="Office"/>
    <s v="West"/>
    <n v="8"/>
    <n v="432"/>
  </r>
  <r>
    <d v="2024-02-21T00:00:00"/>
    <x v="9"/>
    <s v="Electronics"/>
    <s v="South"/>
    <n v="6"/>
    <n v="1884"/>
  </r>
  <r>
    <d v="2023-02-21T00:00:00"/>
    <x v="9"/>
    <s v="Electronics"/>
    <s v="East"/>
    <n v="9"/>
    <n v="9225"/>
  </r>
  <r>
    <d v="2022-08-04T00:00:00"/>
    <x v="0"/>
    <s v="Office"/>
    <s v="North"/>
    <n v="2"/>
    <n v="954"/>
  </r>
  <r>
    <d v="2023-02-07T00:00:00"/>
    <x v="5"/>
    <s v="Electronics"/>
    <s v="West"/>
    <n v="8"/>
    <n v="7072"/>
  </r>
  <r>
    <d v="2024-08-07T00:00:00"/>
    <x v="7"/>
    <s v="Electronics"/>
    <s v="North"/>
    <n v="3"/>
    <n v="342"/>
  </r>
  <r>
    <d v="2023-02-05T00:00:00"/>
    <x v="0"/>
    <s v="Office"/>
    <s v="South"/>
    <n v="4"/>
    <n v="2440"/>
  </r>
  <r>
    <d v="2024-01-22T00:00:00"/>
    <x v="1"/>
    <s v="Accessories"/>
    <s v="South"/>
    <n v="5"/>
    <n v="510"/>
  </r>
  <r>
    <d v="2023-10-12T00:00:00"/>
    <x v="7"/>
    <s v="Electronics"/>
    <s v="South"/>
    <n v="1"/>
    <n v="192"/>
  </r>
  <r>
    <d v="2023-09-26T00:00:00"/>
    <x v="1"/>
    <s v="Accessories"/>
    <s v="East"/>
    <n v="5"/>
    <n v="3600"/>
  </r>
  <r>
    <d v="2024-06-01T00:00:00"/>
    <x v="3"/>
    <s v="Electronics"/>
    <s v="West"/>
    <n v="7"/>
    <n v="2597"/>
  </r>
  <r>
    <d v="2023-08-12T00:00:00"/>
    <x v="3"/>
    <s v="Electronics"/>
    <s v="East"/>
    <n v="4"/>
    <n v="772"/>
  </r>
  <r>
    <d v="2023-08-06T00:00:00"/>
    <x v="1"/>
    <s v="Accessories"/>
    <s v="West"/>
    <n v="2"/>
    <n v="646"/>
  </r>
  <r>
    <d v="2024-03-29T00:00:00"/>
    <x v="7"/>
    <s v="Electronics"/>
    <s v="East"/>
    <n v="7"/>
    <n v="2947"/>
  </r>
  <r>
    <d v="2023-02-21T00:00:00"/>
    <x v="9"/>
    <s v="Electronics"/>
    <s v="South"/>
    <n v="5"/>
    <n v="880"/>
  </r>
  <r>
    <d v="2022-02-11T00:00:00"/>
    <x v="3"/>
    <s v="Electronics"/>
    <s v="West"/>
    <n v="3"/>
    <n v="1038"/>
  </r>
  <r>
    <d v="2024-08-05T00:00:00"/>
    <x v="0"/>
    <s v="Office"/>
    <s v="West"/>
    <n v="1"/>
    <n v="714"/>
  </r>
  <r>
    <d v="2023-08-04T00:00:00"/>
    <x v="9"/>
    <s v="Electronics"/>
    <s v="South"/>
    <n v="4"/>
    <n v="1792"/>
  </r>
  <r>
    <d v="2022-08-21T00:00:00"/>
    <x v="4"/>
    <s v="Accessories"/>
    <s v="East"/>
    <n v="6"/>
    <n v="5874"/>
  </r>
  <r>
    <d v="2023-08-13T00:00:00"/>
    <x v="5"/>
    <s v="Electronics"/>
    <s v="East"/>
    <n v="6"/>
    <n v="2496"/>
  </r>
  <r>
    <d v="2023-12-13T00:00:00"/>
    <x v="5"/>
    <s v="Electronics"/>
    <s v="West"/>
    <n v="3"/>
    <n v="795"/>
  </r>
  <r>
    <d v="2023-01-26T00:00:00"/>
    <x v="7"/>
    <s v="Electronics"/>
    <s v="East"/>
    <n v="7"/>
    <n v="7238"/>
  </r>
  <r>
    <d v="2023-08-27T00:00:00"/>
    <x v="2"/>
    <s v="Electronics"/>
    <s v="South"/>
    <n v="1"/>
    <n v="430"/>
  </r>
  <r>
    <d v="2022-01-10T00:00:00"/>
    <x v="4"/>
    <s v="Accessories"/>
    <s v="West"/>
    <n v="4"/>
    <n v="1728"/>
  </r>
  <r>
    <d v="2022-04-07T00:00:00"/>
    <x v="6"/>
    <s v="Accessories"/>
    <s v="South"/>
    <n v="3"/>
    <n v="1833"/>
  </r>
  <r>
    <d v="2023-10-23T00:00:00"/>
    <x v="6"/>
    <s v="Accessories"/>
    <s v="North"/>
    <n v="7"/>
    <n v="7280"/>
  </r>
  <r>
    <d v="2024-03-01T00:00:00"/>
    <x v="5"/>
    <s v="Electronics"/>
    <s v="South"/>
    <n v="1"/>
    <n v="814"/>
  </r>
  <r>
    <d v="2023-03-06T00:00:00"/>
    <x v="0"/>
    <s v="Office"/>
    <s v="South"/>
    <n v="8"/>
    <n v="4696"/>
  </r>
  <r>
    <d v="2023-07-27T00:00:00"/>
    <x v="1"/>
    <s v="Accessories"/>
    <s v="South"/>
    <n v="5"/>
    <n v="1190"/>
  </r>
  <r>
    <d v="2024-01-16T00:00:00"/>
    <x v="0"/>
    <s v="Office"/>
    <s v="East"/>
    <n v="1"/>
    <n v="591"/>
  </r>
  <r>
    <d v="2023-11-29T00:00:00"/>
    <x v="1"/>
    <s v="Accessories"/>
    <s v="North"/>
    <n v="9"/>
    <n v="8100"/>
  </r>
  <r>
    <d v="2024-04-06T00:00:00"/>
    <x v="9"/>
    <s v="Electronics"/>
    <s v="South"/>
    <n v="6"/>
    <n v="1500"/>
  </r>
  <r>
    <d v="2024-07-26T00:00:00"/>
    <x v="5"/>
    <s v="Electronics"/>
    <s v="North"/>
    <n v="2"/>
    <n v="300"/>
  </r>
  <r>
    <d v="2023-05-31T00:00:00"/>
    <x v="5"/>
    <s v="Electronics"/>
    <s v="North"/>
    <n v="9"/>
    <n v="1098"/>
  </r>
  <r>
    <d v="2024-05-28T00:00:00"/>
    <x v="6"/>
    <s v="Accessories"/>
    <s v="West"/>
    <n v="4"/>
    <n v="2336"/>
  </r>
  <r>
    <d v="2022-10-05T00:00:00"/>
    <x v="3"/>
    <s v="Electronics"/>
    <s v="North"/>
    <n v="5"/>
    <n v="410"/>
  </r>
  <r>
    <d v="2023-10-09T00:00:00"/>
    <x v="1"/>
    <s v="Accessories"/>
    <s v="South"/>
    <n v="9"/>
    <n v="594"/>
  </r>
  <r>
    <d v="2023-09-20T00:00:00"/>
    <x v="5"/>
    <s v="Electronics"/>
    <s v="East"/>
    <n v="2"/>
    <n v="218"/>
  </r>
  <r>
    <d v="2023-03-25T00:00:00"/>
    <x v="2"/>
    <s v="Electronics"/>
    <s v="South"/>
    <n v="2"/>
    <n v="1298"/>
  </r>
  <r>
    <d v="2024-03-28T00:00:00"/>
    <x v="2"/>
    <s v="Electronics"/>
    <s v="North"/>
    <n v="5"/>
    <n v="895"/>
  </r>
  <r>
    <d v="2023-07-31T00:00:00"/>
    <x v="8"/>
    <s v="Accessories"/>
    <s v="West"/>
    <n v="4"/>
    <n v="2828"/>
  </r>
  <r>
    <d v="2023-11-15T00:00:00"/>
    <x v="2"/>
    <s v="Electronics"/>
    <s v="West"/>
    <n v="3"/>
    <n v="813"/>
  </r>
  <r>
    <d v="2024-06-19T00:00:00"/>
    <x v="6"/>
    <s v="Accessories"/>
    <s v="West"/>
    <n v="4"/>
    <n v="1800"/>
  </r>
  <r>
    <d v="2024-07-24T00:00:00"/>
    <x v="2"/>
    <s v="Electronics"/>
    <s v="West"/>
    <n v="1"/>
    <n v="99"/>
  </r>
  <r>
    <d v="2022-09-15T00:00:00"/>
    <x v="4"/>
    <s v="Accessories"/>
    <s v="West"/>
    <n v="8"/>
    <n v="7576"/>
  </r>
  <r>
    <d v="2024-01-24T00:00:00"/>
    <x v="5"/>
    <s v="Electronics"/>
    <s v="East"/>
    <n v="3"/>
    <n v="1317"/>
  </r>
  <r>
    <d v="2024-03-21T00:00:00"/>
    <x v="5"/>
    <s v="Electronics"/>
    <s v="West"/>
    <n v="3"/>
    <n v="957"/>
  </r>
  <r>
    <d v="2022-01-17T00:00:00"/>
    <x v="1"/>
    <s v="Accessories"/>
    <s v="South"/>
    <n v="4"/>
    <n v="1316"/>
  </r>
  <r>
    <d v="2024-12-20T00:00:00"/>
    <x v="4"/>
    <s v="Accessories"/>
    <s v="South"/>
    <n v="6"/>
    <n v="5346"/>
  </r>
  <r>
    <d v="2023-03-07T00:00:00"/>
    <x v="7"/>
    <s v="Electronics"/>
    <s v="East"/>
    <n v="1"/>
    <n v="464"/>
  </r>
  <r>
    <d v="2022-09-28T00:00:00"/>
    <x v="8"/>
    <s v="Accessories"/>
    <s v="North"/>
    <n v="7"/>
    <n v="3752"/>
  </r>
  <r>
    <d v="2024-07-01T00:00:00"/>
    <x v="8"/>
    <s v="Accessories"/>
    <s v="West"/>
    <n v="6"/>
    <n v="1962"/>
  </r>
  <r>
    <d v="2024-11-27T00:00:00"/>
    <x v="7"/>
    <s v="Electronics"/>
    <s v="South"/>
    <n v="6"/>
    <n v="2310"/>
  </r>
  <r>
    <d v="2023-03-01T00:00:00"/>
    <x v="2"/>
    <s v="Electronics"/>
    <s v="East"/>
    <n v="4"/>
    <n v="3028"/>
  </r>
  <r>
    <d v="2023-07-22T00:00:00"/>
    <x v="6"/>
    <s v="Accessories"/>
    <s v="North"/>
    <n v="3"/>
    <n v="2994"/>
  </r>
  <r>
    <d v="2024-06-18T00:00:00"/>
    <x v="2"/>
    <s v="Electronics"/>
    <s v="South"/>
    <n v="3"/>
    <n v="3393"/>
  </r>
  <r>
    <d v="2024-11-08T00:00:00"/>
    <x v="3"/>
    <s v="Electronics"/>
    <s v="North"/>
    <n v="3"/>
    <n v="1209"/>
  </r>
  <r>
    <d v="2022-11-18T00:00:00"/>
    <x v="8"/>
    <s v="Accessories"/>
    <s v="East"/>
    <n v="8"/>
    <n v="5784"/>
  </r>
  <r>
    <d v="2022-03-10T00:00:00"/>
    <x v="9"/>
    <s v="Electronics"/>
    <s v="West"/>
    <n v="9"/>
    <n v="3078"/>
  </r>
  <r>
    <d v="2024-01-18T00:00:00"/>
    <x v="0"/>
    <s v="Office"/>
    <s v="South"/>
    <n v="4"/>
    <n v="2464"/>
  </r>
  <r>
    <d v="2024-12-14T00:00:00"/>
    <x v="3"/>
    <s v="Electronics"/>
    <s v="West"/>
    <n v="5"/>
    <n v="2445"/>
  </r>
  <r>
    <d v="2023-02-24T00:00:00"/>
    <x v="8"/>
    <s v="Accessories"/>
    <s v="North"/>
    <n v="8"/>
    <n v="5312"/>
  </r>
  <r>
    <d v="2022-03-31T00:00:00"/>
    <x v="8"/>
    <s v="Accessories"/>
    <s v="South"/>
    <n v="1"/>
    <n v="657"/>
  </r>
  <r>
    <d v="2024-05-17T00:00:00"/>
    <x v="8"/>
    <s v="Accessories"/>
    <s v="South"/>
    <n v="3"/>
    <n v="2580"/>
  </r>
  <r>
    <d v="2022-10-05T00:00:00"/>
    <x v="9"/>
    <s v="Electronics"/>
    <s v="East"/>
    <n v="8"/>
    <n v="4624"/>
  </r>
  <r>
    <d v="2023-11-22T00:00:00"/>
    <x v="5"/>
    <s v="Electronics"/>
    <s v="North"/>
    <n v="2"/>
    <n v="1258"/>
  </r>
  <r>
    <d v="2024-07-28T00:00:00"/>
    <x v="3"/>
    <s v="Electronics"/>
    <s v="East"/>
    <n v="7"/>
    <n v="6468"/>
  </r>
  <r>
    <d v="2023-05-24T00:00:00"/>
    <x v="6"/>
    <s v="Accessories"/>
    <s v="West"/>
    <n v="3"/>
    <n v="1359"/>
  </r>
  <r>
    <d v="2024-11-28T00:00:00"/>
    <x v="9"/>
    <s v="Electronics"/>
    <s v="North"/>
    <n v="1"/>
    <n v="104"/>
  </r>
  <r>
    <d v="2023-03-01T00:00:00"/>
    <x v="4"/>
    <s v="Accessories"/>
    <s v="South"/>
    <n v="3"/>
    <n v="1785"/>
  </r>
  <r>
    <d v="2022-06-04T00:00:00"/>
    <x v="6"/>
    <s v="Accessories"/>
    <s v="North"/>
    <n v="8"/>
    <n v="7728"/>
  </r>
  <r>
    <d v="2023-05-27T00:00:00"/>
    <x v="7"/>
    <s v="Electronics"/>
    <s v="West"/>
    <n v="6"/>
    <n v="4188"/>
  </r>
  <r>
    <d v="2022-06-25T00:00:00"/>
    <x v="5"/>
    <s v="Electronics"/>
    <s v="South"/>
    <n v="8"/>
    <n v="3520"/>
  </r>
  <r>
    <d v="2023-08-12T00:00:00"/>
    <x v="3"/>
    <s v="Electronics"/>
    <s v="East"/>
    <n v="3"/>
    <n v="2280"/>
  </r>
  <r>
    <d v="2024-07-09T00:00:00"/>
    <x v="0"/>
    <s v="Office"/>
    <s v="North"/>
    <n v="9"/>
    <n v="2484"/>
  </r>
  <r>
    <d v="2024-04-17T00:00:00"/>
    <x v="2"/>
    <s v="Electronics"/>
    <s v="West"/>
    <n v="3"/>
    <n v="1248"/>
  </r>
  <r>
    <d v="2023-12-12T00:00:00"/>
    <x v="5"/>
    <s v="Electronics"/>
    <s v="West"/>
    <n v="2"/>
    <n v="850"/>
  </r>
  <r>
    <d v="2022-01-07T00:00:00"/>
    <x v="0"/>
    <s v="Office"/>
    <s v="East"/>
    <n v="4"/>
    <n v="1412"/>
  </r>
  <r>
    <d v="2022-05-30T00:00:00"/>
    <x v="4"/>
    <s v="Accessories"/>
    <s v="North"/>
    <n v="1"/>
    <n v="465"/>
  </r>
  <r>
    <d v="2024-05-28T00:00:00"/>
    <x v="0"/>
    <s v="Office"/>
    <s v="West"/>
    <n v="1"/>
    <n v="293"/>
  </r>
  <r>
    <d v="2022-01-01T00:00:00"/>
    <x v="2"/>
    <s v="Electronics"/>
    <s v="North"/>
    <n v="9"/>
    <n v="9234"/>
  </r>
  <r>
    <d v="2022-12-01T00:00:00"/>
    <x v="2"/>
    <s v="Electronics"/>
    <s v="North"/>
    <n v="2"/>
    <n v="1298"/>
  </r>
  <r>
    <d v="2024-08-07T00:00:00"/>
    <x v="0"/>
    <s v="Office"/>
    <s v="East"/>
    <n v="9"/>
    <n v="9477"/>
  </r>
  <r>
    <d v="2024-05-29T00:00:00"/>
    <x v="0"/>
    <s v="Office"/>
    <s v="South"/>
    <n v="7"/>
    <n v="6713"/>
  </r>
  <r>
    <d v="2022-04-25T00:00:00"/>
    <x v="9"/>
    <s v="Electronics"/>
    <s v="South"/>
    <n v="5"/>
    <n v="5700"/>
  </r>
  <r>
    <d v="2024-07-29T00:00:00"/>
    <x v="3"/>
    <s v="Electronics"/>
    <s v="West"/>
    <n v="6"/>
    <n v="4146"/>
  </r>
  <r>
    <d v="2023-10-11T00:00:00"/>
    <x v="2"/>
    <s v="Electronics"/>
    <s v="North"/>
    <n v="8"/>
    <n v="6968"/>
  </r>
  <r>
    <d v="2024-09-09T00:00:00"/>
    <x v="3"/>
    <s v="Electronics"/>
    <s v="East"/>
    <n v="2"/>
    <n v="1054"/>
  </r>
  <r>
    <d v="2022-03-15T00:00:00"/>
    <x v="8"/>
    <s v="Accessories"/>
    <s v="West"/>
    <n v="3"/>
    <n v="1983"/>
  </r>
  <r>
    <d v="2023-10-26T00:00:00"/>
    <x v="8"/>
    <s v="Accessories"/>
    <s v="South"/>
    <n v="5"/>
    <n v="875"/>
  </r>
  <r>
    <d v="2023-09-25T00:00:00"/>
    <x v="0"/>
    <s v="Office"/>
    <s v="North"/>
    <n v="2"/>
    <n v="268"/>
  </r>
  <r>
    <d v="2024-07-17T00:00:00"/>
    <x v="4"/>
    <s v="Accessories"/>
    <s v="West"/>
    <n v="6"/>
    <n v="5370"/>
  </r>
  <r>
    <d v="2024-01-10T00:00:00"/>
    <x v="6"/>
    <s v="Accessories"/>
    <s v="West"/>
    <n v="8"/>
    <n v="3624"/>
  </r>
  <r>
    <d v="2024-09-22T00:00:00"/>
    <x v="5"/>
    <s v="Electronics"/>
    <s v="West"/>
    <n v="4"/>
    <n v="1932"/>
  </r>
  <r>
    <d v="2022-09-05T00:00:00"/>
    <x v="7"/>
    <s v="Electronics"/>
    <s v="North"/>
    <n v="7"/>
    <n v="6020"/>
  </r>
  <r>
    <d v="2024-05-02T00:00:00"/>
    <x v="4"/>
    <s v="Accessories"/>
    <s v="East"/>
    <n v="5"/>
    <n v="1775"/>
  </r>
  <r>
    <d v="2023-03-09T00:00:00"/>
    <x v="5"/>
    <s v="Electronics"/>
    <s v="West"/>
    <n v="3"/>
    <n v="1488"/>
  </r>
  <r>
    <d v="2024-09-21T00:00:00"/>
    <x v="8"/>
    <s v="Accessories"/>
    <s v="East"/>
    <n v="6"/>
    <n v="6720"/>
  </r>
  <r>
    <d v="2022-04-06T00:00:00"/>
    <x v="1"/>
    <s v="Accessories"/>
    <s v="East"/>
    <n v="7"/>
    <n v="5047"/>
  </r>
  <r>
    <d v="2022-03-07T00:00:00"/>
    <x v="2"/>
    <s v="Electronics"/>
    <s v="East"/>
    <n v="5"/>
    <n v="3735"/>
  </r>
  <r>
    <d v="2024-02-26T00:00:00"/>
    <x v="8"/>
    <s v="Accessories"/>
    <s v="East"/>
    <n v="5"/>
    <n v="1250"/>
  </r>
  <r>
    <d v="2022-01-11T00:00:00"/>
    <x v="2"/>
    <s v="Electronics"/>
    <s v="North"/>
    <n v="7"/>
    <n v="2751"/>
  </r>
  <r>
    <d v="2023-07-14T00:00:00"/>
    <x v="9"/>
    <s v="Electronics"/>
    <s v="East"/>
    <n v="9"/>
    <n v="468"/>
  </r>
  <r>
    <d v="2023-07-06T00:00:00"/>
    <x v="0"/>
    <s v="Office"/>
    <s v="North"/>
    <n v="4"/>
    <n v="632"/>
  </r>
  <r>
    <d v="2022-09-15T00:00:00"/>
    <x v="8"/>
    <s v="Accessories"/>
    <s v="South"/>
    <n v="7"/>
    <n v="798"/>
  </r>
  <r>
    <d v="2022-01-28T00:00:00"/>
    <x v="5"/>
    <s v="Electronics"/>
    <s v="South"/>
    <n v="5"/>
    <n v="1295"/>
  </r>
  <r>
    <d v="2024-12-10T00:00:00"/>
    <x v="3"/>
    <s v="Electronics"/>
    <s v="West"/>
    <n v="4"/>
    <n v="3360"/>
  </r>
  <r>
    <d v="2023-06-11T00:00:00"/>
    <x v="3"/>
    <s v="Electronics"/>
    <s v="North"/>
    <n v="5"/>
    <n v="995"/>
  </r>
  <r>
    <d v="2024-12-20T00:00:00"/>
    <x v="5"/>
    <s v="Electronics"/>
    <s v="East"/>
    <n v="5"/>
    <n v="550"/>
  </r>
  <r>
    <d v="2023-02-27T00:00:00"/>
    <x v="6"/>
    <s v="Accessories"/>
    <s v="West"/>
    <n v="8"/>
    <n v="5384"/>
  </r>
  <r>
    <d v="2023-11-19T00:00:00"/>
    <x v="0"/>
    <s v="Office"/>
    <s v="East"/>
    <n v="3"/>
    <n v="3534"/>
  </r>
  <r>
    <d v="2024-02-20T00:00:00"/>
    <x v="7"/>
    <s v="Electronics"/>
    <s v="West"/>
    <n v="9"/>
    <n v="6813"/>
  </r>
  <r>
    <d v="2023-11-27T00:00:00"/>
    <x v="5"/>
    <s v="Electronics"/>
    <s v="East"/>
    <n v="6"/>
    <n v="5508"/>
  </r>
  <r>
    <d v="2022-01-27T00:00:00"/>
    <x v="4"/>
    <s v="Accessories"/>
    <s v="East"/>
    <n v="1"/>
    <n v="966"/>
  </r>
  <r>
    <d v="2024-07-04T00:00:00"/>
    <x v="1"/>
    <s v="Accessories"/>
    <s v="South"/>
    <n v="4"/>
    <n v="460"/>
  </r>
  <r>
    <d v="2023-06-26T00:00:00"/>
    <x v="7"/>
    <s v="Electronics"/>
    <s v="North"/>
    <n v="6"/>
    <n v="7026"/>
  </r>
  <r>
    <d v="2024-05-24T00:00:00"/>
    <x v="7"/>
    <s v="Electronics"/>
    <s v="South"/>
    <n v="5"/>
    <n v="910"/>
  </r>
  <r>
    <d v="2022-08-22T00:00:00"/>
    <x v="6"/>
    <s v="Accessories"/>
    <s v="West"/>
    <n v="9"/>
    <n v="5796"/>
  </r>
  <r>
    <d v="2022-09-28T00:00:00"/>
    <x v="6"/>
    <s v="Accessories"/>
    <s v="North"/>
    <n v="3"/>
    <n v="1050"/>
  </r>
  <r>
    <d v="2024-05-28T00:00:00"/>
    <x v="1"/>
    <s v="Accessories"/>
    <s v="West"/>
    <n v="1"/>
    <n v="1043"/>
  </r>
  <r>
    <d v="2022-10-08T00:00:00"/>
    <x v="0"/>
    <s v="Office"/>
    <s v="South"/>
    <n v="3"/>
    <n v="3330"/>
  </r>
  <r>
    <d v="2022-01-19T00:00:00"/>
    <x v="1"/>
    <s v="Accessories"/>
    <s v="East"/>
    <n v="8"/>
    <n v="1896"/>
  </r>
  <r>
    <d v="2023-04-29T00:00:00"/>
    <x v="3"/>
    <s v="Electronics"/>
    <s v="West"/>
    <n v="5"/>
    <n v="5170"/>
  </r>
  <r>
    <d v="2023-04-24T00:00:00"/>
    <x v="0"/>
    <s v="Office"/>
    <s v="North"/>
    <n v="2"/>
    <n v="466"/>
  </r>
  <r>
    <d v="2023-06-15T00:00:00"/>
    <x v="1"/>
    <s v="Accessories"/>
    <s v="North"/>
    <n v="8"/>
    <n v="6032"/>
  </r>
  <r>
    <d v="2023-03-22T00:00:00"/>
    <x v="3"/>
    <s v="Electronics"/>
    <s v="South"/>
    <n v="1"/>
    <n v="1084"/>
  </r>
  <r>
    <d v="2023-09-20T00:00:00"/>
    <x v="8"/>
    <s v="Accessories"/>
    <s v="North"/>
    <n v="2"/>
    <n v="490"/>
  </r>
  <r>
    <d v="2022-06-30T00:00:00"/>
    <x v="6"/>
    <s v="Accessories"/>
    <s v="North"/>
    <n v="6"/>
    <n v="558"/>
  </r>
  <r>
    <d v="2024-02-18T00:00:00"/>
    <x v="6"/>
    <s v="Accessories"/>
    <s v="East"/>
    <n v="4"/>
    <n v="4024"/>
  </r>
  <r>
    <d v="2023-02-02T00:00:00"/>
    <x v="1"/>
    <s v="Accessories"/>
    <s v="East"/>
    <n v="4"/>
    <n v="1560"/>
  </r>
  <r>
    <d v="2024-03-08T00:00:00"/>
    <x v="9"/>
    <s v="Electronics"/>
    <s v="North"/>
    <n v="1"/>
    <n v="126"/>
  </r>
  <r>
    <d v="2023-10-08T00:00:00"/>
    <x v="1"/>
    <s v="Accessories"/>
    <s v="South"/>
    <n v="7"/>
    <n v="4921"/>
  </r>
  <r>
    <d v="2023-10-10T00:00:00"/>
    <x v="4"/>
    <s v="Accessories"/>
    <s v="West"/>
    <n v="5"/>
    <n v="2665"/>
  </r>
  <r>
    <d v="2023-04-05T00:00:00"/>
    <x v="4"/>
    <s v="Accessories"/>
    <s v="South"/>
    <n v="4"/>
    <n v="200"/>
  </r>
  <r>
    <d v="2024-08-01T00:00:00"/>
    <x v="5"/>
    <s v="Electronics"/>
    <s v="East"/>
    <n v="2"/>
    <n v="186"/>
  </r>
  <r>
    <d v="2024-10-12T00:00:00"/>
    <x v="6"/>
    <s v="Accessories"/>
    <s v="South"/>
    <n v="8"/>
    <n v="5456"/>
  </r>
  <r>
    <d v="2022-07-29T00:00:00"/>
    <x v="5"/>
    <s v="Electronics"/>
    <s v="West"/>
    <n v="9"/>
    <n v="3321"/>
  </r>
  <r>
    <d v="2024-02-13T00:00:00"/>
    <x v="4"/>
    <s v="Accessories"/>
    <s v="North"/>
    <n v="7"/>
    <n v="3766"/>
  </r>
  <r>
    <d v="2022-05-07T00:00:00"/>
    <x v="8"/>
    <s v="Accessories"/>
    <s v="West"/>
    <n v="6"/>
    <n v="3150"/>
  </r>
  <r>
    <d v="2022-05-19T00:00:00"/>
    <x v="9"/>
    <s v="Electronics"/>
    <s v="East"/>
    <n v="2"/>
    <n v="646"/>
  </r>
  <r>
    <d v="2022-08-12T00:00:00"/>
    <x v="7"/>
    <s v="Electronics"/>
    <s v="South"/>
    <n v="5"/>
    <n v="2665"/>
  </r>
  <r>
    <d v="2023-10-13T00:00:00"/>
    <x v="5"/>
    <s v="Electronics"/>
    <s v="North"/>
    <n v="9"/>
    <n v="1467"/>
  </r>
  <r>
    <d v="2024-07-05T00:00:00"/>
    <x v="2"/>
    <s v="Electronics"/>
    <s v="North"/>
    <n v="7"/>
    <n v="4620"/>
  </r>
  <r>
    <d v="2023-03-17T00:00:00"/>
    <x v="2"/>
    <s v="Electronics"/>
    <s v="West"/>
    <n v="8"/>
    <n v="1184"/>
  </r>
  <r>
    <d v="2023-11-01T00:00:00"/>
    <x v="3"/>
    <s v="Electronics"/>
    <s v="East"/>
    <n v="1"/>
    <n v="113"/>
  </r>
  <r>
    <d v="2024-10-02T00:00:00"/>
    <x v="0"/>
    <s v="Office"/>
    <s v="East"/>
    <n v="8"/>
    <n v="3336"/>
  </r>
  <r>
    <d v="2023-04-09T00:00:00"/>
    <x v="7"/>
    <s v="Electronics"/>
    <s v="South"/>
    <n v="4"/>
    <n v="4224"/>
  </r>
  <r>
    <d v="2022-07-09T00:00:00"/>
    <x v="4"/>
    <s v="Accessories"/>
    <s v="North"/>
    <n v="3"/>
    <n v="1098"/>
  </r>
  <r>
    <d v="2024-03-10T00:00:00"/>
    <x v="3"/>
    <s v="Electronics"/>
    <s v="South"/>
    <n v="8"/>
    <n v="4400"/>
  </r>
  <r>
    <d v="2022-05-08T00:00:00"/>
    <x v="0"/>
    <s v="Office"/>
    <s v="North"/>
    <n v="8"/>
    <n v="5616"/>
  </r>
  <r>
    <d v="2024-03-02T00:00:00"/>
    <x v="0"/>
    <s v="Office"/>
    <s v="North"/>
    <n v="7"/>
    <n v="4676"/>
  </r>
  <r>
    <d v="2022-07-19T00:00:00"/>
    <x v="5"/>
    <s v="Electronics"/>
    <s v="North"/>
    <n v="2"/>
    <n v="2370"/>
  </r>
  <r>
    <d v="2023-01-24T00:00:00"/>
    <x v="1"/>
    <s v="Accessories"/>
    <s v="West"/>
    <n v="7"/>
    <n v="4487"/>
  </r>
  <r>
    <d v="2024-10-01T00:00:00"/>
    <x v="3"/>
    <s v="Electronics"/>
    <s v="North"/>
    <n v="6"/>
    <n v="6384"/>
  </r>
  <r>
    <d v="2023-03-30T00:00:00"/>
    <x v="8"/>
    <s v="Accessories"/>
    <s v="South"/>
    <n v="8"/>
    <n v="2960"/>
  </r>
  <r>
    <d v="2022-03-24T00:00:00"/>
    <x v="5"/>
    <s v="Electronics"/>
    <s v="East"/>
    <n v="1"/>
    <n v="897"/>
  </r>
  <r>
    <d v="2023-03-25T00:00:00"/>
    <x v="7"/>
    <s v="Electronics"/>
    <s v="East"/>
    <n v="2"/>
    <n v="1178"/>
  </r>
  <r>
    <d v="2023-01-20T00:00:00"/>
    <x v="5"/>
    <s v="Electronics"/>
    <s v="East"/>
    <n v="2"/>
    <n v="1026"/>
  </r>
  <r>
    <d v="2022-05-22T00:00:00"/>
    <x v="0"/>
    <s v="Office"/>
    <s v="South"/>
    <n v="1"/>
    <n v="1148"/>
  </r>
  <r>
    <d v="2023-02-15T00:00:00"/>
    <x v="0"/>
    <s v="Office"/>
    <s v="West"/>
    <n v="7"/>
    <n v="3185"/>
  </r>
  <r>
    <d v="2022-03-03T00:00:00"/>
    <x v="7"/>
    <s v="Electronics"/>
    <s v="East"/>
    <n v="7"/>
    <n v="5180"/>
  </r>
  <r>
    <d v="2022-11-02T00:00:00"/>
    <x v="4"/>
    <s v="Accessories"/>
    <s v="South"/>
    <n v="5"/>
    <n v="2025"/>
  </r>
  <r>
    <d v="2024-12-24T00:00:00"/>
    <x v="2"/>
    <s v="Electronics"/>
    <s v="North"/>
    <n v="9"/>
    <n v="1359"/>
  </r>
  <r>
    <d v="2023-03-30T00:00:00"/>
    <x v="3"/>
    <s v="Electronics"/>
    <s v="South"/>
    <n v="4"/>
    <n v="1836"/>
  </r>
  <r>
    <d v="2022-12-03T00:00:00"/>
    <x v="2"/>
    <s v="Electronics"/>
    <s v="West"/>
    <n v="2"/>
    <n v="702"/>
  </r>
  <r>
    <d v="2024-12-07T00:00:00"/>
    <x v="7"/>
    <s v="Electronics"/>
    <s v="West"/>
    <n v="8"/>
    <n v="6576"/>
  </r>
  <r>
    <d v="2024-03-07T00:00:00"/>
    <x v="5"/>
    <s v="Electronics"/>
    <s v="West"/>
    <n v="2"/>
    <n v="1428"/>
  </r>
  <r>
    <d v="2023-01-08T00:00:00"/>
    <x v="3"/>
    <s v="Electronics"/>
    <s v="North"/>
    <n v="7"/>
    <n v="6853"/>
  </r>
  <r>
    <d v="2022-05-16T00:00:00"/>
    <x v="3"/>
    <s v="Electronics"/>
    <s v="West"/>
    <n v="2"/>
    <n v="1492"/>
  </r>
  <r>
    <d v="2024-04-29T00:00:00"/>
    <x v="0"/>
    <s v="Office"/>
    <s v="North"/>
    <n v="6"/>
    <n v="1938"/>
  </r>
  <r>
    <d v="2023-01-08T00:00:00"/>
    <x v="3"/>
    <s v="Electronics"/>
    <s v="South"/>
    <n v="5"/>
    <n v="905"/>
  </r>
  <r>
    <d v="2022-02-25T00:00:00"/>
    <x v="0"/>
    <s v="Office"/>
    <s v="North"/>
    <n v="3"/>
    <n v="2571"/>
  </r>
  <r>
    <d v="2024-04-08T00:00:00"/>
    <x v="2"/>
    <s v="Electronics"/>
    <s v="West"/>
    <n v="4"/>
    <n v="1500"/>
  </r>
  <r>
    <d v="2023-03-17T00:00:00"/>
    <x v="5"/>
    <s v="Electronics"/>
    <s v="South"/>
    <n v="9"/>
    <n v="8712"/>
  </r>
  <r>
    <d v="2024-07-23T00:00:00"/>
    <x v="6"/>
    <s v="Accessories"/>
    <s v="East"/>
    <n v="4"/>
    <n v="1308"/>
  </r>
  <r>
    <d v="2024-03-06T00:00:00"/>
    <x v="7"/>
    <s v="Electronics"/>
    <s v="South"/>
    <n v="4"/>
    <n v="2648"/>
  </r>
  <r>
    <d v="2022-03-18T00:00:00"/>
    <x v="3"/>
    <s v="Electronics"/>
    <s v="South"/>
    <n v="9"/>
    <n v="9810"/>
  </r>
  <r>
    <d v="2024-05-03T00:00:00"/>
    <x v="4"/>
    <s v="Accessories"/>
    <s v="North"/>
    <n v="3"/>
    <n v="3291"/>
  </r>
  <r>
    <d v="2022-09-22T00:00:00"/>
    <x v="5"/>
    <s v="Electronics"/>
    <s v="North"/>
    <n v="1"/>
    <n v="758"/>
  </r>
  <r>
    <d v="2022-09-29T00:00:00"/>
    <x v="8"/>
    <s v="Accessories"/>
    <s v="East"/>
    <n v="7"/>
    <n v="2436"/>
  </r>
  <r>
    <d v="2024-06-01T00:00:00"/>
    <x v="5"/>
    <s v="Electronics"/>
    <s v="North"/>
    <n v="7"/>
    <n v="560"/>
  </r>
  <r>
    <d v="2022-10-20T00:00:00"/>
    <x v="7"/>
    <s v="Electronics"/>
    <s v="West"/>
    <n v="8"/>
    <n v="4240"/>
  </r>
  <r>
    <d v="2024-09-05T00:00:00"/>
    <x v="6"/>
    <s v="Accessories"/>
    <s v="East"/>
    <n v="8"/>
    <n v="5416"/>
  </r>
  <r>
    <d v="2023-07-16T00:00:00"/>
    <x v="7"/>
    <s v="Electronics"/>
    <s v="East"/>
    <n v="8"/>
    <n v="1728"/>
  </r>
  <r>
    <d v="2023-07-15T00:00:00"/>
    <x v="8"/>
    <s v="Accessories"/>
    <s v="West"/>
    <n v="9"/>
    <n v="6309"/>
  </r>
  <r>
    <d v="2023-08-08T00:00:00"/>
    <x v="8"/>
    <s v="Accessories"/>
    <s v="North"/>
    <n v="8"/>
    <n v="3400"/>
  </r>
  <r>
    <d v="2022-04-29T00:00:00"/>
    <x v="9"/>
    <s v="Electronics"/>
    <s v="East"/>
    <n v="1"/>
    <n v="403"/>
  </r>
  <r>
    <d v="2022-12-17T00:00:00"/>
    <x v="8"/>
    <s v="Accessories"/>
    <s v="South"/>
    <n v="4"/>
    <n v="2108"/>
  </r>
  <r>
    <d v="2022-09-30T00:00:00"/>
    <x v="4"/>
    <s v="Accessories"/>
    <s v="West"/>
    <n v="2"/>
    <n v="1090"/>
  </r>
  <r>
    <d v="2022-11-06T00:00:00"/>
    <x v="8"/>
    <s v="Accessories"/>
    <s v="North"/>
    <n v="7"/>
    <n v="1274"/>
  </r>
  <r>
    <d v="2024-04-11T00:00:00"/>
    <x v="1"/>
    <s v="Accessories"/>
    <s v="South"/>
    <n v="3"/>
    <n v="1056"/>
  </r>
  <r>
    <d v="2023-06-01T00:00:00"/>
    <x v="1"/>
    <s v="Accessories"/>
    <s v="North"/>
    <n v="9"/>
    <n v="5247"/>
  </r>
  <r>
    <d v="2023-11-06T00:00:00"/>
    <x v="1"/>
    <s v="Accessories"/>
    <s v="West"/>
    <n v="7"/>
    <n v="6006"/>
  </r>
  <r>
    <d v="2024-01-18T00:00:00"/>
    <x v="6"/>
    <s v="Accessories"/>
    <s v="West"/>
    <n v="5"/>
    <n v="5415"/>
  </r>
  <r>
    <d v="2022-02-24T00:00:00"/>
    <x v="7"/>
    <s v="Electronics"/>
    <s v="West"/>
    <n v="1"/>
    <n v="632"/>
  </r>
  <r>
    <d v="2024-01-31T00:00:00"/>
    <x v="0"/>
    <s v="Office"/>
    <s v="West"/>
    <n v="8"/>
    <n v="6160"/>
  </r>
  <r>
    <d v="2023-05-26T00:00:00"/>
    <x v="0"/>
    <s v="Office"/>
    <s v="South"/>
    <n v="1"/>
    <n v="857"/>
  </r>
  <r>
    <d v="2023-01-28T00:00:00"/>
    <x v="2"/>
    <s v="Electronics"/>
    <s v="East"/>
    <n v="1"/>
    <n v="169"/>
  </r>
  <r>
    <d v="2023-10-01T00:00:00"/>
    <x v="2"/>
    <s v="Electronics"/>
    <s v="West"/>
    <n v="7"/>
    <n v="1463"/>
  </r>
  <r>
    <d v="2022-12-18T00:00:00"/>
    <x v="3"/>
    <s v="Electronics"/>
    <s v="East"/>
    <n v="8"/>
    <n v="7528"/>
  </r>
  <r>
    <d v="2022-12-24T00:00:00"/>
    <x v="5"/>
    <s v="Electronics"/>
    <s v="West"/>
    <n v="2"/>
    <n v="1158"/>
  </r>
  <r>
    <d v="2022-06-17T00:00:00"/>
    <x v="6"/>
    <s v="Accessories"/>
    <s v="West"/>
    <n v="4"/>
    <n v="200"/>
  </r>
  <r>
    <d v="2023-01-01T00:00:00"/>
    <x v="7"/>
    <s v="Electronics"/>
    <s v="West"/>
    <n v="2"/>
    <n v="1514"/>
  </r>
  <r>
    <d v="2024-07-07T00:00:00"/>
    <x v="5"/>
    <s v="Electronics"/>
    <s v="South"/>
    <n v="7"/>
    <n v="2632"/>
  </r>
  <r>
    <d v="2022-07-31T00:00:00"/>
    <x v="8"/>
    <s v="Accessories"/>
    <s v="North"/>
    <n v="1"/>
    <n v="358"/>
  </r>
  <r>
    <d v="2023-06-04T00:00:00"/>
    <x v="3"/>
    <s v="Electronics"/>
    <s v="East"/>
    <n v="8"/>
    <n v="2360"/>
  </r>
  <r>
    <d v="2023-08-29T00:00:00"/>
    <x v="8"/>
    <s v="Accessories"/>
    <s v="South"/>
    <n v="5"/>
    <n v="5275"/>
  </r>
  <r>
    <d v="2023-04-06T00:00:00"/>
    <x v="6"/>
    <s v="Accessories"/>
    <s v="East"/>
    <n v="9"/>
    <n v="1719"/>
  </r>
  <r>
    <d v="2023-02-04T00:00:00"/>
    <x v="7"/>
    <s v="Electronics"/>
    <s v="West"/>
    <n v="6"/>
    <n v="1956"/>
  </r>
  <r>
    <d v="2022-08-27T00:00:00"/>
    <x v="8"/>
    <s v="Accessories"/>
    <s v="West"/>
    <n v="3"/>
    <n v="1875"/>
  </r>
  <r>
    <d v="2022-06-13T00:00:00"/>
    <x v="6"/>
    <s v="Accessories"/>
    <s v="South"/>
    <n v="4"/>
    <n v="984"/>
  </r>
  <r>
    <d v="2023-08-20T00:00:00"/>
    <x v="3"/>
    <s v="Electronics"/>
    <s v="South"/>
    <n v="4"/>
    <n v="3616"/>
  </r>
  <r>
    <d v="2024-10-18T00:00:00"/>
    <x v="2"/>
    <s v="Electronics"/>
    <s v="West"/>
    <n v="5"/>
    <n v="4560"/>
  </r>
  <r>
    <d v="2024-09-14T00:00:00"/>
    <x v="7"/>
    <s v="Electronics"/>
    <s v="West"/>
    <n v="8"/>
    <n v="7496"/>
  </r>
  <r>
    <d v="2022-08-17T00:00:00"/>
    <x v="3"/>
    <s v="Electronics"/>
    <s v="North"/>
    <n v="5"/>
    <n v="5070"/>
  </r>
  <r>
    <d v="2022-04-21T00:00:00"/>
    <x v="5"/>
    <s v="Electronics"/>
    <s v="North"/>
    <n v="5"/>
    <n v="4505"/>
  </r>
  <r>
    <d v="2022-01-13T00:00:00"/>
    <x v="2"/>
    <s v="Electronics"/>
    <s v="South"/>
    <n v="2"/>
    <n v="1916"/>
  </r>
  <r>
    <d v="2024-08-28T00:00:00"/>
    <x v="3"/>
    <s v="Electronics"/>
    <s v="West"/>
    <n v="7"/>
    <n v="8113"/>
  </r>
  <r>
    <d v="2022-08-13T00:00:00"/>
    <x v="9"/>
    <s v="Electronics"/>
    <s v="North"/>
    <n v="9"/>
    <n v="1809"/>
  </r>
  <r>
    <d v="2023-09-01T00:00:00"/>
    <x v="9"/>
    <s v="Electronics"/>
    <s v="South"/>
    <n v="3"/>
    <n v="1227"/>
  </r>
  <r>
    <d v="2023-07-20T00:00:00"/>
    <x v="9"/>
    <s v="Electronics"/>
    <s v="South"/>
    <n v="6"/>
    <n v="2040"/>
  </r>
  <r>
    <d v="2022-12-22T00:00:00"/>
    <x v="2"/>
    <s v="Electronics"/>
    <s v="West"/>
    <n v="6"/>
    <n v="6324"/>
  </r>
  <r>
    <d v="2023-03-25T00:00:00"/>
    <x v="0"/>
    <s v="Office"/>
    <s v="North"/>
    <n v="3"/>
    <n v="2724"/>
  </r>
  <r>
    <d v="2023-05-14T00:00:00"/>
    <x v="9"/>
    <s v="Electronics"/>
    <s v="South"/>
    <n v="1"/>
    <n v="1188"/>
  </r>
  <r>
    <d v="2024-01-23T00:00:00"/>
    <x v="8"/>
    <s v="Accessories"/>
    <s v="East"/>
    <n v="8"/>
    <n v="8776"/>
  </r>
  <r>
    <d v="2023-03-25T00:00:00"/>
    <x v="9"/>
    <s v="Electronics"/>
    <s v="South"/>
    <n v="9"/>
    <n v="5553"/>
  </r>
  <r>
    <d v="2022-08-27T00:00:00"/>
    <x v="7"/>
    <s v="Electronics"/>
    <s v="South"/>
    <n v="2"/>
    <n v="970"/>
  </r>
  <r>
    <d v="2022-07-15T00:00:00"/>
    <x v="8"/>
    <s v="Accessories"/>
    <s v="South"/>
    <n v="5"/>
    <n v="940"/>
  </r>
  <r>
    <d v="2024-07-08T00:00:00"/>
    <x v="0"/>
    <s v="Office"/>
    <s v="East"/>
    <n v="1"/>
    <n v="1175"/>
  </r>
  <r>
    <d v="2022-11-07T00:00:00"/>
    <x v="9"/>
    <s v="Electronics"/>
    <s v="East"/>
    <n v="9"/>
    <n v="4860"/>
  </r>
  <r>
    <d v="2022-10-18T00:00:00"/>
    <x v="4"/>
    <s v="Accessories"/>
    <s v="North"/>
    <n v="1"/>
    <n v="987"/>
  </r>
  <r>
    <d v="2024-05-17T00:00:00"/>
    <x v="3"/>
    <s v="Electronics"/>
    <s v="East"/>
    <n v="7"/>
    <n v="2968"/>
  </r>
  <r>
    <d v="2022-03-09T00:00:00"/>
    <x v="1"/>
    <s v="Accessories"/>
    <s v="East"/>
    <n v="3"/>
    <n v="2172"/>
  </r>
  <r>
    <d v="2022-01-01T00:00:00"/>
    <x v="4"/>
    <s v="Accessories"/>
    <s v="South"/>
    <n v="7"/>
    <n v="3941"/>
  </r>
  <r>
    <d v="2022-06-22T00:00:00"/>
    <x v="4"/>
    <s v="Accessories"/>
    <s v="North"/>
    <n v="7"/>
    <n v="2261"/>
  </r>
  <r>
    <d v="2022-07-15T00:00:00"/>
    <x v="5"/>
    <s v="Electronics"/>
    <s v="West"/>
    <n v="9"/>
    <n v="8802"/>
  </r>
  <r>
    <d v="2023-03-15T00:00:00"/>
    <x v="0"/>
    <s v="Office"/>
    <s v="South"/>
    <n v="5"/>
    <n v="3025"/>
  </r>
  <r>
    <d v="2022-01-16T00:00:00"/>
    <x v="0"/>
    <s v="Office"/>
    <s v="North"/>
    <n v="4"/>
    <n v="4428"/>
  </r>
  <r>
    <d v="2024-10-28T00:00:00"/>
    <x v="1"/>
    <s v="Accessories"/>
    <s v="West"/>
    <n v="9"/>
    <n v="7344"/>
  </r>
  <r>
    <d v="2024-08-23T00:00:00"/>
    <x v="8"/>
    <s v="Accessories"/>
    <s v="East"/>
    <n v="4"/>
    <n v="2236"/>
  </r>
  <r>
    <d v="2024-11-24T00:00:00"/>
    <x v="7"/>
    <s v="Electronics"/>
    <s v="South"/>
    <n v="8"/>
    <n v="536"/>
  </r>
  <r>
    <d v="2024-10-20T00:00:00"/>
    <x v="6"/>
    <s v="Accessories"/>
    <s v="North"/>
    <n v="5"/>
    <n v="1980"/>
  </r>
  <r>
    <d v="2022-01-26T00:00:00"/>
    <x v="0"/>
    <s v="Office"/>
    <s v="East"/>
    <n v="6"/>
    <n v="2100"/>
  </r>
  <r>
    <d v="2023-04-16T00:00:00"/>
    <x v="5"/>
    <s v="Electronics"/>
    <s v="West"/>
    <n v="3"/>
    <n v="1497"/>
  </r>
  <r>
    <d v="2024-07-18T00:00:00"/>
    <x v="9"/>
    <s v="Electronics"/>
    <s v="North"/>
    <n v="6"/>
    <n v="4200"/>
  </r>
  <r>
    <d v="2022-11-21T00:00:00"/>
    <x v="4"/>
    <s v="Accessories"/>
    <s v="South"/>
    <n v="2"/>
    <n v="1242"/>
  </r>
  <r>
    <d v="2022-11-29T00:00:00"/>
    <x v="5"/>
    <s v="Electronics"/>
    <s v="South"/>
    <n v="5"/>
    <n v="1570"/>
  </r>
  <r>
    <d v="2023-07-01T00:00:00"/>
    <x v="6"/>
    <s v="Accessories"/>
    <s v="East"/>
    <n v="4"/>
    <n v="428"/>
  </r>
  <r>
    <d v="2023-02-02T00:00:00"/>
    <x v="0"/>
    <s v="Office"/>
    <s v="South"/>
    <n v="1"/>
    <n v="914"/>
  </r>
  <r>
    <d v="2024-12-13T00:00:00"/>
    <x v="2"/>
    <s v="Electronics"/>
    <s v="North"/>
    <n v="3"/>
    <n v="465"/>
  </r>
  <r>
    <d v="2022-08-27T00:00:00"/>
    <x v="5"/>
    <s v="Electronics"/>
    <s v="North"/>
    <n v="2"/>
    <n v="1062"/>
  </r>
  <r>
    <d v="2022-05-26T00:00:00"/>
    <x v="3"/>
    <s v="Electronics"/>
    <s v="South"/>
    <n v="8"/>
    <n v="8720"/>
  </r>
  <r>
    <d v="2024-02-04T00:00:00"/>
    <x v="1"/>
    <s v="Accessories"/>
    <s v="South"/>
    <n v="6"/>
    <n v="1308"/>
  </r>
  <r>
    <d v="2024-12-12T00:00:00"/>
    <x v="4"/>
    <s v="Accessories"/>
    <s v="South"/>
    <n v="9"/>
    <n v="8514"/>
  </r>
  <r>
    <d v="2023-02-07T00:00:00"/>
    <x v="2"/>
    <s v="Electronics"/>
    <s v="North"/>
    <n v="2"/>
    <n v="1212"/>
  </r>
  <r>
    <d v="2023-04-24T00:00:00"/>
    <x v="4"/>
    <s v="Accessories"/>
    <s v="West"/>
    <n v="4"/>
    <n v="2576"/>
  </r>
  <r>
    <d v="2023-09-26T00:00:00"/>
    <x v="8"/>
    <s v="Accessories"/>
    <s v="East"/>
    <n v="8"/>
    <n v="4800"/>
  </r>
  <r>
    <d v="2022-10-02T00:00:00"/>
    <x v="5"/>
    <s v="Electronics"/>
    <s v="East"/>
    <n v="5"/>
    <n v="1440"/>
  </r>
  <r>
    <d v="2022-09-12T00:00:00"/>
    <x v="5"/>
    <s v="Electronics"/>
    <s v="North"/>
    <n v="9"/>
    <n v="10251"/>
  </r>
  <r>
    <d v="2023-01-18T00:00:00"/>
    <x v="7"/>
    <s v="Electronics"/>
    <s v="North"/>
    <n v="7"/>
    <n v="3038"/>
  </r>
  <r>
    <d v="2022-11-24T00:00:00"/>
    <x v="6"/>
    <s v="Accessories"/>
    <s v="West"/>
    <n v="9"/>
    <n v="6993"/>
  </r>
  <r>
    <d v="2024-03-07T00:00:00"/>
    <x v="6"/>
    <s v="Accessories"/>
    <s v="East"/>
    <n v="4"/>
    <n v="1632"/>
  </r>
  <r>
    <d v="2024-10-07T00:00:00"/>
    <x v="8"/>
    <s v="Accessories"/>
    <s v="East"/>
    <n v="9"/>
    <n v="5706"/>
  </r>
  <r>
    <d v="2022-08-29T00:00:00"/>
    <x v="3"/>
    <s v="Electronics"/>
    <s v="North"/>
    <n v="9"/>
    <n v="9657"/>
  </r>
  <r>
    <d v="2022-01-31T00:00:00"/>
    <x v="5"/>
    <s v="Electronics"/>
    <s v="East"/>
    <n v="5"/>
    <n v="4405"/>
  </r>
  <r>
    <d v="2023-12-14T00:00:00"/>
    <x v="8"/>
    <s v="Accessories"/>
    <s v="East"/>
    <n v="4"/>
    <n v="1720"/>
  </r>
  <r>
    <d v="2023-08-13T00:00:00"/>
    <x v="3"/>
    <s v="Electronics"/>
    <s v="South"/>
    <n v="7"/>
    <n v="4557"/>
  </r>
  <r>
    <d v="2024-12-12T00:00:00"/>
    <x v="4"/>
    <s v="Accessories"/>
    <s v="West"/>
    <n v="7"/>
    <n v="2380"/>
  </r>
  <r>
    <d v="2022-02-11T00:00:00"/>
    <x v="4"/>
    <s v="Accessories"/>
    <s v="North"/>
    <n v="8"/>
    <n v="456"/>
  </r>
  <r>
    <d v="2023-11-16T00:00:00"/>
    <x v="3"/>
    <s v="Electronics"/>
    <s v="East"/>
    <n v="6"/>
    <n v="6534"/>
  </r>
  <r>
    <d v="2022-03-04T00:00:00"/>
    <x v="7"/>
    <s v="Electronics"/>
    <s v="North"/>
    <n v="6"/>
    <n v="3456"/>
  </r>
  <r>
    <d v="2022-06-29T00:00:00"/>
    <x v="8"/>
    <s v="Accessories"/>
    <s v="West"/>
    <n v="9"/>
    <n v="8163"/>
  </r>
  <r>
    <d v="2023-08-28T00:00:00"/>
    <x v="4"/>
    <s v="Accessories"/>
    <s v="North"/>
    <n v="6"/>
    <n v="4656"/>
  </r>
  <r>
    <d v="2022-09-16T00:00:00"/>
    <x v="7"/>
    <s v="Electronics"/>
    <s v="West"/>
    <n v="2"/>
    <n v="966"/>
  </r>
  <r>
    <d v="2022-12-02T00:00:00"/>
    <x v="1"/>
    <s v="Accessories"/>
    <s v="East"/>
    <n v="4"/>
    <n v="2580"/>
  </r>
  <r>
    <d v="2022-10-02T00:00:00"/>
    <x v="3"/>
    <s v="Electronics"/>
    <s v="South"/>
    <n v="9"/>
    <n v="8127"/>
  </r>
  <r>
    <d v="2022-05-19T00:00:00"/>
    <x v="5"/>
    <s v="Electronics"/>
    <s v="South"/>
    <n v="4"/>
    <n v="2128"/>
  </r>
  <r>
    <d v="2022-06-05T00:00:00"/>
    <x v="7"/>
    <s v="Electronics"/>
    <s v="South"/>
    <n v="9"/>
    <n v="6417"/>
  </r>
  <r>
    <d v="2022-06-11T00:00:00"/>
    <x v="8"/>
    <s v="Accessories"/>
    <s v="East"/>
    <n v="7"/>
    <n v="3997"/>
  </r>
  <r>
    <d v="2023-03-14T00:00:00"/>
    <x v="9"/>
    <s v="Electronics"/>
    <s v="West"/>
    <n v="1"/>
    <n v="879"/>
  </r>
  <r>
    <d v="2023-11-17T00:00:00"/>
    <x v="9"/>
    <s v="Electronics"/>
    <s v="North"/>
    <n v="3"/>
    <n v="2415"/>
  </r>
  <r>
    <d v="2024-09-27T00:00:00"/>
    <x v="3"/>
    <s v="Electronics"/>
    <s v="West"/>
    <n v="4"/>
    <n v="1064"/>
  </r>
  <r>
    <d v="2022-02-17T00:00:00"/>
    <x v="1"/>
    <s v="Accessories"/>
    <s v="South"/>
    <n v="4"/>
    <n v="1156"/>
  </r>
  <r>
    <d v="2022-05-12T00:00:00"/>
    <x v="7"/>
    <s v="Electronics"/>
    <s v="North"/>
    <n v="1"/>
    <n v="1184"/>
  </r>
  <r>
    <d v="2022-02-05T00:00:00"/>
    <x v="8"/>
    <s v="Accessories"/>
    <s v="South"/>
    <n v="3"/>
    <n v="1950"/>
  </r>
  <r>
    <d v="2022-08-29T00:00:00"/>
    <x v="9"/>
    <s v="Electronics"/>
    <s v="South"/>
    <n v="4"/>
    <n v="1088"/>
  </r>
  <r>
    <d v="2023-12-04T00:00:00"/>
    <x v="0"/>
    <s v="Office"/>
    <s v="South"/>
    <n v="6"/>
    <n v="4380"/>
  </r>
  <r>
    <d v="2024-04-20T00:00:00"/>
    <x v="3"/>
    <s v="Electronics"/>
    <s v="South"/>
    <n v="1"/>
    <n v="998"/>
  </r>
  <r>
    <d v="2024-05-25T00:00:00"/>
    <x v="7"/>
    <s v="Electronics"/>
    <s v="East"/>
    <n v="6"/>
    <n v="5766"/>
  </r>
  <r>
    <d v="2024-10-09T00:00:00"/>
    <x v="2"/>
    <s v="Electronics"/>
    <s v="West"/>
    <n v="6"/>
    <n v="3120"/>
  </r>
  <r>
    <d v="2022-03-07T00:00:00"/>
    <x v="0"/>
    <s v="Office"/>
    <s v="East"/>
    <n v="7"/>
    <n v="637"/>
  </r>
  <r>
    <d v="2023-10-26T00:00:00"/>
    <x v="9"/>
    <s v="Electronics"/>
    <s v="West"/>
    <n v="6"/>
    <n v="3306"/>
  </r>
  <r>
    <d v="2022-05-31T00:00:00"/>
    <x v="6"/>
    <s v="Accessories"/>
    <s v="South"/>
    <n v="6"/>
    <n v="7020"/>
  </r>
  <r>
    <d v="2022-09-16T00:00:00"/>
    <x v="3"/>
    <s v="Electronics"/>
    <s v="South"/>
    <n v="7"/>
    <n v="5971"/>
  </r>
  <r>
    <d v="2023-11-22T00:00:00"/>
    <x v="9"/>
    <s v="Electronics"/>
    <s v="North"/>
    <n v="2"/>
    <n v="750"/>
  </r>
  <r>
    <d v="2024-04-26T00:00:00"/>
    <x v="2"/>
    <s v="Electronics"/>
    <s v="North"/>
    <n v="3"/>
    <n v="2379"/>
  </r>
  <r>
    <d v="2022-08-21T00:00:00"/>
    <x v="3"/>
    <s v="Electronics"/>
    <s v="North"/>
    <n v="1"/>
    <n v="699"/>
  </r>
  <r>
    <d v="2023-01-16T00:00:00"/>
    <x v="3"/>
    <s v="Electronics"/>
    <s v="West"/>
    <n v="9"/>
    <n v="6876"/>
  </r>
  <r>
    <d v="2022-02-02T00:00:00"/>
    <x v="6"/>
    <s v="Accessories"/>
    <s v="North"/>
    <n v="8"/>
    <n v="1800"/>
  </r>
  <r>
    <d v="2024-07-11T00:00:00"/>
    <x v="2"/>
    <s v="Electronics"/>
    <s v="South"/>
    <n v="5"/>
    <n v="1255"/>
  </r>
  <r>
    <d v="2022-06-04T00:00:00"/>
    <x v="5"/>
    <s v="Electronics"/>
    <s v="East"/>
    <n v="9"/>
    <n v="1998"/>
  </r>
  <r>
    <d v="2022-11-26T00:00:00"/>
    <x v="4"/>
    <s v="Accessories"/>
    <s v="East"/>
    <n v="1"/>
    <n v="307"/>
  </r>
  <r>
    <d v="2024-06-25T00:00:00"/>
    <x v="0"/>
    <s v="Office"/>
    <s v="West"/>
    <n v="1"/>
    <n v="235"/>
  </r>
  <r>
    <d v="2023-11-01T00:00:00"/>
    <x v="6"/>
    <s v="Accessories"/>
    <s v="South"/>
    <n v="6"/>
    <n v="1506"/>
  </r>
  <r>
    <d v="2024-10-26T00:00:00"/>
    <x v="2"/>
    <s v="Electronics"/>
    <s v="North"/>
    <n v="8"/>
    <n v="2464"/>
  </r>
  <r>
    <d v="2023-05-12T00:00:00"/>
    <x v="5"/>
    <s v="Electronics"/>
    <s v="South"/>
    <n v="2"/>
    <n v="322"/>
  </r>
  <r>
    <d v="2023-03-04T00:00:00"/>
    <x v="0"/>
    <s v="Office"/>
    <s v="West"/>
    <n v="4"/>
    <n v="1100"/>
  </r>
  <r>
    <d v="2022-03-08T00:00:00"/>
    <x v="8"/>
    <s v="Accessories"/>
    <s v="South"/>
    <n v="4"/>
    <n v="2188"/>
  </r>
  <r>
    <d v="2023-12-22T00:00:00"/>
    <x v="0"/>
    <s v="Office"/>
    <s v="West"/>
    <n v="9"/>
    <n v="2934"/>
  </r>
  <r>
    <d v="2022-11-04T00:00:00"/>
    <x v="4"/>
    <s v="Accessories"/>
    <s v="South"/>
    <n v="8"/>
    <n v="9224"/>
  </r>
  <r>
    <d v="2022-12-15T00:00:00"/>
    <x v="6"/>
    <s v="Accessories"/>
    <s v="East"/>
    <n v="4"/>
    <n v="2436"/>
  </r>
  <r>
    <d v="2022-09-23T00:00:00"/>
    <x v="5"/>
    <s v="Electronics"/>
    <s v="West"/>
    <n v="4"/>
    <n v="972"/>
  </r>
  <r>
    <d v="2024-10-03T00:00:00"/>
    <x v="9"/>
    <s v="Electronics"/>
    <s v="South"/>
    <n v="6"/>
    <n v="5484"/>
  </r>
  <r>
    <d v="2024-10-17T00:00:00"/>
    <x v="3"/>
    <s v="Electronics"/>
    <s v="West"/>
    <n v="8"/>
    <n v="3152"/>
  </r>
  <r>
    <d v="2024-03-22T00:00:00"/>
    <x v="8"/>
    <s v="Accessories"/>
    <s v="East"/>
    <n v="8"/>
    <n v="6032"/>
  </r>
  <r>
    <d v="2023-04-10T00:00:00"/>
    <x v="3"/>
    <s v="Electronics"/>
    <s v="West"/>
    <n v="7"/>
    <n v="6384"/>
  </r>
  <r>
    <d v="2023-07-10T00:00:00"/>
    <x v="0"/>
    <s v="Office"/>
    <s v="East"/>
    <n v="5"/>
    <n v="3705"/>
  </r>
  <r>
    <d v="2022-11-04T00:00:00"/>
    <x v="5"/>
    <s v="Electronics"/>
    <s v="South"/>
    <n v="6"/>
    <n v="5580"/>
  </r>
  <r>
    <d v="2022-04-16T00:00:00"/>
    <x v="3"/>
    <s v="Electronics"/>
    <s v="East"/>
    <n v="2"/>
    <n v="1236"/>
  </r>
  <r>
    <d v="2023-04-02T00:00:00"/>
    <x v="3"/>
    <s v="Electronics"/>
    <s v="North"/>
    <n v="8"/>
    <n v="7040"/>
  </r>
  <r>
    <d v="2024-06-11T00:00:00"/>
    <x v="3"/>
    <s v="Electronics"/>
    <s v="East"/>
    <n v="9"/>
    <n v="909"/>
  </r>
  <r>
    <d v="2024-12-26T00:00:00"/>
    <x v="1"/>
    <s v="Accessories"/>
    <s v="South"/>
    <n v="1"/>
    <n v="106"/>
  </r>
  <r>
    <d v="2024-11-12T00:00:00"/>
    <x v="5"/>
    <s v="Electronics"/>
    <s v="South"/>
    <n v="1"/>
    <n v="281"/>
  </r>
  <r>
    <d v="2022-09-25T00:00:00"/>
    <x v="3"/>
    <s v="Electronics"/>
    <s v="East"/>
    <n v="6"/>
    <n v="6768"/>
  </r>
  <r>
    <d v="2023-03-07T00:00:00"/>
    <x v="9"/>
    <s v="Electronics"/>
    <s v="West"/>
    <n v="6"/>
    <n v="4302"/>
  </r>
  <r>
    <d v="2022-11-19T00:00:00"/>
    <x v="7"/>
    <s v="Electronics"/>
    <s v="North"/>
    <n v="9"/>
    <n v="7146"/>
  </r>
  <r>
    <d v="2023-02-16T00:00:00"/>
    <x v="7"/>
    <s v="Electronics"/>
    <s v="South"/>
    <n v="3"/>
    <n v="582"/>
  </r>
  <r>
    <d v="2024-08-01T00:00:00"/>
    <x v="4"/>
    <s v="Accessories"/>
    <s v="North"/>
    <n v="6"/>
    <n v="576"/>
  </r>
  <r>
    <d v="2023-09-24T00:00:00"/>
    <x v="8"/>
    <s v="Accessories"/>
    <s v="South"/>
    <n v="5"/>
    <n v="4265"/>
  </r>
  <r>
    <d v="2023-06-24T00:00:00"/>
    <x v="5"/>
    <s v="Electronics"/>
    <s v="East"/>
    <n v="8"/>
    <n v="5368"/>
  </r>
  <r>
    <d v="2023-12-04T00:00:00"/>
    <x v="4"/>
    <s v="Accessories"/>
    <s v="South"/>
    <n v="1"/>
    <n v="314"/>
  </r>
  <r>
    <d v="2024-12-24T00:00:00"/>
    <x v="2"/>
    <s v="Electronics"/>
    <s v="West"/>
    <n v="6"/>
    <n v="2676"/>
  </r>
  <r>
    <d v="2022-02-13T00:00:00"/>
    <x v="9"/>
    <s v="Electronics"/>
    <s v="North"/>
    <n v="4"/>
    <n v="3384"/>
  </r>
  <r>
    <d v="2023-07-20T00:00:00"/>
    <x v="1"/>
    <s v="Accessories"/>
    <s v="West"/>
    <n v="6"/>
    <n v="3186"/>
  </r>
  <r>
    <d v="2024-12-20T00:00:00"/>
    <x v="5"/>
    <s v="Electronics"/>
    <s v="South"/>
    <n v="4"/>
    <n v="1832"/>
  </r>
  <r>
    <d v="2024-11-02T00:00:00"/>
    <x v="0"/>
    <s v="Office"/>
    <s v="South"/>
    <n v="8"/>
    <n v="4784"/>
  </r>
  <r>
    <d v="2024-02-16T00:00:00"/>
    <x v="2"/>
    <s v="Electronics"/>
    <s v="West"/>
    <n v="1"/>
    <n v="381"/>
  </r>
  <r>
    <d v="2022-11-29T00:00:00"/>
    <x v="7"/>
    <s v="Electronics"/>
    <s v="South"/>
    <n v="9"/>
    <n v="4527"/>
  </r>
  <r>
    <d v="2022-05-25T00:00:00"/>
    <x v="0"/>
    <s v="Office"/>
    <s v="South"/>
    <n v="4"/>
    <n v="1612"/>
  </r>
  <r>
    <d v="2023-10-04T00:00:00"/>
    <x v="0"/>
    <s v="Office"/>
    <s v="East"/>
    <n v="2"/>
    <n v="1918"/>
  </r>
  <r>
    <d v="2024-01-04T00:00:00"/>
    <x v="3"/>
    <s v="Electronics"/>
    <s v="East"/>
    <n v="1"/>
    <n v="179"/>
  </r>
  <r>
    <d v="2024-05-31T00:00:00"/>
    <x v="5"/>
    <s v="Electronics"/>
    <s v="West"/>
    <n v="3"/>
    <n v="3153"/>
  </r>
  <r>
    <d v="2023-04-18T00:00:00"/>
    <x v="2"/>
    <s v="Electronics"/>
    <s v="East"/>
    <n v="8"/>
    <n v="3864"/>
  </r>
  <r>
    <d v="2023-05-13T00:00:00"/>
    <x v="0"/>
    <s v="Office"/>
    <s v="South"/>
    <n v="5"/>
    <n v="2440"/>
  </r>
  <r>
    <d v="2023-03-31T00:00:00"/>
    <x v="3"/>
    <s v="Electronics"/>
    <s v="South"/>
    <n v="6"/>
    <n v="3660"/>
  </r>
  <r>
    <d v="2024-08-03T00:00:00"/>
    <x v="5"/>
    <s v="Electronics"/>
    <s v="East"/>
    <n v="3"/>
    <n v="318"/>
  </r>
  <r>
    <d v="2023-12-16T00:00:00"/>
    <x v="1"/>
    <s v="Accessories"/>
    <s v="South"/>
    <n v="3"/>
    <n v="483"/>
  </r>
  <r>
    <d v="2024-08-21T00:00:00"/>
    <x v="4"/>
    <s v="Accessories"/>
    <s v="North"/>
    <n v="6"/>
    <n v="6774"/>
  </r>
  <r>
    <d v="2024-01-02T00:00:00"/>
    <x v="6"/>
    <s v="Accessories"/>
    <s v="West"/>
    <n v="5"/>
    <n v="5310"/>
  </r>
  <r>
    <d v="2024-03-06T00:00:00"/>
    <x v="8"/>
    <s v="Accessories"/>
    <s v="West"/>
    <n v="6"/>
    <n v="5154"/>
  </r>
  <r>
    <d v="2023-09-19T00:00:00"/>
    <x v="8"/>
    <s v="Accessories"/>
    <s v="East"/>
    <n v="9"/>
    <n v="6741"/>
  </r>
  <r>
    <d v="2022-05-13T00:00:00"/>
    <x v="3"/>
    <s v="Electronics"/>
    <s v="North"/>
    <n v="2"/>
    <n v="520"/>
  </r>
  <r>
    <d v="2024-06-19T00:00:00"/>
    <x v="2"/>
    <s v="Electronics"/>
    <s v="East"/>
    <n v="7"/>
    <n v="1120"/>
  </r>
  <r>
    <d v="2022-07-12T00:00:00"/>
    <x v="8"/>
    <s v="Accessories"/>
    <s v="East"/>
    <n v="1"/>
    <n v="911"/>
  </r>
  <r>
    <d v="2022-03-21T00:00:00"/>
    <x v="6"/>
    <s v="Accessories"/>
    <s v="South"/>
    <n v="8"/>
    <n v="1064"/>
  </r>
  <r>
    <d v="2024-04-28T00:00:00"/>
    <x v="9"/>
    <s v="Electronics"/>
    <s v="North"/>
    <n v="7"/>
    <n v="1981"/>
  </r>
  <r>
    <d v="2022-04-20T00:00:00"/>
    <x v="3"/>
    <s v="Electronics"/>
    <s v="South"/>
    <n v="5"/>
    <n v="4280"/>
  </r>
  <r>
    <d v="2024-06-25T00:00:00"/>
    <x v="5"/>
    <s v="Electronics"/>
    <s v="South"/>
    <n v="5"/>
    <n v="5125"/>
  </r>
  <r>
    <d v="2024-12-26T00:00:00"/>
    <x v="6"/>
    <s v="Accessories"/>
    <s v="West"/>
    <n v="7"/>
    <n v="1575"/>
  </r>
  <r>
    <d v="2024-04-28T00:00:00"/>
    <x v="2"/>
    <s v="Electronics"/>
    <s v="East"/>
    <n v="9"/>
    <n v="9972"/>
  </r>
  <r>
    <d v="2022-10-01T00:00:00"/>
    <x v="7"/>
    <s v="Electronics"/>
    <s v="East"/>
    <n v="8"/>
    <n v="4576"/>
  </r>
  <r>
    <d v="2024-06-01T00:00:00"/>
    <x v="6"/>
    <s v="Accessories"/>
    <s v="South"/>
    <n v="7"/>
    <n v="6559"/>
  </r>
  <r>
    <d v="2023-07-20T00:00:00"/>
    <x v="2"/>
    <s v="Electronics"/>
    <s v="South"/>
    <n v="1"/>
    <n v="619"/>
  </r>
  <r>
    <d v="2024-06-09T00:00:00"/>
    <x v="4"/>
    <s v="Accessories"/>
    <s v="West"/>
    <n v="8"/>
    <n v="2488"/>
  </r>
  <r>
    <d v="2022-10-29T00:00:00"/>
    <x v="1"/>
    <s v="Accessories"/>
    <s v="West"/>
    <n v="4"/>
    <n v="2536"/>
  </r>
  <r>
    <d v="2022-02-03T00:00:00"/>
    <x v="2"/>
    <s v="Electronics"/>
    <s v="West"/>
    <n v="8"/>
    <n v="5416"/>
  </r>
  <r>
    <d v="2023-02-13T00:00:00"/>
    <x v="5"/>
    <s v="Electronics"/>
    <s v="East"/>
    <n v="2"/>
    <n v="2334"/>
  </r>
  <r>
    <d v="2022-07-28T00:00:00"/>
    <x v="3"/>
    <s v="Electronics"/>
    <s v="East"/>
    <n v="9"/>
    <n v="1080"/>
  </r>
  <r>
    <d v="2024-05-08T00:00:00"/>
    <x v="2"/>
    <s v="Electronics"/>
    <s v="South"/>
    <n v="4"/>
    <n v="1324"/>
  </r>
  <r>
    <d v="2023-07-16T00:00:00"/>
    <x v="3"/>
    <s v="Electronics"/>
    <s v="West"/>
    <n v="2"/>
    <n v="2304"/>
  </r>
  <r>
    <d v="2024-02-21T00:00:00"/>
    <x v="7"/>
    <s v="Electronics"/>
    <s v="East"/>
    <n v="4"/>
    <n v="4736"/>
  </r>
  <r>
    <d v="2023-08-14T00:00:00"/>
    <x v="1"/>
    <s v="Accessories"/>
    <s v="West"/>
    <n v="9"/>
    <n v="2925"/>
  </r>
  <r>
    <d v="2023-01-27T00:00:00"/>
    <x v="9"/>
    <s v="Electronics"/>
    <s v="East"/>
    <n v="9"/>
    <n v="6345"/>
  </r>
  <r>
    <d v="2022-06-13T00:00:00"/>
    <x v="4"/>
    <s v="Accessories"/>
    <s v="East"/>
    <n v="9"/>
    <n v="4221"/>
  </r>
  <r>
    <d v="2022-12-06T00:00:00"/>
    <x v="4"/>
    <s v="Accessories"/>
    <s v="South"/>
    <n v="7"/>
    <n v="462"/>
  </r>
  <r>
    <d v="2022-05-13T00:00:00"/>
    <x v="6"/>
    <s v="Accessories"/>
    <s v="North"/>
    <n v="7"/>
    <n v="7588"/>
  </r>
  <r>
    <d v="2022-12-12T00:00:00"/>
    <x v="8"/>
    <s v="Accessories"/>
    <s v="North"/>
    <n v="6"/>
    <n v="5232"/>
  </r>
  <r>
    <d v="2024-08-01T00:00:00"/>
    <x v="3"/>
    <s v="Electronics"/>
    <s v="East"/>
    <n v="8"/>
    <n v="1440"/>
  </r>
  <r>
    <d v="2023-03-31T00:00:00"/>
    <x v="6"/>
    <s v="Accessories"/>
    <s v="North"/>
    <n v="2"/>
    <n v="1026"/>
  </r>
  <r>
    <d v="2024-09-21T00:00:00"/>
    <x v="3"/>
    <s v="Electronics"/>
    <s v="North"/>
    <n v="7"/>
    <n v="7455"/>
  </r>
  <r>
    <d v="2023-11-29T00:00:00"/>
    <x v="0"/>
    <s v="Office"/>
    <s v="East"/>
    <n v="8"/>
    <n v="2456"/>
  </r>
  <r>
    <d v="2022-11-01T00:00:00"/>
    <x v="3"/>
    <s v="Electronics"/>
    <s v="North"/>
    <n v="3"/>
    <n v="2859"/>
  </r>
  <r>
    <d v="2024-01-08T00:00:00"/>
    <x v="8"/>
    <s v="Accessories"/>
    <s v="East"/>
    <n v="1"/>
    <n v="311"/>
  </r>
  <r>
    <d v="2022-10-28T00:00:00"/>
    <x v="0"/>
    <s v="Office"/>
    <s v="East"/>
    <n v="9"/>
    <n v="1260"/>
  </r>
  <r>
    <d v="2022-01-18T00:00:00"/>
    <x v="8"/>
    <s v="Accessories"/>
    <s v="South"/>
    <n v="1"/>
    <n v="466"/>
  </r>
  <r>
    <d v="2023-02-22T00:00:00"/>
    <x v="9"/>
    <s v="Electronics"/>
    <s v="West"/>
    <n v="3"/>
    <n v="867"/>
  </r>
  <r>
    <d v="2023-02-24T00:00:00"/>
    <x v="6"/>
    <s v="Accessories"/>
    <s v="South"/>
    <n v="6"/>
    <n v="3888"/>
  </r>
  <r>
    <d v="2024-04-12T00:00:00"/>
    <x v="2"/>
    <s v="Electronics"/>
    <s v="North"/>
    <n v="4"/>
    <n v="3032"/>
  </r>
  <r>
    <d v="2023-12-22T00:00:00"/>
    <x v="2"/>
    <s v="Electronics"/>
    <s v="North"/>
    <n v="7"/>
    <n v="4704"/>
  </r>
  <r>
    <d v="2022-10-27T00:00:00"/>
    <x v="0"/>
    <s v="Office"/>
    <s v="West"/>
    <n v="3"/>
    <n v="3186"/>
  </r>
  <r>
    <d v="2024-08-18T00:00:00"/>
    <x v="0"/>
    <s v="Office"/>
    <s v="North"/>
    <n v="9"/>
    <n v="6183"/>
  </r>
  <r>
    <d v="2022-10-14T00:00:00"/>
    <x v="5"/>
    <s v="Electronics"/>
    <s v="West"/>
    <n v="1"/>
    <n v="243"/>
  </r>
  <r>
    <d v="2023-06-20T00:00:00"/>
    <x v="7"/>
    <s v="Electronics"/>
    <s v="North"/>
    <n v="3"/>
    <n v="897"/>
  </r>
  <r>
    <d v="2023-12-19T00:00:00"/>
    <x v="4"/>
    <s v="Accessories"/>
    <s v="West"/>
    <n v="9"/>
    <n v="4563"/>
  </r>
  <r>
    <d v="2022-09-18T00:00:00"/>
    <x v="9"/>
    <s v="Electronics"/>
    <s v="South"/>
    <n v="4"/>
    <n v="628"/>
  </r>
  <r>
    <d v="2024-12-21T00:00:00"/>
    <x v="6"/>
    <s v="Accessories"/>
    <s v="East"/>
    <n v="6"/>
    <n v="1050"/>
  </r>
  <r>
    <d v="2022-05-16T00:00:00"/>
    <x v="6"/>
    <s v="Accessories"/>
    <s v="North"/>
    <n v="8"/>
    <n v="3032"/>
  </r>
  <r>
    <d v="2023-09-27T00:00:00"/>
    <x v="8"/>
    <s v="Accessories"/>
    <s v="West"/>
    <n v="1"/>
    <n v="920"/>
  </r>
  <r>
    <d v="2024-03-02T00:00:00"/>
    <x v="9"/>
    <s v="Electronics"/>
    <s v="South"/>
    <n v="2"/>
    <n v="668"/>
  </r>
  <r>
    <d v="2024-05-31T00:00:00"/>
    <x v="1"/>
    <s v="Accessories"/>
    <s v="East"/>
    <n v="5"/>
    <n v="5990"/>
  </r>
  <r>
    <d v="2024-03-04T00:00:00"/>
    <x v="2"/>
    <s v="Electronics"/>
    <s v="South"/>
    <n v="9"/>
    <n v="9324"/>
  </r>
  <r>
    <d v="2023-04-11T00:00:00"/>
    <x v="8"/>
    <s v="Accessories"/>
    <s v="East"/>
    <n v="8"/>
    <n v="5768"/>
  </r>
  <r>
    <d v="2024-05-01T00:00:00"/>
    <x v="9"/>
    <s v="Electronics"/>
    <s v="North"/>
    <n v="1"/>
    <n v="1123"/>
  </r>
  <r>
    <d v="2024-12-20T00:00:00"/>
    <x v="8"/>
    <s v="Accessories"/>
    <s v="West"/>
    <n v="4"/>
    <n v="2336"/>
  </r>
  <r>
    <d v="2023-11-22T00:00:00"/>
    <x v="9"/>
    <s v="Electronics"/>
    <s v="West"/>
    <n v="6"/>
    <n v="438"/>
  </r>
  <r>
    <d v="2022-12-23T00:00:00"/>
    <x v="2"/>
    <s v="Electronics"/>
    <s v="North"/>
    <n v="6"/>
    <n v="5940"/>
  </r>
  <r>
    <d v="2022-06-22T00:00:00"/>
    <x v="3"/>
    <s v="Electronics"/>
    <s v="West"/>
    <n v="3"/>
    <n v="1848"/>
  </r>
  <r>
    <d v="2023-03-17T00:00:00"/>
    <x v="8"/>
    <s v="Accessories"/>
    <s v="North"/>
    <n v="3"/>
    <n v="2118"/>
  </r>
  <r>
    <d v="2022-01-16T00:00:00"/>
    <x v="7"/>
    <s v="Electronics"/>
    <s v="North"/>
    <n v="3"/>
    <n v="231"/>
  </r>
  <r>
    <d v="2024-01-12T00:00:00"/>
    <x v="4"/>
    <s v="Accessories"/>
    <s v="South"/>
    <n v="6"/>
    <n v="978"/>
  </r>
  <r>
    <d v="2023-05-22T00:00:00"/>
    <x v="6"/>
    <s v="Accessories"/>
    <s v="North"/>
    <n v="5"/>
    <n v="4960"/>
  </r>
  <r>
    <d v="2022-03-09T00:00:00"/>
    <x v="3"/>
    <s v="Electronics"/>
    <s v="South"/>
    <n v="3"/>
    <n v="1377"/>
  </r>
  <r>
    <d v="2023-02-09T00:00:00"/>
    <x v="3"/>
    <s v="Electronics"/>
    <s v="West"/>
    <n v="2"/>
    <n v="1958"/>
  </r>
  <r>
    <d v="2023-06-12T00:00:00"/>
    <x v="1"/>
    <s v="Accessories"/>
    <s v="West"/>
    <n v="7"/>
    <n v="5607"/>
  </r>
  <r>
    <d v="2022-11-24T00:00:00"/>
    <x v="5"/>
    <s v="Electronics"/>
    <s v="South"/>
    <n v="6"/>
    <n v="3504"/>
  </r>
  <r>
    <d v="2024-11-21T00:00:00"/>
    <x v="1"/>
    <s v="Accessories"/>
    <s v="North"/>
    <n v="4"/>
    <n v="796"/>
  </r>
  <r>
    <d v="2024-08-14T00:00:00"/>
    <x v="6"/>
    <s v="Accessories"/>
    <s v="North"/>
    <n v="1"/>
    <n v="342"/>
  </r>
  <r>
    <d v="2024-08-14T00:00:00"/>
    <x v="6"/>
    <s v="Accessories"/>
    <s v="South"/>
    <n v="7"/>
    <n v="6769"/>
  </r>
  <r>
    <d v="2023-08-29T00:00:00"/>
    <x v="4"/>
    <s v="Accessories"/>
    <s v="South"/>
    <n v="9"/>
    <n v="10080"/>
  </r>
  <r>
    <d v="2024-01-11T00:00:00"/>
    <x v="5"/>
    <s v="Electronics"/>
    <s v="East"/>
    <n v="7"/>
    <n v="3948"/>
  </r>
  <r>
    <d v="2023-06-27T00:00:00"/>
    <x v="4"/>
    <s v="Accessories"/>
    <s v="South"/>
    <n v="4"/>
    <n v="1488"/>
  </r>
  <r>
    <d v="2024-01-17T00:00:00"/>
    <x v="1"/>
    <s v="Accessories"/>
    <s v="South"/>
    <n v="5"/>
    <n v="1200"/>
  </r>
  <r>
    <d v="2023-01-10T00:00:00"/>
    <x v="5"/>
    <s v="Electronics"/>
    <s v="North"/>
    <n v="4"/>
    <n v="4476"/>
  </r>
  <r>
    <d v="2023-08-01T00:00:00"/>
    <x v="6"/>
    <s v="Accessories"/>
    <s v="West"/>
    <n v="1"/>
    <n v="1178"/>
  </r>
  <r>
    <d v="2024-12-26T00:00:00"/>
    <x v="5"/>
    <s v="Electronics"/>
    <s v="South"/>
    <n v="8"/>
    <n v="2888"/>
  </r>
  <r>
    <d v="2024-12-13T00:00:00"/>
    <x v="7"/>
    <s v="Electronics"/>
    <s v="South"/>
    <n v="6"/>
    <n v="1704"/>
  </r>
  <r>
    <d v="2022-10-17T00:00:00"/>
    <x v="0"/>
    <s v="Office"/>
    <s v="West"/>
    <n v="8"/>
    <n v="4200"/>
  </r>
  <r>
    <d v="2024-03-12T00:00:00"/>
    <x v="8"/>
    <s v="Accessories"/>
    <s v="East"/>
    <n v="7"/>
    <n v="4417"/>
  </r>
  <r>
    <d v="2024-05-20T00:00:00"/>
    <x v="3"/>
    <s v="Electronics"/>
    <s v="West"/>
    <n v="4"/>
    <n v="764"/>
  </r>
  <r>
    <d v="2024-06-28T00:00:00"/>
    <x v="4"/>
    <s v="Accessories"/>
    <s v="South"/>
    <n v="4"/>
    <n v="4000"/>
  </r>
  <r>
    <d v="2024-10-21T00:00:00"/>
    <x v="6"/>
    <s v="Accessories"/>
    <s v="East"/>
    <n v="9"/>
    <n v="2331"/>
  </r>
  <r>
    <d v="2023-01-31T00:00:00"/>
    <x v="1"/>
    <s v="Accessories"/>
    <s v="West"/>
    <n v="9"/>
    <n v="8172"/>
  </r>
  <r>
    <d v="2024-12-20T00:00:00"/>
    <x v="9"/>
    <s v="Electronics"/>
    <s v="North"/>
    <n v="1"/>
    <n v="761"/>
  </r>
  <r>
    <d v="2023-11-25T00:00:00"/>
    <x v="3"/>
    <s v="Electronics"/>
    <s v="East"/>
    <n v="2"/>
    <n v="494"/>
  </r>
  <r>
    <d v="2023-09-05T00:00:00"/>
    <x v="4"/>
    <s v="Accessories"/>
    <s v="East"/>
    <n v="2"/>
    <n v="194"/>
  </r>
  <r>
    <d v="2024-03-20T00:00:00"/>
    <x v="2"/>
    <s v="Electronics"/>
    <s v="West"/>
    <n v="6"/>
    <n v="5820"/>
  </r>
  <r>
    <d v="2022-04-11T00:00:00"/>
    <x v="3"/>
    <s v="Electronics"/>
    <s v="North"/>
    <n v="5"/>
    <n v="410"/>
  </r>
  <r>
    <d v="2024-12-06T00:00:00"/>
    <x v="7"/>
    <s v="Electronics"/>
    <s v="East"/>
    <n v="6"/>
    <n v="1254"/>
  </r>
  <r>
    <d v="2022-06-04T00:00:00"/>
    <x v="2"/>
    <s v="Electronics"/>
    <s v="East"/>
    <n v="6"/>
    <n v="3432"/>
  </r>
  <r>
    <d v="2024-03-22T00:00:00"/>
    <x v="3"/>
    <s v="Electronics"/>
    <s v="North"/>
    <n v="4"/>
    <n v="3792"/>
  </r>
  <r>
    <d v="2024-11-19T00:00:00"/>
    <x v="2"/>
    <s v="Electronics"/>
    <s v="West"/>
    <n v="7"/>
    <n v="546"/>
  </r>
  <r>
    <d v="2022-02-24T00:00:00"/>
    <x v="5"/>
    <s v="Electronics"/>
    <s v="East"/>
    <n v="3"/>
    <n v="1452"/>
  </r>
  <r>
    <d v="2022-11-14T00:00:00"/>
    <x v="8"/>
    <s v="Accessories"/>
    <s v="West"/>
    <n v="8"/>
    <n v="9296"/>
  </r>
  <r>
    <d v="2023-12-01T00:00:00"/>
    <x v="1"/>
    <s v="Accessories"/>
    <s v="North"/>
    <n v="1"/>
    <n v="1160"/>
  </r>
  <r>
    <d v="2024-01-14T00:00:00"/>
    <x v="9"/>
    <s v="Electronics"/>
    <s v="West"/>
    <n v="6"/>
    <n v="4728"/>
  </r>
  <r>
    <d v="2023-02-12T00:00:00"/>
    <x v="3"/>
    <s v="Electronics"/>
    <s v="North"/>
    <n v="6"/>
    <n v="1836"/>
  </r>
  <r>
    <d v="2023-09-13T00:00:00"/>
    <x v="5"/>
    <s v="Electronics"/>
    <s v="South"/>
    <n v="7"/>
    <n v="6237"/>
  </r>
  <r>
    <d v="2024-09-01T00:00:00"/>
    <x v="9"/>
    <s v="Electronics"/>
    <s v="West"/>
    <n v="5"/>
    <n v="5845"/>
  </r>
  <r>
    <d v="2023-12-27T00:00:00"/>
    <x v="6"/>
    <s v="Accessories"/>
    <s v="South"/>
    <n v="9"/>
    <n v="6138"/>
  </r>
  <r>
    <d v="2022-03-23T00:00:00"/>
    <x v="3"/>
    <s v="Electronics"/>
    <s v="West"/>
    <n v="2"/>
    <n v="1416"/>
  </r>
  <r>
    <d v="2024-12-27T00:00:00"/>
    <x v="8"/>
    <s v="Accessories"/>
    <s v="West"/>
    <n v="3"/>
    <n v="1851"/>
  </r>
  <r>
    <d v="2022-11-10T00:00:00"/>
    <x v="0"/>
    <s v="Office"/>
    <s v="South"/>
    <n v="9"/>
    <n v="7452"/>
  </r>
  <r>
    <d v="2023-11-29T00:00:00"/>
    <x v="2"/>
    <s v="Electronics"/>
    <s v="North"/>
    <n v="5"/>
    <n v="1630"/>
  </r>
  <r>
    <d v="2022-08-16T00:00:00"/>
    <x v="3"/>
    <s v="Electronics"/>
    <s v="West"/>
    <n v="6"/>
    <n v="4800"/>
  </r>
  <r>
    <d v="2023-11-23T00:00:00"/>
    <x v="5"/>
    <s v="Electronics"/>
    <s v="South"/>
    <n v="1"/>
    <n v="61"/>
  </r>
  <r>
    <d v="2023-09-21T00:00:00"/>
    <x v="6"/>
    <s v="Accessories"/>
    <s v="East"/>
    <n v="6"/>
    <n v="942"/>
  </r>
  <r>
    <d v="2023-07-30T00:00:00"/>
    <x v="7"/>
    <s v="Electronics"/>
    <s v="South"/>
    <n v="8"/>
    <n v="7640"/>
  </r>
  <r>
    <d v="2022-05-12T00:00:00"/>
    <x v="3"/>
    <s v="Electronics"/>
    <s v="South"/>
    <n v="5"/>
    <n v="4540"/>
  </r>
  <r>
    <d v="2022-11-27T00:00:00"/>
    <x v="4"/>
    <s v="Accessories"/>
    <s v="North"/>
    <n v="1"/>
    <n v="1030"/>
  </r>
  <r>
    <d v="2023-09-20T00:00:00"/>
    <x v="0"/>
    <s v="Office"/>
    <s v="North"/>
    <n v="2"/>
    <n v="384"/>
  </r>
  <r>
    <d v="2024-11-24T00:00:00"/>
    <x v="5"/>
    <s v="Electronics"/>
    <s v="West"/>
    <n v="8"/>
    <n v="8560"/>
  </r>
  <r>
    <d v="2022-08-23T00:00:00"/>
    <x v="3"/>
    <s v="Electronics"/>
    <s v="West"/>
    <n v="9"/>
    <n v="1557"/>
  </r>
  <r>
    <d v="2023-05-04T00:00:00"/>
    <x v="2"/>
    <s v="Electronics"/>
    <s v="East"/>
    <n v="7"/>
    <n v="707"/>
  </r>
  <r>
    <d v="2022-08-05T00:00:00"/>
    <x v="1"/>
    <s v="Accessories"/>
    <s v="West"/>
    <n v="5"/>
    <n v="3405"/>
  </r>
  <r>
    <d v="2024-11-15T00:00:00"/>
    <x v="2"/>
    <s v="Electronics"/>
    <s v="West"/>
    <n v="6"/>
    <n v="4722"/>
  </r>
  <r>
    <d v="2022-01-04T00:00:00"/>
    <x v="4"/>
    <s v="Accessories"/>
    <s v="North"/>
    <n v="2"/>
    <n v="2150"/>
  </r>
  <r>
    <d v="2022-11-04T00:00:00"/>
    <x v="6"/>
    <s v="Accessories"/>
    <s v="West"/>
    <n v="7"/>
    <n v="3619"/>
  </r>
  <r>
    <d v="2023-08-09T00:00:00"/>
    <x v="5"/>
    <s v="Electronics"/>
    <s v="South"/>
    <n v="4"/>
    <n v="3892"/>
  </r>
  <r>
    <d v="2022-08-02T00:00:00"/>
    <x v="3"/>
    <s v="Electronics"/>
    <s v="South"/>
    <n v="1"/>
    <n v="54"/>
  </r>
  <r>
    <d v="2023-12-04T00:00:00"/>
    <x v="8"/>
    <s v="Accessories"/>
    <s v="South"/>
    <n v="1"/>
    <n v="612"/>
  </r>
  <r>
    <d v="2022-09-03T00:00:00"/>
    <x v="6"/>
    <s v="Accessories"/>
    <s v="East"/>
    <n v="5"/>
    <n v="3850"/>
  </r>
  <r>
    <d v="2024-04-20T00:00:00"/>
    <x v="3"/>
    <s v="Electronics"/>
    <s v="East"/>
    <n v="5"/>
    <n v="3005"/>
  </r>
  <r>
    <d v="2024-07-15T00:00:00"/>
    <x v="4"/>
    <s v="Accessories"/>
    <s v="North"/>
    <n v="9"/>
    <n v="5256"/>
  </r>
  <r>
    <d v="2023-03-13T00:00:00"/>
    <x v="0"/>
    <s v="Office"/>
    <s v="East"/>
    <n v="6"/>
    <n v="3576"/>
  </r>
  <r>
    <d v="2022-11-08T00:00:00"/>
    <x v="2"/>
    <s v="Electronics"/>
    <s v="West"/>
    <n v="5"/>
    <n v="3415"/>
  </r>
  <r>
    <d v="2023-01-13T00:00:00"/>
    <x v="3"/>
    <s v="Electronics"/>
    <s v="West"/>
    <n v="3"/>
    <n v="1722"/>
  </r>
  <r>
    <d v="2022-04-14T00:00:00"/>
    <x v="1"/>
    <s v="Accessories"/>
    <s v="East"/>
    <n v="8"/>
    <n v="4088"/>
  </r>
  <r>
    <d v="2024-02-09T00:00:00"/>
    <x v="4"/>
    <s v="Accessories"/>
    <s v="West"/>
    <n v="5"/>
    <n v="5320"/>
  </r>
  <r>
    <d v="2022-11-27T00:00:00"/>
    <x v="1"/>
    <s v="Accessories"/>
    <s v="West"/>
    <n v="6"/>
    <n v="3660"/>
  </r>
  <r>
    <d v="2024-05-13T00:00:00"/>
    <x v="3"/>
    <s v="Electronics"/>
    <s v="West"/>
    <n v="6"/>
    <n v="5250"/>
  </r>
  <r>
    <d v="2022-04-17T00:00:00"/>
    <x v="9"/>
    <s v="Electronics"/>
    <s v="North"/>
    <n v="4"/>
    <n v="328"/>
  </r>
  <r>
    <d v="2023-09-29T00:00:00"/>
    <x v="7"/>
    <s v="Electronics"/>
    <s v="West"/>
    <n v="7"/>
    <n v="1596"/>
  </r>
  <r>
    <d v="2023-02-11T00:00:00"/>
    <x v="0"/>
    <s v="Office"/>
    <s v="South"/>
    <n v="7"/>
    <n v="2443"/>
  </r>
  <r>
    <d v="2023-07-23T00:00:00"/>
    <x v="5"/>
    <s v="Electronics"/>
    <s v="East"/>
    <n v="7"/>
    <n v="5432"/>
  </r>
  <r>
    <d v="2022-04-04T00:00:00"/>
    <x v="0"/>
    <s v="Office"/>
    <s v="North"/>
    <n v="3"/>
    <n v="1254"/>
  </r>
  <r>
    <d v="2022-02-19T00:00:00"/>
    <x v="2"/>
    <s v="Electronics"/>
    <s v="East"/>
    <n v="5"/>
    <n v="5495"/>
  </r>
  <r>
    <d v="2023-12-07T00:00:00"/>
    <x v="4"/>
    <s v="Accessories"/>
    <s v="North"/>
    <n v="4"/>
    <n v="596"/>
  </r>
  <r>
    <d v="2024-10-18T00:00:00"/>
    <x v="0"/>
    <s v="Office"/>
    <s v="South"/>
    <n v="6"/>
    <n v="3696"/>
  </r>
  <r>
    <d v="2022-04-18T00:00:00"/>
    <x v="1"/>
    <s v="Accessories"/>
    <s v="North"/>
    <n v="6"/>
    <n v="4488"/>
  </r>
  <r>
    <d v="2023-10-18T00:00:00"/>
    <x v="3"/>
    <s v="Electronics"/>
    <s v="West"/>
    <n v="6"/>
    <n v="6846"/>
  </r>
  <r>
    <d v="2023-12-29T00:00:00"/>
    <x v="1"/>
    <s v="Accessories"/>
    <s v="West"/>
    <n v="8"/>
    <n v="2960"/>
  </r>
  <r>
    <d v="2023-07-31T00:00:00"/>
    <x v="7"/>
    <s v="Electronics"/>
    <s v="South"/>
    <n v="1"/>
    <n v="419"/>
  </r>
  <r>
    <d v="2024-09-03T00:00:00"/>
    <x v="9"/>
    <s v="Electronics"/>
    <s v="West"/>
    <n v="6"/>
    <n v="6246"/>
  </r>
  <r>
    <d v="2022-09-12T00:00:00"/>
    <x v="2"/>
    <s v="Electronics"/>
    <s v="South"/>
    <n v="4"/>
    <n v="1900"/>
  </r>
  <r>
    <d v="2023-06-08T00:00:00"/>
    <x v="6"/>
    <s v="Accessories"/>
    <s v="North"/>
    <n v="7"/>
    <n v="3451"/>
  </r>
  <r>
    <d v="2024-11-24T00:00:00"/>
    <x v="7"/>
    <s v="Electronics"/>
    <s v="West"/>
    <n v="2"/>
    <n v="1612"/>
  </r>
  <r>
    <d v="2022-08-13T00:00:00"/>
    <x v="9"/>
    <s v="Electronics"/>
    <s v="South"/>
    <n v="5"/>
    <n v="4445"/>
  </r>
  <r>
    <d v="2024-08-06T00:00:00"/>
    <x v="5"/>
    <s v="Electronics"/>
    <s v="North"/>
    <n v="5"/>
    <n v="720"/>
  </r>
  <r>
    <d v="2024-04-16T00:00:00"/>
    <x v="1"/>
    <s v="Accessories"/>
    <s v="East"/>
    <n v="2"/>
    <n v="1428"/>
  </r>
  <r>
    <d v="2024-12-27T00:00:00"/>
    <x v="2"/>
    <s v="Electronics"/>
    <s v="East"/>
    <n v="4"/>
    <n v="3532"/>
  </r>
  <r>
    <d v="2024-09-08T00:00:00"/>
    <x v="3"/>
    <s v="Electronics"/>
    <s v="North"/>
    <n v="6"/>
    <n v="6528"/>
  </r>
  <r>
    <d v="2023-09-04T00:00:00"/>
    <x v="6"/>
    <s v="Accessories"/>
    <s v="East"/>
    <n v="1"/>
    <n v="743"/>
  </r>
  <r>
    <d v="2023-10-13T00:00:00"/>
    <x v="5"/>
    <s v="Electronics"/>
    <s v="East"/>
    <n v="6"/>
    <n v="1758"/>
  </r>
  <r>
    <d v="2023-11-29T00:00:00"/>
    <x v="4"/>
    <s v="Accessories"/>
    <s v="South"/>
    <n v="8"/>
    <n v="1008"/>
  </r>
  <r>
    <d v="2024-10-21T00:00:00"/>
    <x v="7"/>
    <s v="Electronics"/>
    <s v="East"/>
    <n v="1"/>
    <n v="995"/>
  </r>
  <r>
    <d v="2024-10-05T00:00:00"/>
    <x v="8"/>
    <s v="Accessories"/>
    <s v="West"/>
    <n v="9"/>
    <n v="4032"/>
  </r>
  <r>
    <d v="2022-10-29T00:00:00"/>
    <x v="7"/>
    <s v="Electronics"/>
    <s v="East"/>
    <n v="6"/>
    <n v="480"/>
  </r>
  <r>
    <d v="2024-10-25T00:00:00"/>
    <x v="9"/>
    <s v="Electronics"/>
    <s v="East"/>
    <n v="1"/>
    <n v="989"/>
  </r>
  <r>
    <d v="2022-01-24T00:00:00"/>
    <x v="7"/>
    <s v="Electronics"/>
    <s v="North"/>
    <n v="9"/>
    <n v="6606"/>
  </r>
  <r>
    <d v="2024-02-06T00:00:00"/>
    <x v="5"/>
    <s v="Electronics"/>
    <s v="East"/>
    <n v="6"/>
    <n v="912"/>
  </r>
  <r>
    <d v="2022-07-21T00:00:00"/>
    <x v="1"/>
    <s v="Accessories"/>
    <s v="South"/>
    <n v="4"/>
    <n v="2912"/>
  </r>
  <r>
    <d v="2023-02-03T00:00:00"/>
    <x v="3"/>
    <s v="Electronics"/>
    <s v="West"/>
    <n v="5"/>
    <n v="845"/>
  </r>
  <r>
    <d v="2023-08-10T00:00:00"/>
    <x v="6"/>
    <s v="Accessories"/>
    <s v="South"/>
    <n v="4"/>
    <n v="2804"/>
  </r>
  <r>
    <d v="2024-12-28T00:00:00"/>
    <x v="9"/>
    <s v="Electronics"/>
    <s v="East"/>
    <n v="2"/>
    <n v="208"/>
  </r>
  <r>
    <d v="2022-11-19T00:00:00"/>
    <x v="5"/>
    <s v="Electronics"/>
    <s v="East"/>
    <n v="1"/>
    <n v="379"/>
  </r>
  <r>
    <d v="2024-05-18T00:00:00"/>
    <x v="1"/>
    <s v="Accessories"/>
    <s v="West"/>
    <n v="3"/>
    <n v="1227"/>
  </r>
  <r>
    <d v="2023-08-03T00:00:00"/>
    <x v="4"/>
    <s v="Accessories"/>
    <s v="East"/>
    <n v="7"/>
    <n v="5551"/>
  </r>
  <r>
    <d v="2022-08-06T00:00:00"/>
    <x v="4"/>
    <s v="Accessories"/>
    <s v="West"/>
    <n v="1"/>
    <n v="423"/>
  </r>
  <r>
    <d v="2022-01-26T00:00:00"/>
    <x v="4"/>
    <s v="Accessories"/>
    <s v="West"/>
    <n v="6"/>
    <n v="5982"/>
  </r>
  <r>
    <d v="2022-12-07T00:00:00"/>
    <x v="7"/>
    <s v="Electronics"/>
    <s v="West"/>
    <n v="4"/>
    <n v="3732"/>
  </r>
  <r>
    <d v="2023-03-02T00:00:00"/>
    <x v="0"/>
    <s v="Office"/>
    <s v="North"/>
    <n v="9"/>
    <n v="5904"/>
  </r>
  <r>
    <d v="2024-02-01T00:00:00"/>
    <x v="4"/>
    <s v="Accessories"/>
    <s v="East"/>
    <n v="5"/>
    <n v="1810"/>
  </r>
  <r>
    <d v="2023-01-30T00:00:00"/>
    <x v="7"/>
    <s v="Electronics"/>
    <s v="South"/>
    <n v="6"/>
    <n v="5604"/>
  </r>
  <r>
    <d v="2022-04-28T00:00:00"/>
    <x v="9"/>
    <s v="Electronics"/>
    <s v="West"/>
    <n v="2"/>
    <n v="432"/>
  </r>
  <r>
    <d v="2024-11-27T00:00:00"/>
    <x v="8"/>
    <s v="Accessories"/>
    <s v="East"/>
    <n v="2"/>
    <n v="416"/>
  </r>
  <r>
    <d v="2022-09-07T00:00:00"/>
    <x v="6"/>
    <s v="Accessories"/>
    <s v="North"/>
    <n v="8"/>
    <n v="1224"/>
  </r>
  <r>
    <d v="2022-03-12T00:00:00"/>
    <x v="0"/>
    <s v="Office"/>
    <s v="West"/>
    <n v="8"/>
    <n v="5168"/>
  </r>
  <r>
    <d v="2022-11-10T00:00:00"/>
    <x v="6"/>
    <s v="Accessories"/>
    <s v="East"/>
    <n v="6"/>
    <n v="6522"/>
  </r>
  <r>
    <d v="2022-09-03T00:00:00"/>
    <x v="8"/>
    <s v="Accessories"/>
    <s v="South"/>
    <n v="5"/>
    <n v="1090"/>
  </r>
  <r>
    <d v="2024-09-30T00:00:00"/>
    <x v="9"/>
    <s v="Electronics"/>
    <s v="South"/>
    <n v="3"/>
    <n v="1737"/>
  </r>
  <r>
    <d v="2024-03-08T00:00:00"/>
    <x v="0"/>
    <s v="Office"/>
    <s v="West"/>
    <n v="9"/>
    <n v="7281"/>
  </r>
  <r>
    <d v="2024-03-19T00:00:00"/>
    <x v="5"/>
    <s v="Electronics"/>
    <s v="South"/>
    <n v="9"/>
    <n v="5832"/>
  </r>
  <r>
    <d v="2024-07-21T00:00:00"/>
    <x v="0"/>
    <s v="Office"/>
    <s v="East"/>
    <n v="9"/>
    <n v="7020"/>
  </r>
  <r>
    <d v="2023-06-07T00:00:00"/>
    <x v="1"/>
    <s v="Accessories"/>
    <s v="South"/>
    <n v="3"/>
    <n v="2001"/>
  </r>
  <r>
    <d v="2024-08-13T00:00:00"/>
    <x v="6"/>
    <s v="Accessories"/>
    <s v="West"/>
    <n v="2"/>
    <n v="1832"/>
  </r>
  <r>
    <d v="2024-05-05T00:00:00"/>
    <x v="5"/>
    <s v="Electronics"/>
    <s v="East"/>
    <n v="6"/>
    <n v="3372"/>
  </r>
  <r>
    <d v="2024-12-20T00:00:00"/>
    <x v="2"/>
    <s v="Electronics"/>
    <s v="West"/>
    <n v="6"/>
    <n v="3384"/>
  </r>
  <r>
    <d v="2024-11-30T00:00:00"/>
    <x v="6"/>
    <s v="Accessories"/>
    <s v="East"/>
    <n v="1"/>
    <n v="351"/>
  </r>
  <r>
    <d v="2024-12-16T00:00:00"/>
    <x v="3"/>
    <s v="Electronics"/>
    <s v="South"/>
    <n v="2"/>
    <n v="2092"/>
  </r>
  <r>
    <d v="2023-03-19T00:00:00"/>
    <x v="6"/>
    <s v="Accessories"/>
    <s v="South"/>
    <n v="7"/>
    <n v="1309"/>
  </r>
  <r>
    <d v="2024-04-28T00:00:00"/>
    <x v="8"/>
    <s v="Accessories"/>
    <s v="North"/>
    <n v="9"/>
    <n v="6696"/>
  </r>
  <r>
    <d v="2022-09-29T00:00:00"/>
    <x v="8"/>
    <s v="Accessories"/>
    <s v="East"/>
    <n v="5"/>
    <n v="1020"/>
  </r>
  <r>
    <d v="2022-05-30T00:00:00"/>
    <x v="8"/>
    <s v="Accessories"/>
    <s v="East"/>
    <n v="8"/>
    <n v="8240"/>
  </r>
  <r>
    <d v="2022-10-07T00:00:00"/>
    <x v="4"/>
    <s v="Accessories"/>
    <s v="South"/>
    <n v="9"/>
    <n v="9810"/>
  </r>
  <r>
    <d v="2023-01-13T00:00:00"/>
    <x v="2"/>
    <s v="Electronics"/>
    <s v="West"/>
    <n v="1"/>
    <n v="853"/>
  </r>
  <r>
    <d v="2023-01-06T00:00:00"/>
    <x v="3"/>
    <s v="Electronics"/>
    <s v="East"/>
    <n v="4"/>
    <n v="4416"/>
  </r>
  <r>
    <d v="2023-01-11T00:00:00"/>
    <x v="4"/>
    <s v="Accessories"/>
    <s v="North"/>
    <n v="8"/>
    <n v="3832"/>
  </r>
  <r>
    <d v="2024-12-16T00:00:00"/>
    <x v="6"/>
    <s v="Accessories"/>
    <s v="South"/>
    <n v="4"/>
    <n v="1876"/>
  </r>
  <r>
    <d v="2024-03-14T00:00:00"/>
    <x v="9"/>
    <s v="Electronics"/>
    <s v="South"/>
    <n v="3"/>
    <n v="2634"/>
  </r>
  <r>
    <d v="2023-08-26T00:00:00"/>
    <x v="9"/>
    <s v="Electronics"/>
    <s v="North"/>
    <n v="1"/>
    <n v="1027"/>
  </r>
  <r>
    <d v="2023-07-10T00:00:00"/>
    <x v="0"/>
    <s v="Office"/>
    <s v="West"/>
    <n v="5"/>
    <n v="3100"/>
  </r>
  <r>
    <d v="2022-03-18T00:00:00"/>
    <x v="1"/>
    <s v="Accessories"/>
    <s v="West"/>
    <n v="1"/>
    <n v="104"/>
  </r>
  <r>
    <d v="2024-06-18T00:00:00"/>
    <x v="1"/>
    <s v="Accessories"/>
    <s v="East"/>
    <n v="2"/>
    <n v="1590"/>
  </r>
  <r>
    <d v="2024-08-20T00:00:00"/>
    <x v="3"/>
    <s v="Electronics"/>
    <s v="South"/>
    <n v="4"/>
    <n v="1104"/>
  </r>
  <r>
    <d v="2024-09-18T00:00:00"/>
    <x v="7"/>
    <s v="Electronics"/>
    <s v="South"/>
    <n v="3"/>
    <n v="1851"/>
  </r>
  <r>
    <d v="2024-11-06T00:00:00"/>
    <x v="7"/>
    <s v="Electronics"/>
    <s v="South"/>
    <n v="2"/>
    <n v="1408"/>
  </r>
  <r>
    <d v="2022-05-24T00:00:00"/>
    <x v="9"/>
    <s v="Electronics"/>
    <s v="South"/>
    <n v="7"/>
    <n v="4641"/>
  </r>
  <r>
    <d v="2022-10-01T00:00:00"/>
    <x v="2"/>
    <s v="Electronics"/>
    <s v="West"/>
    <n v="7"/>
    <n v="2611"/>
  </r>
  <r>
    <d v="2023-12-05T00:00:00"/>
    <x v="9"/>
    <s v="Electronics"/>
    <s v="North"/>
    <n v="4"/>
    <n v="3824"/>
  </r>
  <r>
    <d v="2023-03-08T00:00:00"/>
    <x v="7"/>
    <s v="Electronics"/>
    <s v="East"/>
    <n v="2"/>
    <n v="2042"/>
  </r>
  <r>
    <d v="2023-07-30T00:00:00"/>
    <x v="2"/>
    <s v="Electronics"/>
    <s v="North"/>
    <n v="6"/>
    <n v="6378"/>
  </r>
  <r>
    <d v="2023-03-14T00:00:00"/>
    <x v="3"/>
    <s v="Electronics"/>
    <s v="East"/>
    <n v="4"/>
    <n v="4692"/>
  </r>
  <r>
    <d v="2024-06-30T00:00:00"/>
    <x v="9"/>
    <s v="Electronics"/>
    <s v="West"/>
    <n v="6"/>
    <n v="6234"/>
  </r>
  <r>
    <d v="2024-09-25T00:00:00"/>
    <x v="7"/>
    <s v="Electronics"/>
    <s v="West"/>
    <n v="4"/>
    <n v="1852"/>
  </r>
  <r>
    <d v="2022-02-05T00:00:00"/>
    <x v="6"/>
    <s v="Accessories"/>
    <s v="South"/>
    <n v="3"/>
    <n v="3075"/>
  </r>
  <r>
    <d v="2023-10-24T00:00:00"/>
    <x v="0"/>
    <s v="Office"/>
    <s v="North"/>
    <n v="5"/>
    <n v="370"/>
  </r>
  <r>
    <d v="2024-12-11T00:00:00"/>
    <x v="8"/>
    <s v="Accessories"/>
    <s v="North"/>
    <n v="6"/>
    <n v="624"/>
  </r>
  <r>
    <d v="2023-07-13T00:00:00"/>
    <x v="5"/>
    <s v="Electronics"/>
    <s v="South"/>
    <n v="2"/>
    <n v="1734"/>
  </r>
  <r>
    <d v="2023-05-05T00:00:00"/>
    <x v="0"/>
    <s v="Office"/>
    <s v="West"/>
    <n v="9"/>
    <n v="2268"/>
  </r>
  <r>
    <d v="2022-08-31T00:00:00"/>
    <x v="3"/>
    <s v="Electronics"/>
    <s v="East"/>
    <n v="5"/>
    <n v="3670"/>
  </r>
  <r>
    <d v="2024-08-16T00:00:00"/>
    <x v="5"/>
    <s v="Electronics"/>
    <s v="North"/>
    <n v="7"/>
    <n v="4634"/>
  </r>
  <r>
    <d v="2024-01-20T00:00:00"/>
    <x v="4"/>
    <s v="Accessories"/>
    <s v="North"/>
    <n v="9"/>
    <n v="1440"/>
  </r>
  <r>
    <d v="2023-04-11T00:00:00"/>
    <x v="9"/>
    <s v="Electronics"/>
    <s v="West"/>
    <n v="6"/>
    <n v="5136"/>
  </r>
  <r>
    <d v="2024-09-20T00:00:00"/>
    <x v="7"/>
    <s v="Electronics"/>
    <s v="East"/>
    <n v="1"/>
    <n v="166"/>
  </r>
  <r>
    <d v="2022-02-03T00:00:00"/>
    <x v="8"/>
    <s v="Accessories"/>
    <s v="East"/>
    <n v="3"/>
    <n v="1422"/>
  </r>
  <r>
    <d v="2023-09-11T00:00:00"/>
    <x v="4"/>
    <s v="Accessories"/>
    <s v="East"/>
    <n v="8"/>
    <n v="1832"/>
  </r>
  <r>
    <d v="2022-10-29T00:00:00"/>
    <x v="0"/>
    <s v="Office"/>
    <s v="South"/>
    <n v="1"/>
    <n v="668"/>
  </r>
  <r>
    <d v="2024-12-22T00:00:00"/>
    <x v="3"/>
    <s v="Electronics"/>
    <s v="West"/>
    <n v="6"/>
    <n v="1272"/>
  </r>
  <r>
    <d v="2023-06-26T00:00:00"/>
    <x v="8"/>
    <s v="Accessories"/>
    <s v="North"/>
    <n v="8"/>
    <n v="984"/>
  </r>
  <r>
    <d v="2024-07-25T00:00:00"/>
    <x v="0"/>
    <s v="Office"/>
    <s v="South"/>
    <n v="7"/>
    <n v="7896"/>
  </r>
  <r>
    <d v="2022-11-12T00:00:00"/>
    <x v="7"/>
    <s v="Electronics"/>
    <s v="North"/>
    <n v="1"/>
    <n v="636"/>
  </r>
  <r>
    <d v="2023-08-05T00:00:00"/>
    <x v="9"/>
    <s v="Electronics"/>
    <s v="North"/>
    <n v="3"/>
    <n v="2031"/>
  </r>
  <r>
    <d v="2022-02-23T00:00:00"/>
    <x v="1"/>
    <s v="Accessories"/>
    <s v="West"/>
    <n v="9"/>
    <n v="3186"/>
  </r>
  <r>
    <d v="2022-05-06T00:00:00"/>
    <x v="4"/>
    <s v="Accessories"/>
    <s v="South"/>
    <n v="1"/>
    <n v="134"/>
  </r>
  <r>
    <d v="2024-04-27T00:00:00"/>
    <x v="2"/>
    <s v="Electronics"/>
    <s v="South"/>
    <n v="5"/>
    <n v="1765"/>
  </r>
  <r>
    <d v="2023-07-28T00:00:00"/>
    <x v="8"/>
    <s v="Accessories"/>
    <s v="East"/>
    <n v="4"/>
    <n v="3628"/>
  </r>
  <r>
    <d v="2024-12-06T00:00:00"/>
    <x v="6"/>
    <s v="Accessories"/>
    <s v="West"/>
    <n v="4"/>
    <n v="1000"/>
  </r>
  <r>
    <d v="2023-03-08T00:00:00"/>
    <x v="3"/>
    <s v="Electronics"/>
    <s v="North"/>
    <n v="2"/>
    <n v="2134"/>
  </r>
  <r>
    <d v="2023-05-25T00:00:00"/>
    <x v="5"/>
    <s v="Electronics"/>
    <s v="North"/>
    <n v="7"/>
    <n v="6706"/>
  </r>
  <r>
    <d v="2024-11-03T00:00:00"/>
    <x v="9"/>
    <s v="Electronics"/>
    <s v="East"/>
    <n v="3"/>
    <n v="321"/>
  </r>
  <r>
    <d v="2023-02-19T00:00:00"/>
    <x v="3"/>
    <s v="Electronics"/>
    <s v="South"/>
    <n v="3"/>
    <n v="3126"/>
  </r>
  <r>
    <d v="2023-11-05T00:00:00"/>
    <x v="6"/>
    <s v="Accessories"/>
    <s v="South"/>
    <n v="7"/>
    <n v="5446"/>
  </r>
  <r>
    <d v="2023-05-02T00:00:00"/>
    <x v="2"/>
    <s v="Electronics"/>
    <s v="East"/>
    <n v="1"/>
    <n v="1131"/>
  </r>
  <r>
    <d v="2023-07-24T00:00:00"/>
    <x v="0"/>
    <s v="Office"/>
    <s v="East"/>
    <n v="2"/>
    <n v="1946"/>
  </r>
  <r>
    <d v="2023-09-16T00:00:00"/>
    <x v="9"/>
    <s v="Electronics"/>
    <s v="North"/>
    <n v="7"/>
    <n v="6818"/>
  </r>
  <r>
    <d v="2023-03-29T00:00:00"/>
    <x v="7"/>
    <s v="Electronics"/>
    <s v="East"/>
    <n v="7"/>
    <n v="2317"/>
  </r>
  <r>
    <d v="2023-01-27T00:00:00"/>
    <x v="5"/>
    <s v="Electronics"/>
    <s v="East"/>
    <n v="6"/>
    <n v="396"/>
  </r>
  <r>
    <d v="2023-11-16T00:00:00"/>
    <x v="7"/>
    <s v="Electronics"/>
    <s v="South"/>
    <n v="1"/>
    <n v="558"/>
  </r>
  <r>
    <d v="2023-03-21T00:00:00"/>
    <x v="7"/>
    <s v="Electronics"/>
    <s v="East"/>
    <n v="9"/>
    <n v="2034"/>
  </r>
  <r>
    <d v="2022-06-01T00:00:00"/>
    <x v="1"/>
    <s v="Accessories"/>
    <s v="West"/>
    <n v="8"/>
    <n v="6080"/>
  </r>
  <r>
    <d v="2023-02-04T00:00:00"/>
    <x v="5"/>
    <s v="Electronics"/>
    <s v="East"/>
    <n v="2"/>
    <n v="1378"/>
  </r>
  <r>
    <d v="2024-03-04T00:00:00"/>
    <x v="6"/>
    <s v="Accessories"/>
    <s v="East"/>
    <n v="3"/>
    <n v="483"/>
  </r>
  <r>
    <d v="2022-10-19T00:00:00"/>
    <x v="8"/>
    <s v="Accessories"/>
    <s v="South"/>
    <n v="8"/>
    <n v="7864"/>
  </r>
  <r>
    <d v="2022-01-27T00:00:00"/>
    <x v="0"/>
    <s v="Office"/>
    <s v="North"/>
    <n v="2"/>
    <n v="1268"/>
  </r>
  <r>
    <d v="2022-10-06T00:00:00"/>
    <x v="0"/>
    <s v="Office"/>
    <s v="West"/>
    <n v="6"/>
    <n v="3774"/>
  </r>
  <r>
    <d v="2023-09-16T00:00:00"/>
    <x v="5"/>
    <s v="Electronics"/>
    <s v="East"/>
    <n v="9"/>
    <n v="9090"/>
  </r>
  <r>
    <d v="2024-01-10T00:00:00"/>
    <x v="3"/>
    <s v="Electronics"/>
    <s v="North"/>
    <n v="5"/>
    <n v="3720"/>
  </r>
  <r>
    <d v="2022-07-02T00:00:00"/>
    <x v="7"/>
    <s v="Electronics"/>
    <s v="East"/>
    <n v="8"/>
    <n v="8896"/>
  </r>
  <r>
    <d v="2024-10-01T00:00:00"/>
    <x v="1"/>
    <s v="Accessories"/>
    <s v="South"/>
    <n v="4"/>
    <n v="3264"/>
  </r>
  <r>
    <d v="2023-03-04T00:00:00"/>
    <x v="0"/>
    <s v="Office"/>
    <s v="West"/>
    <n v="2"/>
    <n v="146"/>
  </r>
  <r>
    <d v="2024-05-26T00:00:00"/>
    <x v="4"/>
    <s v="Accessories"/>
    <s v="East"/>
    <n v="3"/>
    <n v="1683"/>
  </r>
  <r>
    <d v="2022-01-10T00:00:00"/>
    <x v="3"/>
    <s v="Electronics"/>
    <s v="West"/>
    <n v="7"/>
    <n v="6076"/>
  </r>
  <r>
    <d v="2023-07-19T00:00:00"/>
    <x v="5"/>
    <s v="Electronics"/>
    <s v="West"/>
    <n v="2"/>
    <n v="2388"/>
  </r>
  <r>
    <d v="2023-07-11T00:00:00"/>
    <x v="7"/>
    <s v="Electronics"/>
    <s v="East"/>
    <n v="6"/>
    <n v="882"/>
  </r>
  <r>
    <d v="2022-06-05T00:00:00"/>
    <x v="9"/>
    <s v="Electronics"/>
    <s v="West"/>
    <n v="3"/>
    <n v="3561"/>
  </r>
  <r>
    <d v="2024-10-20T00:00:00"/>
    <x v="2"/>
    <s v="Electronics"/>
    <s v="East"/>
    <n v="7"/>
    <n v="3395"/>
  </r>
  <r>
    <d v="2022-01-31T00:00:00"/>
    <x v="7"/>
    <s v="Electronics"/>
    <s v="South"/>
    <n v="6"/>
    <n v="3366"/>
  </r>
  <r>
    <d v="2022-11-30T00:00:00"/>
    <x v="1"/>
    <s v="Accessories"/>
    <s v="East"/>
    <n v="2"/>
    <n v="630"/>
  </r>
  <r>
    <d v="2023-07-14T00:00:00"/>
    <x v="3"/>
    <s v="Electronics"/>
    <s v="South"/>
    <n v="1"/>
    <n v="440"/>
  </r>
  <r>
    <d v="2024-09-22T00:00:00"/>
    <x v="5"/>
    <s v="Electronics"/>
    <s v="East"/>
    <n v="6"/>
    <n v="6462"/>
  </r>
  <r>
    <d v="2024-12-29T00:00:00"/>
    <x v="6"/>
    <s v="Accessories"/>
    <s v="South"/>
    <n v="6"/>
    <n v="5004"/>
  </r>
  <r>
    <d v="2022-02-16T00:00:00"/>
    <x v="9"/>
    <s v="Electronics"/>
    <s v="South"/>
    <n v="8"/>
    <n v="1840"/>
  </r>
  <r>
    <d v="2022-11-06T00:00:00"/>
    <x v="2"/>
    <s v="Electronics"/>
    <s v="South"/>
    <n v="7"/>
    <n v="4466"/>
  </r>
  <r>
    <d v="2022-12-27T00:00:00"/>
    <x v="2"/>
    <s v="Electronics"/>
    <s v="South"/>
    <n v="6"/>
    <n v="3048"/>
  </r>
  <r>
    <d v="2024-06-03T00:00:00"/>
    <x v="1"/>
    <s v="Accessories"/>
    <s v="South"/>
    <n v="7"/>
    <n v="4977"/>
  </r>
  <r>
    <d v="2022-07-01T00:00:00"/>
    <x v="8"/>
    <s v="Accessories"/>
    <s v="South"/>
    <n v="3"/>
    <n v="2010"/>
  </r>
  <r>
    <d v="2022-01-30T00:00:00"/>
    <x v="3"/>
    <s v="Electronics"/>
    <s v="South"/>
    <n v="8"/>
    <n v="5352"/>
  </r>
  <r>
    <d v="2024-01-07T00:00:00"/>
    <x v="3"/>
    <s v="Electronics"/>
    <s v="North"/>
    <n v="4"/>
    <n v="4136"/>
  </r>
  <r>
    <d v="2022-04-30T00:00:00"/>
    <x v="3"/>
    <s v="Electronics"/>
    <s v="West"/>
    <n v="8"/>
    <n v="6336"/>
  </r>
  <r>
    <d v="2023-11-28T00:00:00"/>
    <x v="9"/>
    <s v="Electronics"/>
    <s v="East"/>
    <n v="9"/>
    <n v="5481"/>
  </r>
  <r>
    <d v="2024-10-15T00:00:00"/>
    <x v="3"/>
    <s v="Electronics"/>
    <s v="West"/>
    <n v="6"/>
    <n v="6366"/>
  </r>
  <r>
    <d v="2023-09-20T00:00:00"/>
    <x v="0"/>
    <s v="Office"/>
    <s v="West"/>
    <n v="1"/>
    <n v="623"/>
  </r>
  <r>
    <d v="2024-12-20T00:00:00"/>
    <x v="1"/>
    <s v="Accessories"/>
    <s v="South"/>
    <n v="3"/>
    <n v="237"/>
  </r>
  <r>
    <d v="2022-03-18T00:00:00"/>
    <x v="8"/>
    <s v="Accessories"/>
    <s v="North"/>
    <n v="9"/>
    <n v="8370"/>
  </r>
  <r>
    <d v="2023-04-11T00:00:00"/>
    <x v="4"/>
    <s v="Accessories"/>
    <s v="South"/>
    <n v="5"/>
    <n v="4965"/>
  </r>
  <r>
    <d v="2024-08-04T00:00:00"/>
    <x v="3"/>
    <s v="Electronics"/>
    <s v="South"/>
    <n v="7"/>
    <n v="7791"/>
  </r>
  <r>
    <d v="2024-09-29T00:00:00"/>
    <x v="7"/>
    <s v="Electronics"/>
    <s v="West"/>
    <n v="1"/>
    <n v="158"/>
  </r>
  <r>
    <d v="2023-03-11T00:00:00"/>
    <x v="8"/>
    <s v="Accessories"/>
    <s v="West"/>
    <n v="7"/>
    <n v="4347"/>
  </r>
  <r>
    <d v="2022-09-13T00:00:00"/>
    <x v="7"/>
    <s v="Electronics"/>
    <s v="East"/>
    <n v="4"/>
    <n v="3364"/>
  </r>
  <r>
    <d v="2023-07-29T00:00:00"/>
    <x v="3"/>
    <s v="Electronics"/>
    <s v="South"/>
    <n v="3"/>
    <n v="1098"/>
  </r>
  <r>
    <d v="2022-05-14T00:00:00"/>
    <x v="4"/>
    <s v="Accessories"/>
    <s v="West"/>
    <n v="3"/>
    <n v="1083"/>
  </r>
  <r>
    <d v="2022-09-09T00:00:00"/>
    <x v="9"/>
    <s v="Electronics"/>
    <s v="East"/>
    <n v="4"/>
    <n v="1628"/>
  </r>
  <r>
    <d v="2024-11-19T00:00:00"/>
    <x v="8"/>
    <s v="Accessories"/>
    <s v="South"/>
    <n v="4"/>
    <n v="1472"/>
  </r>
  <r>
    <d v="2024-09-19T00:00:00"/>
    <x v="0"/>
    <s v="Office"/>
    <s v="West"/>
    <n v="9"/>
    <n v="3753"/>
  </r>
  <r>
    <d v="2023-07-03T00:00:00"/>
    <x v="6"/>
    <s v="Accessories"/>
    <s v="South"/>
    <n v="6"/>
    <n v="6402"/>
  </r>
  <r>
    <d v="2024-04-17T00:00:00"/>
    <x v="6"/>
    <s v="Accessories"/>
    <s v="West"/>
    <n v="3"/>
    <n v="2565"/>
  </r>
  <r>
    <d v="2024-10-18T00:00:00"/>
    <x v="1"/>
    <s v="Accessories"/>
    <s v="South"/>
    <n v="3"/>
    <n v="2214"/>
  </r>
  <r>
    <d v="2024-06-16T00:00:00"/>
    <x v="6"/>
    <s v="Accessories"/>
    <s v="West"/>
    <n v="3"/>
    <n v="975"/>
  </r>
  <r>
    <d v="2023-10-14T00:00:00"/>
    <x v="0"/>
    <s v="Office"/>
    <s v="East"/>
    <n v="8"/>
    <n v="3312"/>
  </r>
  <r>
    <d v="2023-10-12T00:00:00"/>
    <x v="0"/>
    <s v="Office"/>
    <s v="East"/>
    <n v="1"/>
    <n v="267"/>
  </r>
  <r>
    <d v="2022-04-11T00:00:00"/>
    <x v="7"/>
    <s v="Electronics"/>
    <s v="East"/>
    <n v="9"/>
    <n v="8145"/>
  </r>
  <r>
    <d v="2022-01-06T00:00:00"/>
    <x v="0"/>
    <s v="Office"/>
    <s v="North"/>
    <n v="1"/>
    <n v="232"/>
  </r>
  <r>
    <d v="2024-10-06T00:00:00"/>
    <x v="7"/>
    <s v="Electronics"/>
    <s v="North"/>
    <n v="3"/>
    <n v="300"/>
  </r>
  <r>
    <d v="2024-02-27T00:00:00"/>
    <x v="6"/>
    <s v="Accessories"/>
    <s v="East"/>
    <n v="2"/>
    <n v="2248"/>
  </r>
  <r>
    <d v="2023-10-10T00:00:00"/>
    <x v="6"/>
    <s v="Accessories"/>
    <s v="North"/>
    <n v="6"/>
    <n v="1614"/>
  </r>
  <r>
    <d v="2022-05-03T00:00:00"/>
    <x v="6"/>
    <s v="Accessories"/>
    <s v="West"/>
    <n v="2"/>
    <n v="1476"/>
  </r>
  <r>
    <d v="2024-11-05T00:00:00"/>
    <x v="0"/>
    <s v="Office"/>
    <s v="South"/>
    <n v="5"/>
    <n v="4375"/>
  </r>
  <r>
    <d v="2024-09-03T00:00:00"/>
    <x v="5"/>
    <s v="Electronics"/>
    <s v="North"/>
    <n v="4"/>
    <n v="1064"/>
  </r>
  <r>
    <d v="2022-10-04T00:00:00"/>
    <x v="4"/>
    <s v="Accessories"/>
    <s v="North"/>
    <n v="6"/>
    <n v="1068"/>
  </r>
  <r>
    <d v="2023-12-17T00:00:00"/>
    <x v="8"/>
    <s v="Accessories"/>
    <s v="East"/>
    <n v="1"/>
    <n v="190"/>
  </r>
  <r>
    <d v="2022-06-27T00:00:00"/>
    <x v="0"/>
    <s v="Office"/>
    <s v="South"/>
    <n v="7"/>
    <n v="7868"/>
  </r>
  <r>
    <d v="2024-12-03T00:00:00"/>
    <x v="8"/>
    <s v="Accessories"/>
    <s v="North"/>
    <n v="3"/>
    <n v="1239"/>
  </r>
  <r>
    <d v="2023-09-10T00:00:00"/>
    <x v="6"/>
    <s v="Accessories"/>
    <s v="East"/>
    <n v="2"/>
    <n v="1394"/>
  </r>
  <r>
    <d v="2024-02-07T00:00:00"/>
    <x v="7"/>
    <s v="Electronics"/>
    <s v="North"/>
    <n v="5"/>
    <n v="2060"/>
  </r>
  <r>
    <d v="2023-06-09T00:00:00"/>
    <x v="9"/>
    <s v="Electronics"/>
    <s v="East"/>
    <n v="1"/>
    <n v="1060"/>
  </r>
  <r>
    <d v="2022-12-16T00:00:00"/>
    <x v="6"/>
    <s v="Accessories"/>
    <s v="North"/>
    <n v="7"/>
    <n v="7812"/>
  </r>
  <r>
    <d v="2024-06-17T00:00:00"/>
    <x v="3"/>
    <s v="Electronics"/>
    <s v="North"/>
    <n v="7"/>
    <n v="7077"/>
  </r>
  <r>
    <d v="2023-06-10T00:00:00"/>
    <x v="7"/>
    <s v="Electronics"/>
    <s v="West"/>
    <n v="7"/>
    <n v="5712"/>
  </r>
  <r>
    <d v="2023-01-22T00:00:00"/>
    <x v="0"/>
    <s v="Office"/>
    <s v="North"/>
    <n v="6"/>
    <n v="4146"/>
  </r>
  <r>
    <d v="2024-06-18T00:00:00"/>
    <x v="2"/>
    <s v="Electronics"/>
    <s v="West"/>
    <n v="2"/>
    <n v="992"/>
  </r>
  <r>
    <d v="2022-04-13T00:00:00"/>
    <x v="5"/>
    <s v="Electronics"/>
    <s v="North"/>
    <n v="2"/>
    <n v="1756"/>
  </r>
  <r>
    <d v="2023-04-09T00:00:00"/>
    <x v="6"/>
    <s v="Accessories"/>
    <s v="West"/>
    <n v="4"/>
    <n v="3632"/>
  </r>
  <r>
    <d v="2024-03-17T00:00:00"/>
    <x v="4"/>
    <s v="Accessories"/>
    <s v="East"/>
    <n v="4"/>
    <n v="3912"/>
  </r>
  <r>
    <d v="2023-05-19T00:00:00"/>
    <x v="0"/>
    <s v="Office"/>
    <s v="North"/>
    <n v="9"/>
    <n v="3123"/>
  </r>
  <r>
    <d v="2022-09-20T00:00:00"/>
    <x v="0"/>
    <s v="Office"/>
    <s v="West"/>
    <n v="4"/>
    <n v="700"/>
  </r>
  <r>
    <d v="2022-11-02T00:00:00"/>
    <x v="2"/>
    <s v="Electronics"/>
    <s v="South"/>
    <n v="8"/>
    <n v="408"/>
  </r>
  <r>
    <d v="2022-12-18T00:00:00"/>
    <x v="7"/>
    <s v="Electronics"/>
    <s v="South"/>
    <n v="4"/>
    <n v="4056"/>
  </r>
  <r>
    <d v="2024-05-07T00:00:00"/>
    <x v="9"/>
    <s v="Electronics"/>
    <s v="West"/>
    <n v="1"/>
    <n v="770"/>
  </r>
  <r>
    <d v="2022-02-07T00:00:00"/>
    <x v="5"/>
    <s v="Electronics"/>
    <s v="North"/>
    <n v="3"/>
    <n v="531"/>
  </r>
  <r>
    <d v="2023-06-03T00:00:00"/>
    <x v="6"/>
    <s v="Accessories"/>
    <s v="South"/>
    <n v="5"/>
    <n v="280"/>
  </r>
  <r>
    <d v="2024-04-01T00:00:00"/>
    <x v="9"/>
    <s v="Electronics"/>
    <s v="East"/>
    <n v="7"/>
    <n v="4550"/>
  </r>
  <r>
    <d v="2023-04-07T00:00:00"/>
    <x v="5"/>
    <s v="Electronics"/>
    <s v="West"/>
    <n v="5"/>
    <n v="2480"/>
  </r>
  <r>
    <d v="2022-05-18T00:00:00"/>
    <x v="0"/>
    <s v="Office"/>
    <s v="West"/>
    <n v="6"/>
    <n v="2604"/>
  </r>
  <r>
    <d v="2022-02-25T00:00:00"/>
    <x v="8"/>
    <s v="Accessories"/>
    <s v="West"/>
    <n v="7"/>
    <n v="1351"/>
  </r>
  <r>
    <d v="2023-09-03T00:00:00"/>
    <x v="6"/>
    <s v="Accessories"/>
    <s v="South"/>
    <n v="5"/>
    <n v="4615"/>
  </r>
  <r>
    <d v="2024-03-22T00:00:00"/>
    <x v="1"/>
    <s v="Accessories"/>
    <s v="West"/>
    <n v="1"/>
    <n v="829"/>
  </r>
  <r>
    <d v="2024-03-15T00:00:00"/>
    <x v="3"/>
    <s v="Electronics"/>
    <s v="West"/>
    <n v="3"/>
    <n v="177"/>
  </r>
  <r>
    <d v="2022-12-23T00:00:00"/>
    <x v="4"/>
    <s v="Accessories"/>
    <s v="West"/>
    <n v="1"/>
    <n v="1086"/>
  </r>
  <r>
    <d v="2023-04-26T00:00:00"/>
    <x v="9"/>
    <s v="Electronics"/>
    <s v="South"/>
    <n v="5"/>
    <n v="275"/>
  </r>
  <r>
    <d v="2022-12-15T00:00:00"/>
    <x v="1"/>
    <s v="Accessories"/>
    <s v="North"/>
    <n v="1"/>
    <n v="564"/>
  </r>
  <r>
    <d v="2024-08-13T00:00:00"/>
    <x v="8"/>
    <s v="Accessories"/>
    <s v="South"/>
    <n v="2"/>
    <n v="684"/>
  </r>
  <r>
    <d v="2023-10-20T00:00:00"/>
    <x v="9"/>
    <s v="Electronics"/>
    <s v="South"/>
    <n v="4"/>
    <n v="2656"/>
  </r>
  <r>
    <d v="2024-07-12T00:00:00"/>
    <x v="9"/>
    <s v="Electronics"/>
    <s v="West"/>
    <n v="5"/>
    <n v="1190"/>
  </r>
  <r>
    <d v="2024-12-01T00:00:00"/>
    <x v="0"/>
    <s v="Office"/>
    <s v="South"/>
    <n v="6"/>
    <n v="4854"/>
  </r>
  <r>
    <d v="2024-02-14T00:00:00"/>
    <x v="0"/>
    <s v="Office"/>
    <s v="West"/>
    <n v="5"/>
    <n v="1060"/>
  </r>
  <r>
    <d v="2024-08-31T00:00:00"/>
    <x v="9"/>
    <s v="Electronics"/>
    <s v="South"/>
    <n v="3"/>
    <n v="1527"/>
  </r>
  <r>
    <d v="2023-10-19T00:00:00"/>
    <x v="1"/>
    <s v="Accessories"/>
    <s v="East"/>
    <n v="4"/>
    <n v="1168"/>
  </r>
  <r>
    <d v="2023-04-16T00:00:00"/>
    <x v="2"/>
    <s v="Electronics"/>
    <s v="South"/>
    <n v="8"/>
    <n v="6328"/>
  </r>
  <r>
    <d v="2024-06-17T00:00:00"/>
    <x v="7"/>
    <s v="Electronics"/>
    <s v="North"/>
    <n v="3"/>
    <n v="2193"/>
  </r>
  <r>
    <d v="2023-04-28T00:00:00"/>
    <x v="5"/>
    <s v="Electronics"/>
    <s v="East"/>
    <n v="8"/>
    <n v="7600"/>
  </r>
  <r>
    <d v="2023-03-15T00:00:00"/>
    <x v="0"/>
    <s v="Office"/>
    <s v="West"/>
    <n v="9"/>
    <n v="1764"/>
  </r>
  <r>
    <d v="2022-05-20T00:00:00"/>
    <x v="8"/>
    <s v="Accessories"/>
    <s v="East"/>
    <n v="2"/>
    <n v="1270"/>
  </r>
  <r>
    <d v="2023-01-21T00:00:00"/>
    <x v="2"/>
    <s v="Electronics"/>
    <s v="North"/>
    <n v="1"/>
    <n v="607"/>
  </r>
  <r>
    <d v="2023-03-23T00:00:00"/>
    <x v="1"/>
    <s v="Accessories"/>
    <s v="South"/>
    <n v="2"/>
    <n v="1672"/>
  </r>
  <r>
    <d v="2023-06-28T00:00:00"/>
    <x v="8"/>
    <s v="Accessories"/>
    <s v="South"/>
    <n v="6"/>
    <n v="5718"/>
  </r>
  <r>
    <d v="2022-04-30T00:00:00"/>
    <x v="4"/>
    <s v="Accessories"/>
    <s v="South"/>
    <n v="8"/>
    <n v="584"/>
  </r>
  <r>
    <d v="2023-03-24T00:00:00"/>
    <x v="3"/>
    <s v="Electronics"/>
    <s v="West"/>
    <n v="7"/>
    <n v="7455"/>
  </r>
  <r>
    <d v="2022-03-25T00:00:00"/>
    <x v="8"/>
    <s v="Accessories"/>
    <s v="North"/>
    <n v="7"/>
    <n v="7679"/>
  </r>
  <r>
    <d v="2022-06-02T00:00:00"/>
    <x v="2"/>
    <s v="Electronics"/>
    <s v="West"/>
    <n v="7"/>
    <n v="847"/>
  </r>
  <r>
    <d v="2022-07-31T00:00:00"/>
    <x v="1"/>
    <s v="Accessories"/>
    <s v="West"/>
    <n v="3"/>
    <n v="1278"/>
  </r>
  <r>
    <d v="2024-01-21T00:00:00"/>
    <x v="8"/>
    <s v="Accessories"/>
    <s v="East"/>
    <n v="8"/>
    <n v="6592"/>
  </r>
  <r>
    <d v="2023-09-13T00:00:00"/>
    <x v="6"/>
    <s v="Accessories"/>
    <s v="East"/>
    <n v="8"/>
    <n v="3544"/>
  </r>
  <r>
    <d v="2023-12-19T00:00:00"/>
    <x v="3"/>
    <s v="Electronics"/>
    <s v="West"/>
    <n v="3"/>
    <n v="1959"/>
  </r>
  <r>
    <d v="2022-08-02T00:00:00"/>
    <x v="1"/>
    <s v="Accessories"/>
    <s v="South"/>
    <n v="6"/>
    <n v="3384"/>
  </r>
  <r>
    <d v="2023-11-25T00:00:00"/>
    <x v="7"/>
    <s v="Electronics"/>
    <s v="North"/>
    <n v="1"/>
    <n v="307"/>
  </r>
  <r>
    <d v="2022-07-29T00:00:00"/>
    <x v="3"/>
    <s v="Electronics"/>
    <s v="West"/>
    <n v="9"/>
    <n v="10017"/>
  </r>
  <r>
    <d v="2024-11-04T00:00:00"/>
    <x v="2"/>
    <s v="Electronics"/>
    <s v="South"/>
    <n v="7"/>
    <n v="7931"/>
  </r>
  <r>
    <d v="2024-10-20T00:00:00"/>
    <x v="9"/>
    <s v="Electronics"/>
    <s v="North"/>
    <n v="2"/>
    <n v="1168"/>
  </r>
  <r>
    <d v="2024-03-19T00:00:00"/>
    <x v="7"/>
    <s v="Electronics"/>
    <s v="South"/>
    <n v="9"/>
    <n v="9765"/>
  </r>
  <r>
    <d v="2023-09-21T00:00:00"/>
    <x v="2"/>
    <s v="Electronics"/>
    <s v="South"/>
    <n v="8"/>
    <n v="1456"/>
  </r>
  <r>
    <d v="2022-12-11T00:00:00"/>
    <x v="7"/>
    <s v="Electronics"/>
    <s v="South"/>
    <n v="5"/>
    <n v="950"/>
  </r>
  <r>
    <d v="2022-06-24T00:00:00"/>
    <x v="5"/>
    <s v="Electronics"/>
    <s v="West"/>
    <n v="2"/>
    <n v="2314"/>
  </r>
  <r>
    <d v="2023-10-06T00:00:00"/>
    <x v="5"/>
    <s v="Electronics"/>
    <s v="North"/>
    <n v="1"/>
    <n v="915"/>
  </r>
  <r>
    <d v="2022-12-06T00:00:00"/>
    <x v="9"/>
    <s v="Electronics"/>
    <s v="North"/>
    <n v="1"/>
    <n v="290"/>
  </r>
  <r>
    <d v="2022-01-15T00:00:00"/>
    <x v="2"/>
    <s v="Electronics"/>
    <s v="North"/>
    <n v="7"/>
    <n v="3584"/>
  </r>
  <r>
    <d v="2024-03-04T00:00:00"/>
    <x v="1"/>
    <s v="Accessories"/>
    <s v="West"/>
    <n v="6"/>
    <n v="1254"/>
  </r>
  <r>
    <d v="2023-01-24T00:00:00"/>
    <x v="9"/>
    <s v="Electronics"/>
    <s v="North"/>
    <n v="5"/>
    <n v="2410"/>
  </r>
  <r>
    <d v="2023-10-01T00:00:00"/>
    <x v="0"/>
    <s v="Office"/>
    <s v="North"/>
    <n v="2"/>
    <n v="800"/>
  </r>
  <r>
    <d v="2022-06-28T00:00:00"/>
    <x v="5"/>
    <s v="Electronics"/>
    <s v="West"/>
    <n v="5"/>
    <n v="990"/>
  </r>
  <r>
    <d v="2023-05-14T00:00:00"/>
    <x v="9"/>
    <s v="Electronics"/>
    <s v="West"/>
    <n v="9"/>
    <n v="9702"/>
  </r>
  <r>
    <d v="2023-09-04T00:00:00"/>
    <x v="8"/>
    <s v="Accessories"/>
    <s v="East"/>
    <n v="8"/>
    <n v="5888"/>
  </r>
  <r>
    <d v="2023-09-20T00:00:00"/>
    <x v="2"/>
    <s v="Electronics"/>
    <s v="East"/>
    <n v="4"/>
    <n v="1768"/>
  </r>
  <r>
    <d v="2022-06-01T00:00:00"/>
    <x v="4"/>
    <s v="Accessories"/>
    <s v="North"/>
    <n v="2"/>
    <n v="1022"/>
  </r>
  <r>
    <d v="2023-12-03T00:00:00"/>
    <x v="2"/>
    <s v="Electronics"/>
    <s v="North"/>
    <n v="3"/>
    <n v="2883"/>
  </r>
  <r>
    <d v="2023-02-15T00:00:00"/>
    <x v="6"/>
    <s v="Accessories"/>
    <s v="North"/>
    <n v="4"/>
    <n v="4064"/>
  </r>
  <r>
    <d v="2022-09-18T00:00:00"/>
    <x v="6"/>
    <s v="Accessories"/>
    <s v="East"/>
    <n v="1"/>
    <n v="1117"/>
  </r>
  <r>
    <d v="2022-04-12T00:00:00"/>
    <x v="9"/>
    <s v="Electronics"/>
    <s v="South"/>
    <n v="4"/>
    <n v="260"/>
  </r>
  <r>
    <d v="2022-01-18T00:00:00"/>
    <x v="0"/>
    <s v="Office"/>
    <s v="South"/>
    <n v="3"/>
    <n v="222"/>
  </r>
  <r>
    <d v="2024-11-01T00:00:00"/>
    <x v="5"/>
    <s v="Electronics"/>
    <s v="East"/>
    <n v="9"/>
    <n v="105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044D536-D848-424A-8345-A731EFFAF8EE}"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21:L32" firstHeaderRow="1" firstDataRow="1" firstDataCol="1"/>
  <pivotFields count="6">
    <pivotField numFmtId="14" showAll="0"/>
    <pivotField axis="axisRow" showAll="0">
      <items count="11">
        <item x="3"/>
        <item x="4"/>
        <item x="8"/>
        <item x="9"/>
        <item x="6"/>
        <item x="1"/>
        <item x="0"/>
        <item x="7"/>
        <item x="5"/>
        <item x="2"/>
        <item t="default"/>
      </items>
    </pivotField>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Quantity" fld="4" baseField="0" baseItem="0"/>
  </dataFields>
  <formats count="18">
    <format dxfId="313">
      <pivotArea field="1" type="button" dataOnly="0" labelOnly="1" outline="0" axis="axisRow" fieldPosition="0"/>
    </format>
    <format dxfId="312">
      <pivotArea dataOnly="0" labelOnly="1" outline="0" axis="axisValues" fieldPosition="0"/>
    </format>
    <format dxfId="311">
      <pivotArea field="1" type="button" dataOnly="0" labelOnly="1" outline="0" axis="axisRow" fieldPosition="0"/>
    </format>
    <format dxfId="310">
      <pivotArea dataOnly="0" labelOnly="1" outline="0" axis="axisValues" fieldPosition="0"/>
    </format>
    <format dxfId="309">
      <pivotArea outline="0" collapsedLevelsAreSubtotals="1" fieldPosition="0"/>
    </format>
    <format dxfId="308">
      <pivotArea dataOnly="0" labelOnly="1" grandRow="1" outline="0" fieldPosition="0"/>
    </format>
    <format dxfId="307">
      <pivotArea outline="0" collapsedLevelsAreSubtotals="1" fieldPosition="0"/>
    </format>
    <format dxfId="306">
      <pivotArea dataOnly="0" labelOnly="1" grandRow="1" outline="0" fieldPosition="0"/>
    </format>
    <format dxfId="305">
      <pivotArea type="all" dataOnly="0" outline="0" fieldPosition="0"/>
    </format>
    <format dxfId="304">
      <pivotArea outline="0" collapsedLevelsAreSubtotals="1" fieldPosition="0"/>
    </format>
    <format dxfId="303">
      <pivotArea field="1" type="button" dataOnly="0" labelOnly="1" outline="0" axis="axisRow" fieldPosition="0"/>
    </format>
    <format dxfId="302">
      <pivotArea dataOnly="0" labelOnly="1" fieldPosition="0">
        <references count="1">
          <reference field="1" count="0"/>
        </references>
      </pivotArea>
    </format>
    <format dxfId="301">
      <pivotArea dataOnly="0" labelOnly="1" grandRow="1" outline="0" fieldPosition="0"/>
    </format>
    <format dxfId="300">
      <pivotArea dataOnly="0" labelOnly="1" outline="0" axis="axisValues" fieldPosition="0"/>
    </format>
    <format dxfId="299">
      <pivotArea dataOnly="0" labelOnly="1" fieldPosition="0">
        <references count="1">
          <reference field="1" count="0"/>
        </references>
      </pivotArea>
    </format>
    <format dxfId="298">
      <pivotArea dataOnly="0" labelOnly="1" fieldPosition="0">
        <references count="1">
          <reference field="1" count="0"/>
        </references>
      </pivotArea>
    </format>
    <format dxfId="297">
      <pivotArea grandRow="1" outline="0" collapsedLevelsAreSubtotals="1" fieldPosition="0"/>
    </format>
    <format dxfId="296">
      <pivotArea grandRow="1" outline="0" collapsedLevelsAreSubtotals="1" fieldPosition="0"/>
    </format>
  </formats>
  <conditionalFormats count="6">
    <conditionalFormat priority="6">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5">
      <pivotAreas count="1">
        <pivotArea type="data" outline="0" collapsedLevelsAreSubtotals="1" fieldPosition="0">
          <references count="1">
            <reference field="4294967294" count="1" selected="0">
              <x v="0"/>
            </reference>
          </references>
        </pivotArea>
      </pivotAreas>
    </conditionalFormat>
    <conditionalFormat priority="4">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 priority="2">
      <pivotAreas count="1">
        <pivotArea type="data" outline="0" collapsedLevelsAreSubtotals="1" fieldPosition="0">
          <references count="1">
            <reference field="4294967294" count="1" selected="0">
              <x v="0"/>
            </reference>
          </references>
        </pivotArea>
      </pivotAreas>
    </conditionalFormat>
    <conditionalFormat priority="1">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19587B0-B269-4074-BDD9-84FD0A3F668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L1:M14"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pivotField showAll="0"/>
    <pivotField showAll="0"/>
    <pivotField showAll="0"/>
    <pivotField dataField="1" numFmtId="4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sd="0" x="1"/>
        <item h="1" sd="0" x="2"/>
        <item h="1" sd="0" x="3"/>
        <item h="1" sd="0" x="4"/>
        <item h="1" sd="0" x="5"/>
        <item t="default"/>
      </items>
    </pivotField>
    <pivotField showAll="0">
      <items count="7">
        <item sd="0" x="0"/>
        <item sd="0" x="1"/>
        <item sd="0" x="2"/>
        <item sd="0" x="3"/>
        <item sd="0" x="4"/>
        <item sd="0" x="5"/>
        <item t="default"/>
      </items>
    </pivotField>
  </pivotFields>
  <rowFields count="1">
    <field x="7"/>
  </rowFields>
  <rowItems count="13">
    <i>
      <x v="1"/>
    </i>
    <i>
      <x v="2"/>
    </i>
    <i>
      <x v="3"/>
    </i>
    <i>
      <x v="4"/>
    </i>
    <i>
      <x v="5"/>
    </i>
    <i>
      <x v="6"/>
    </i>
    <i>
      <x v="7"/>
    </i>
    <i>
      <x v="8"/>
    </i>
    <i>
      <x v="9"/>
    </i>
    <i>
      <x v="10"/>
    </i>
    <i>
      <x v="11"/>
    </i>
    <i>
      <x v="12"/>
    </i>
    <i t="grand">
      <x/>
    </i>
  </rowItems>
  <colItems count="1">
    <i/>
  </colItems>
  <dataFields count="1">
    <dataField name="Sum of Profit" fld="6" baseField="1" baseItem="0" numFmtId="1"/>
  </dataFields>
  <formats count="22">
    <format dxfId="335">
      <pivotArea type="all" dataOnly="0" outline="0" fieldPosition="0"/>
    </format>
    <format dxfId="334">
      <pivotArea outline="0" collapsedLevelsAreSubtotals="1" fieldPosition="0"/>
    </format>
    <format dxfId="333">
      <pivotArea field="7" type="button" dataOnly="0" labelOnly="1" outline="0" axis="axisRow" fieldPosition="0"/>
    </format>
    <format dxfId="332">
      <pivotArea dataOnly="0" labelOnly="1" fieldPosition="0">
        <references count="1">
          <reference field="7" count="12">
            <x v="1"/>
            <x v="2"/>
            <x v="3"/>
            <x v="4"/>
            <x v="5"/>
            <x v="6"/>
            <x v="7"/>
            <x v="8"/>
            <x v="9"/>
            <x v="10"/>
            <x v="11"/>
            <x v="12"/>
          </reference>
        </references>
      </pivotArea>
    </format>
    <format dxfId="331">
      <pivotArea dataOnly="0" labelOnly="1" grandRow="1" outline="0" fieldPosition="0"/>
    </format>
    <format dxfId="330">
      <pivotArea dataOnly="0" labelOnly="1" outline="0" axis="axisValues" fieldPosition="0"/>
    </format>
    <format dxfId="329">
      <pivotArea type="all" dataOnly="0" outline="0" fieldPosition="0"/>
    </format>
    <format dxfId="328">
      <pivotArea outline="0" collapsedLevelsAreSubtotals="1" fieldPosition="0"/>
    </format>
    <format dxfId="327">
      <pivotArea field="7" type="button" dataOnly="0" labelOnly="1" outline="0" axis="axisRow" fieldPosition="0"/>
    </format>
    <format dxfId="326">
      <pivotArea dataOnly="0" labelOnly="1" fieldPosition="0">
        <references count="1">
          <reference field="7" count="12">
            <x v="1"/>
            <x v="2"/>
            <x v="3"/>
            <x v="4"/>
            <x v="5"/>
            <x v="6"/>
            <x v="7"/>
            <x v="8"/>
            <x v="9"/>
            <x v="10"/>
            <x v="11"/>
            <x v="12"/>
          </reference>
        </references>
      </pivotArea>
    </format>
    <format dxfId="325">
      <pivotArea dataOnly="0" labelOnly="1" grandRow="1" outline="0" fieldPosition="0"/>
    </format>
    <format dxfId="324">
      <pivotArea dataOnly="0" labelOnly="1" outline="0" axis="axisValues" fieldPosition="0"/>
    </format>
    <format dxfId="323">
      <pivotArea type="all" dataOnly="0" outline="0" fieldPosition="0"/>
    </format>
    <format dxfId="322">
      <pivotArea outline="0" collapsedLevelsAreSubtotals="1" fieldPosition="0"/>
    </format>
    <format dxfId="321">
      <pivotArea field="7" type="button" dataOnly="0" labelOnly="1" outline="0" axis="axisRow" fieldPosition="0"/>
    </format>
    <format dxfId="320">
      <pivotArea dataOnly="0" labelOnly="1" fieldPosition="0">
        <references count="1">
          <reference field="7" count="12">
            <x v="1"/>
            <x v="2"/>
            <x v="3"/>
            <x v="4"/>
            <x v="5"/>
            <x v="6"/>
            <x v="7"/>
            <x v="8"/>
            <x v="9"/>
            <x v="10"/>
            <x v="11"/>
            <x v="12"/>
          </reference>
        </references>
      </pivotArea>
    </format>
    <format dxfId="319">
      <pivotArea dataOnly="0" labelOnly="1" grandRow="1" outline="0" fieldPosition="0"/>
    </format>
    <format dxfId="318">
      <pivotArea dataOnly="0" labelOnly="1" outline="0" axis="axisValues" fieldPosition="0"/>
    </format>
    <format dxfId="317">
      <pivotArea grandRow="1" outline="0" collapsedLevelsAreSubtotals="1" fieldPosition="0"/>
    </format>
    <format dxfId="316">
      <pivotArea grandRow="1" outline="0" collapsedLevelsAreSubtotals="1" fieldPosition="0"/>
    </format>
    <format dxfId="315">
      <pivotArea grandRow="1" outline="0" collapsedLevelsAreSubtotals="1" fieldPosition="0"/>
    </format>
    <format dxfId="314">
      <pivotArea outline="0" fieldPosition="0">
        <references count="1">
          <reference field="4294967294" count="1">
            <x v="0"/>
          </reference>
        </references>
      </pivotArea>
    </format>
  </formats>
  <conditionalFormats count="12">
    <conditionalFormat priority="21">
      <pivotAreas count="1">
        <pivotArea type="data" collapsedLevelsAreSubtotals="1" fieldPosition="0">
          <references count="2">
            <reference field="4294967294" count="1" selected="0">
              <x v="0"/>
            </reference>
            <reference field="7" count="12">
              <x v="1"/>
              <x v="2"/>
              <x v="3"/>
              <x v="4"/>
              <x v="5"/>
              <x v="6"/>
              <x v="7"/>
              <x v="8"/>
              <x v="9"/>
              <x v="10"/>
              <x v="11"/>
              <x v="12"/>
            </reference>
          </references>
        </pivotArea>
      </pivotAreas>
    </conditionalFormat>
    <conditionalFormat priority="20">
      <pivotAreas count="1">
        <pivotArea type="data" collapsedLevelsAreSubtotals="1" fieldPosition="0">
          <references count="2">
            <reference field="4294967294" count="1" selected="0">
              <x v="0"/>
            </reference>
            <reference field="7" count="12">
              <x v="1"/>
              <x v="2"/>
              <x v="3"/>
              <x v="4"/>
              <x v="5"/>
              <x v="6"/>
              <x v="7"/>
              <x v="8"/>
              <x v="9"/>
              <x v="10"/>
              <x v="11"/>
              <x v="12"/>
            </reference>
          </references>
        </pivotArea>
      </pivotAreas>
    </conditionalFormat>
    <conditionalFormat priority="19">
      <pivotAreas count="1">
        <pivotArea type="data" collapsedLevelsAreSubtotals="1" fieldPosition="0">
          <references count="2">
            <reference field="4294967294" count="1" selected="0">
              <x v="0"/>
            </reference>
            <reference field="7" count="12">
              <x v="1"/>
              <x v="2"/>
              <x v="3"/>
              <x v="4"/>
              <x v="5"/>
              <x v="6"/>
              <x v="7"/>
              <x v="8"/>
              <x v="9"/>
              <x v="10"/>
              <x v="11"/>
              <x v="12"/>
            </reference>
          </references>
        </pivotArea>
      </pivotAreas>
    </conditionalFormat>
    <conditionalFormat priority="18">
      <pivotAreas count="1">
        <pivotArea type="data" outline="0" collapsedLevelsAreSubtotals="1" fieldPosition="0">
          <references count="1">
            <reference field="4294967294" count="1" selected="0">
              <x v="0"/>
            </reference>
          </references>
        </pivotArea>
      </pivotAreas>
    </conditionalFormat>
    <conditionalFormat priority="17">
      <pivotAreas count="1">
        <pivotArea type="data" outline="0" collapsedLevelsAreSubtotals="1" fieldPosition="0">
          <references count="1">
            <reference field="4294967294" count="1" selected="0">
              <x v="0"/>
            </reference>
          </references>
        </pivotArea>
      </pivotAreas>
    </conditionalFormat>
    <conditionalFormat type="all" priority="16">
      <pivotAreas count="1">
        <pivotArea type="data" outline="0" collapsedLevelsAreSubtotals="1" fieldPosition="0">
          <references count="1">
            <reference field="4294967294" count="1" selected="0">
              <x v="0"/>
            </reference>
          </references>
        </pivotArea>
      </pivotAreas>
    </conditionalFormat>
    <conditionalFormat priority="15">
      <pivotAreas count="1">
        <pivotArea type="data" outline="0" collapsedLevelsAreSubtotals="1" fieldPosition="0">
          <references count="1">
            <reference field="4294967294" count="1" selected="0">
              <x v="0"/>
            </reference>
          </references>
        </pivotArea>
      </pivotAreas>
    </conditionalFormat>
    <conditionalFormat priority="13">
      <pivotAreas count="1">
        <pivotArea type="data" outline="0" collapsedLevelsAreSubtotals="1" fieldPosition="0">
          <references count="1">
            <reference field="4294967294" count="1" selected="0">
              <x v="0"/>
            </reference>
          </references>
        </pivotArea>
      </pivotAreas>
    </conditionalFormat>
    <conditionalFormat priority="11">
      <pivotAreas count="1">
        <pivotArea type="data" outline="0" collapsedLevelsAreSubtotals="1" fieldPosition="0">
          <references count="1">
            <reference field="4294967294" count="1" selected="0">
              <x v="0"/>
            </reference>
          </references>
        </pivotArea>
      </pivotAreas>
    </conditionalFormat>
    <conditionalFormat priority="10">
      <pivotAreas count="1">
        <pivotArea type="data" collapsedLevelsAreSubtotals="1" fieldPosition="0">
          <references count="2">
            <reference field="4294967294" count="1" selected="0">
              <x v="0"/>
            </reference>
            <reference field="7" count="12">
              <x v="1"/>
              <x v="2"/>
              <x v="3"/>
              <x v="4"/>
              <x v="5"/>
              <x v="6"/>
              <x v="7"/>
              <x v="8"/>
              <x v="9"/>
              <x v="10"/>
              <x v="11"/>
              <x v="12"/>
            </reference>
          </references>
        </pivotArea>
      </pivotAreas>
    </conditionalFormat>
    <conditionalFormat priority="9">
      <pivotAreas count="1">
        <pivotArea type="data" collapsedLevelsAreSubtotals="1" fieldPosition="0">
          <references count="2">
            <reference field="4294967294" count="1" selected="0">
              <x v="0"/>
            </reference>
            <reference field="7" count="12">
              <x v="1"/>
              <x v="2"/>
              <x v="3"/>
              <x v="4"/>
              <x v="5"/>
              <x v="6"/>
              <x v="7"/>
              <x v="8"/>
              <x v="9"/>
              <x v="10"/>
              <x v="11"/>
              <x v="12"/>
            </reference>
          </references>
        </pivotArea>
      </pivotAreas>
    </conditionalFormat>
    <conditionalFormat priority="8">
      <pivotAreas count="1">
        <pivotArea type="data" collapsedLevelsAreSubtotals="1" fieldPosition="0">
          <references count="2">
            <reference field="4294967294" count="1" selected="0">
              <x v="0"/>
            </reference>
            <reference field="7" count="12">
              <x v="1"/>
              <x v="2"/>
              <x v="3"/>
              <x v="4"/>
              <x v="5"/>
              <x v="6"/>
              <x v="7"/>
              <x v="8"/>
              <x v="9"/>
              <x v="10"/>
              <x v="11"/>
              <x v="12"/>
            </reference>
          </references>
        </pivotArea>
      </pivotAreas>
    </conditionalFormat>
  </conditionalFormats>
  <chartFormats count="11">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7" count="1" selected="0">
            <x v="3"/>
          </reference>
        </references>
      </pivotArea>
    </chartFormat>
    <chartFormat chart="1" format="2">
      <pivotArea type="data" outline="0" fieldPosition="0">
        <references count="2">
          <reference field="4294967294" count="1" selected="0">
            <x v="0"/>
          </reference>
          <reference field="7" count="1" selected="0">
            <x v="4"/>
          </reference>
        </references>
      </pivotArea>
    </chartFormat>
    <chartFormat chart="1" format="3">
      <pivotArea type="data" outline="0" fieldPosition="0">
        <references count="2">
          <reference field="4294967294" count="1" selected="0">
            <x v="0"/>
          </reference>
          <reference field="7" count="1" selected="0">
            <x v="5"/>
          </reference>
        </references>
      </pivotArea>
    </chartFormat>
    <chartFormat chart="1" format="4">
      <pivotArea type="data" outline="0" fieldPosition="0">
        <references count="2">
          <reference field="4294967294" count="1" selected="0">
            <x v="0"/>
          </reference>
          <reference field="7" count="1" selected="0">
            <x v="6"/>
          </reference>
        </references>
      </pivotArea>
    </chartFormat>
    <chartFormat chart="1" format="5">
      <pivotArea type="data" outline="0" fieldPosition="0">
        <references count="2">
          <reference field="4294967294" count="1" selected="0">
            <x v="0"/>
          </reference>
          <reference field="7" count="1" selected="0">
            <x v="7"/>
          </reference>
        </references>
      </pivotArea>
    </chartFormat>
    <chartFormat chart="1" format="6">
      <pivotArea type="data" outline="0" fieldPosition="0">
        <references count="2">
          <reference field="4294967294" count="1" selected="0">
            <x v="0"/>
          </reference>
          <reference field="7" count="1" selected="0">
            <x v="8"/>
          </reference>
        </references>
      </pivotArea>
    </chartFormat>
    <chartFormat chart="1" format="7">
      <pivotArea type="data" outline="0" fieldPosition="0">
        <references count="2">
          <reference field="4294967294" count="1" selected="0">
            <x v="0"/>
          </reference>
          <reference field="7" count="1" selected="0">
            <x v="9"/>
          </reference>
        </references>
      </pivotArea>
    </chartFormat>
    <chartFormat chart="1" format="8">
      <pivotArea type="data" outline="0" fieldPosition="0">
        <references count="2">
          <reference field="4294967294" count="1" selected="0">
            <x v="0"/>
          </reference>
          <reference field="7" count="1" selected="0">
            <x v="10"/>
          </reference>
        </references>
      </pivotArea>
    </chartFormat>
    <chartFormat chart="1" format="9">
      <pivotArea type="data" outline="0" fieldPosition="0">
        <references count="2">
          <reference field="4294967294" count="1" selected="0">
            <x v="0"/>
          </reference>
          <reference field="7" count="1" selected="0">
            <x v="11"/>
          </reference>
        </references>
      </pivotArea>
    </chartFormat>
    <chartFormat chart="1" format="10">
      <pivotArea type="data" outline="0" fieldPosition="0">
        <references count="2">
          <reference field="4294967294" count="1" selected="0">
            <x v="0"/>
          </reference>
          <reference field="7"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958D36-7B9C-4EEC-A2F5-69296FA13D4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7" rowHeaderCaption="Product Name">
  <location ref="A2:B13"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axis="axisRow" showAll="0">
      <items count="11">
        <item x="3"/>
        <item x="4"/>
        <item x="8"/>
        <item x="9"/>
        <item x="6"/>
        <item x="1"/>
        <item x="0"/>
        <item x="7"/>
        <item x="5"/>
        <item x="2"/>
        <item t="default"/>
      </items>
    </pivotField>
    <pivotField showAll="0">
      <items count="4">
        <item x="1"/>
        <item x="2"/>
        <item x="0"/>
        <item t="default"/>
      </items>
    </pivotField>
    <pivotField showAll="0"/>
    <pivotField showAll="0"/>
    <pivotField dataField="1" showAll="0"/>
    <pivotField numFmtId="4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11">
    <i>
      <x/>
    </i>
    <i>
      <x v="1"/>
    </i>
    <i>
      <x v="2"/>
    </i>
    <i>
      <x v="3"/>
    </i>
    <i>
      <x v="4"/>
    </i>
    <i>
      <x v="5"/>
    </i>
    <i>
      <x v="6"/>
    </i>
    <i>
      <x v="7"/>
    </i>
    <i>
      <x v="8"/>
    </i>
    <i>
      <x v="9"/>
    </i>
    <i t="grand">
      <x/>
    </i>
  </rowItems>
  <colItems count="1">
    <i/>
  </colItems>
  <dataFields count="1">
    <dataField name="Sum of Sales" fld="5" baseField="0" baseItem="0"/>
  </dataFields>
  <formats count="24">
    <format dxfId="222">
      <pivotArea field="1" type="button" dataOnly="0" labelOnly="1" outline="0" axis="axisRow" fieldPosition="0"/>
    </format>
    <format dxfId="221">
      <pivotArea dataOnly="0" labelOnly="1" outline="0" axis="axisValues" fieldPosition="0"/>
    </format>
    <format dxfId="220">
      <pivotArea dataOnly="0" labelOnly="1" outline="0" axis="axisValues" fieldPosition="0"/>
    </format>
    <format dxfId="219">
      <pivotArea field="1" type="button" dataOnly="0" labelOnly="1" outline="0" axis="axisRow" fieldPosition="0"/>
    </format>
    <format dxfId="218">
      <pivotArea dataOnly="0" labelOnly="1" grandRow="1" outline="0" fieldPosition="0"/>
    </format>
    <format dxfId="217">
      <pivotArea grandRow="1" outline="0" collapsedLevelsAreSubtotals="1" fieldPosition="0"/>
    </format>
    <format dxfId="216">
      <pivotArea grandRow="1" outline="0" collapsedLevelsAreSubtotals="1" fieldPosition="0"/>
    </format>
    <format dxfId="215">
      <pivotArea dataOnly="0" labelOnly="1" grandRow="1" outline="0" fieldPosition="0"/>
    </format>
    <format dxfId="214">
      <pivotArea collapsedLevelsAreSubtotals="1" fieldPosition="0">
        <references count="1">
          <reference field="1" count="0"/>
        </references>
      </pivotArea>
    </format>
    <format dxfId="213">
      <pivotArea dataOnly="0" labelOnly="1" fieldPosition="0">
        <references count="1">
          <reference field="1" count="0"/>
        </references>
      </pivotArea>
    </format>
    <format dxfId="212">
      <pivotArea field="1" type="button" dataOnly="0" labelOnly="1" outline="0" axis="axisRow" fieldPosition="0"/>
    </format>
    <format dxfId="211">
      <pivotArea field="1" type="button" dataOnly="0" labelOnly="1" outline="0" axis="axisRow" fieldPosition="0"/>
    </format>
    <format dxfId="210">
      <pivotArea dataOnly="0" labelOnly="1" outline="0" axis="axisValues" fieldPosition="0"/>
    </format>
    <format dxfId="209">
      <pivotArea dataOnly="0" labelOnly="1" outline="0" axis="axisValues" fieldPosition="0"/>
    </format>
    <format dxfId="208">
      <pivotArea collapsedLevelsAreSubtotals="1" fieldPosition="0">
        <references count="1">
          <reference field="1" count="0"/>
        </references>
      </pivotArea>
    </format>
    <format dxfId="207">
      <pivotArea dataOnly="0" labelOnly="1" fieldPosition="0">
        <references count="1">
          <reference field="1" count="0"/>
        </references>
      </pivotArea>
    </format>
    <format dxfId="206">
      <pivotArea collapsedLevelsAreSubtotals="1" fieldPosition="0">
        <references count="1">
          <reference field="1" count="0"/>
        </references>
      </pivotArea>
    </format>
    <format dxfId="205">
      <pivotArea dataOnly="0" labelOnly="1" fieldPosition="0">
        <references count="1">
          <reference field="1" count="0"/>
        </references>
      </pivotArea>
    </format>
    <format dxfId="204">
      <pivotArea type="all" dataOnly="0" outline="0" fieldPosition="0"/>
    </format>
    <format dxfId="203">
      <pivotArea outline="0" collapsedLevelsAreSubtotals="1" fieldPosition="0"/>
    </format>
    <format dxfId="202">
      <pivotArea field="1" type="button" dataOnly="0" labelOnly="1" outline="0" axis="axisRow" fieldPosition="0"/>
    </format>
    <format dxfId="201">
      <pivotArea dataOnly="0" labelOnly="1" fieldPosition="0">
        <references count="1">
          <reference field="1" count="0"/>
        </references>
      </pivotArea>
    </format>
    <format dxfId="200">
      <pivotArea dataOnly="0" labelOnly="1" grandRow="1" outline="0" fieldPosition="0"/>
    </format>
    <format dxfId="199">
      <pivotArea dataOnly="0" labelOnly="1" outline="0" axis="axisValues" fieldPosition="0"/>
    </format>
  </formats>
  <conditionalFormats count="1">
    <conditionalFormat priority="4">
      <pivotAreas count="1">
        <pivotArea type="data" collapsedLevelsAreSubtotals="1" fieldPosition="0">
          <references count="2">
            <reference field="4294967294" count="1" selected="0">
              <x v="0"/>
            </reference>
            <reference field="1" count="10">
              <x v="0"/>
              <x v="1"/>
              <x v="2"/>
              <x v="3"/>
              <x v="4"/>
              <x v="5"/>
              <x v="6"/>
              <x v="7"/>
              <x v="8"/>
              <x v="9"/>
            </reference>
          </references>
        </pivotArea>
      </pivotAreas>
    </conditionalFormat>
  </conditionalFormats>
  <chartFormats count="1">
    <chartFormat chart="5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9AE66A-C405-4ABD-94F3-7E2EDD60DCC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ategory">
  <location ref="A24:B28"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axis="axisRow" showAll="0">
      <items count="4">
        <item x="1"/>
        <item x="2"/>
        <item x="0"/>
        <item t="default"/>
      </items>
    </pivotField>
    <pivotField showAll="0">
      <items count="5">
        <item x="1"/>
        <item x="0"/>
        <item x="2"/>
        <item x="3"/>
        <item t="default"/>
      </items>
    </pivotField>
    <pivotField showAll="0"/>
    <pivotField dataField="1" showAll="0"/>
    <pivotField numFmtId="4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4">
    <i>
      <x/>
    </i>
    <i>
      <x v="1"/>
    </i>
    <i>
      <x v="2"/>
    </i>
    <i t="grand">
      <x/>
    </i>
  </rowItems>
  <colItems count="1">
    <i/>
  </colItems>
  <dataFields count="1">
    <dataField name="Sum of Sales" fld="5" baseField="0" baseItem="0"/>
  </dataFields>
  <formats count="34">
    <format dxfId="256">
      <pivotArea field="3" type="button" dataOnly="0" labelOnly="1" outline="0"/>
    </format>
    <format dxfId="255">
      <pivotArea dataOnly="0" labelOnly="1" outline="0" axis="axisValues" fieldPosition="0"/>
    </format>
    <format dxfId="254">
      <pivotArea dataOnly="0" labelOnly="1" outline="0" axis="axisValues" fieldPosition="0"/>
    </format>
    <format dxfId="253">
      <pivotArea field="3" type="button" dataOnly="0" labelOnly="1" outline="0"/>
    </format>
    <format dxfId="252">
      <pivotArea field="3" type="button" dataOnly="0" labelOnly="1" outline="0"/>
    </format>
    <format dxfId="251">
      <pivotArea field="3" type="button" dataOnly="0" labelOnly="1" outline="0"/>
    </format>
    <format dxfId="250">
      <pivotArea field="3" type="button" dataOnly="0" labelOnly="1" outline="0"/>
    </format>
    <format dxfId="249">
      <pivotArea dataOnly="0" labelOnly="1" outline="0" axis="axisValues" fieldPosition="0"/>
    </format>
    <format dxfId="248">
      <pivotArea dataOnly="0" labelOnly="1" grandRow="1" outline="0" fieldPosition="0"/>
    </format>
    <format dxfId="247">
      <pivotArea grandRow="1" outline="0" collapsedLevelsAreSubtotals="1" fieldPosition="0"/>
    </format>
    <format dxfId="246">
      <pivotArea grandRow="1" outline="0" collapsedLevelsAreSubtotals="1" fieldPosition="0"/>
    </format>
    <format dxfId="245">
      <pivotArea dataOnly="0" labelOnly="1" grandRow="1" outline="0" fieldPosition="0"/>
    </format>
    <format dxfId="244">
      <pivotArea type="all" dataOnly="0" outline="0" fieldPosition="0"/>
    </format>
    <format dxfId="243">
      <pivotArea outline="0" collapsedLevelsAreSubtotals="1" fieldPosition="0"/>
    </format>
    <format dxfId="242">
      <pivotArea field="2" type="button" dataOnly="0" labelOnly="1" outline="0" axis="axisRow" fieldPosition="0"/>
    </format>
    <format dxfId="241">
      <pivotArea dataOnly="0" labelOnly="1" fieldPosition="0">
        <references count="1">
          <reference field="2" count="0"/>
        </references>
      </pivotArea>
    </format>
    <format dxfId="240">
      <pivotArea dataOnly="0" labelOnly="1" grandRow="1" outline="0" fieldPosition="0"/>
    </format>
    <format dxfId="239">
      <pivotArea dataOnly="0" labelOnly="1" outline="0" axis="axisValues" fieldPosition="0"/>
    </format>
    <format dxfId="238">
      <pivotArea type="all" dataOnly="0" outline="0" fieldPosition="0"/>
    </format>
    <format dxfId="237">
      <pivotArea outline="0" collapsedLevelsAreSubtotals="1" fieldPosition="0"/>
    </format>
    <format dxfId="236">
      <pivotArea field="2" type="button" dataOnly="0" labelOnly="1" outline="0" axis="axisRow" fieldPosition="0"/>
    </format>
    <format dxfId="235">
      <pivotArea dataOnly="0" labelOnly="1" fieldPosition="0">
        <references count="1">
          <reference field="2" count="0"/>
        </references>
      </pivotArea>
    </format>
    <format dxfId="234">
      <pivotArea dataOnly="0" labelOnly="1" grandRow="1" outline="0" fieldPosition="0"/>
    </format>
    <format dxfId="233">
      <pivotArea dataOnly="0" labelOnly="1" outline="0" axis="axisValues" fieldPosition="0"/>
    </format>
    <format dxfId="232">
      <pivotArea field="2" type="button" dataOnly="0" labelOnly="1" outline="0" axis="axisRow" fieldPosition="0"/>
    </format>
    <format dxfId="231">
      <pivotArea field="2" type="button" dataOnly="0" labelOnly="1" outline="0" axis="axisRow" fieldPosition="0"/>
    </format>
    <format dxfId="230">
      <pivotArea type="all" dataOnly="0" outline="0" fieldPosition="0"/>
    </format>
    <format dxfId="229">
      <pivotArea outline="0" collapsedLevelsAreSubtotals="1" fieldPosition="0"/>
    </format>
    <format dxfId="228">
      <pivotArea field="2" type="button" dataOnly="0" labelOnly="1" outline="0" axis="axisRow" fieldPosition="0"/>
    </format>
    <format dxfId="227">
      <pivotArea dataOnly="0" labelOnly="1" fieldPosition="0">
        <references count="1">
          <reference field="2" count="0"/>
        </references>
      </pivotArea>
    </format>
    <format dxfId="226">
      <pivotArea dataOnly="0" labelOnly="1" grandRow="1" outline="0" fieldPosition="0"/>
    </format>
    <format dxfId="225">
      <pivotArea dataOnly="0" labelOnly="1" outline="0" axis="axisValues" fieldPosition="0"/>
    </format>
    <format dxfId="224">
      <pivotArea collapsedLevelsAreSubtotals="1" fieldPosition="0">
        <references count="1">
          <reference field="2" count="0"/>
        </references>
      </pivotArea>
    </format>
    <format dxfId="223">
      <pivotArea dataOnly="0" labelOnly="1" fieldPosition="0">
        <references count="1">
          <reference field="2" count="0"/>
        </references>
      </pivotArea>
    </format>
  </formats>
  <conditionalFormats count="1">
    <conditionalFormat priority="2">
      <pivotAreas count="1">
        <pivotArea type="data" collapsedLevelsAreSubtotals="1" fieldPosition="0">
          <references count="2">
            <reference field="4294967294" count="1" selected="0">
              <x v="0"/>
            </reference>
            <reference field="2" count="3">
              <x v="0"/>
              <x v="1"/>
              <x v="2"/>
            </reference>
          </references>
        </pivotArea>
      </pivotAreas>
    </conditionalFormat>
  </conditionalFormats>
  <chartFormats count="1">
    <chartFormat chart="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23DE57-3CF1-4755-864B-C16EA7DA882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16:B21" firstHeaderRow="1" firstDataRow="1" firstDataCol="1"/>
  <pivotFields count="10">
    <pivotField numFmtId="14" showAll="0">
      <items count="1052">
        <item x="105"/>
        <item x="270"/>
        <item x="198"/>
        <item x="814"/>
        <item x="443"/>
        <item x="1044"/>
        <item x="804"/>
        <item x="449"/>
        <item x="231"/>
        <item x="135"/>
        <item x="182"/>
        <item x="187"/>
        <item x="555"/>
        <item x="7"/>
        <item x="147"/>
        <item x="714"/>
        <item x="47"/>
        <item x="842"/>
        <item x="260"/>
        <item x="761"/>
        <item x="633"/>
        <item x="234"/>
        <item x="150"/>
        <item x="823"/>
        <item x="676"/>
        <item x="833"/>
        <item x="45"/>
        <item x="245"/>
        <item x="196"/>
        <item x="1043"/>
        <item x="429"/>
        <item x="666"/>
        <item x="914"/>
        <item x="106"/>
        <item x="954"/>
        <item x="272"/>
        <item x="736"/>
        <item x="89"/>
        <item x="460"/>
        <item x="667"/>
        <item x="691"/>
        <item x="998"/>
        <item x="516"/>
        <item x="699"/>
        <item x="483"/>
        <item x="93"/>
        <item x="958"/>
        <item x="337"/>
        <item x="273"/>
        <item x="495"/>
        <item x="752"/>
        <item x="484"/>
        <item x="857"/>
        <item x="543"/>
        <item x="680"/>
        <item x="558"/>
        <item x="512"/>
        <item x="799"/>
        <item x="520"/>
        <item x="204"/>
        <item x="969"/>
        <item x="408"/>
        <item x="660"/>
        <item x="1008"/>
        <item x="123"/>
        <item x="402"/>
        <item x="149"/>
        <item x="730"/>
        <item x="655"/>
        <item x="576"/>
        <item x="281"/>
        <item x="532"/>
        <item x="746"/>
        <item x="81"/>
        <item x="1014"/>
        <item x="120"/>
        <item x="310"/>
        <item x="996"/>
        <item x="510"/>
        <item x="1012"/>
        <item x="219"/>
        <item x="627"/>
        <item x="743"/>
        <item x="312"/>
        <item x="540"/>
        <item x="133"/>
        <item x="8"/>
        <item x="384"/>
        <item x="1034"/>
        <item x="911"/>
        <item x="78"/>
        <item x="709"/>
        <item x="183"/>
        <item x="584"/>
        <item x="243"/>
        <item x="721"/>
        <item x="1050"/>
        <item x="110"/>
        <item x="406"/>
        <item x="102"/>
        <item x="812"/>
        <item x="118"/>
        <item x="1035"/>
        <item x="776"/>
        <item x="915"/>
        <item x="802"/>
        <item x="472"/>
        <item x="163"/>
        <item x="803"/>
        <item x="605"/>
        <item x="944"/>
        <item x="503"/>
        <item x="754"/>
        <item x="881"/>
        <item x="658"/>
        <item x="806"/>
        <item x="582"/>
        <item x="114"/>
        <item x="829"/>
        <item x="176"/>
        <item x="255"/>
        <item x="148"/>
        <item x="2"/>
        <item x="381"/>
        <item x="728"/>
        <item x="92"/>
        <item x="16"/>
        <item x="967"/>
        <item x="190"/>
        <item x="531"/>
        <item x="913"/>
        <item x="696"/>
        <item x="414"/>
        <item x="371"/>
        <item x="369"/>
        <item x="82"/>
        <item x="779"/>
        <item x="1018"/>
        <item x="670"/>
        <item x="282"/>
        <item x="56"/>
        <item x="169"/>
        <item x="1041"/>
        <item x="928"/>
        <item x="65"/>
        <item x="824"/>
        <item x="918"/>
        <item x="437"/>
        <item x="935"/>
        <item x="333"/>
        <item x="317"/>
        <item x="42"/>
        <item x="165"/>
        <item x="978"/>
        <item x="355"/>
        <item x="646"/>
        <item x="575"/>
        <item x="467"/>
        <item x="669"/>
        <item x="316"/>
        <item x="206"/>
        <item x="451"/>
        <item x="925"/>
        <item x="753"/>
        <item x="994"/>
        <item x="839"/>
        <item x="1004"/>
        <item x="101"/>
        <item x="777"/>
        <item x="620"/>
        <item x="1021"/>
        <item x="718"/>
        <item x="595"/>
        <item x="1042"/>
        <item x="995"/>
        <item x="509"/>
        <item x="782"/>
        <item x="837"/>
        <item x="331"/>
        <item x="926"/>
        <item x="24"/>
        <item x="637"/>
        <item x="568"/>
        <item x="535"/>
        <item x="679"/>
        <item x="992"/>
        <item x="494"/>
        <item x="683"/>
        <item x="142"/>
        <item x="222"/>
        <item x="1011"/>
        <item x="547"/>
        <item x="155"/>
        <item x="692"/>
        <item x="798"/>
        <item x="879"/>
        <item x="530"/>
        <item x="830"/>
        <item x="1023"/>
        <item x="559"/>
        <item x="794"/>
        <item x="462"/>
        <item x="306"/>
        <item x="382"/>
        <item x="474"/>
        <item x="210"/>
        <item x="87"/>
        <item x="67"/>
        <item x="659"/>
        <item x="358"/>
        <item x="763"/>
        <item x="612"/>
        <item x="783"/>
        <item x="209"/>
        <item x="581"/>
        <item x="201"/>
        <item x="548"/>
        <item x="1031"/>
        <item x="653"/>
        <item x="480"/>
        <item x="688"/>
        <item x="116"/>
        <item x="326"/>
        <item x="1032"/>
        <item x="108"/>
        <item x="286"/>
        <item x="356"/>
        <item x="866"/>
        <item x="905"/>
        <item x="891"/>
        <item x="493"/>
        <item x="1040"/>
        <item x="156"/>
        <item x="851"/>
        <item x="52"/>
        <item x="29"/>
        <item x="1006"/>
        <item x="979"/>
        <item x="566"/>
        <item x="233"/>
        <item x="693"/>
        <item x="4"/>
        <item x="37"/>
        <item x="854"/>
        <item x="922"/>
        <item x="415"/>
        <item x="481"/>
        <item x="615"/>
        <item x="816"/>
        <item x="1026"/>
        <item x="399"/>
        <item x="1048"/>
        <item x="813"/>
        <item x="362"/>
        <item x="482"/>
        <item x="440"/>
        <item x="179"/>
        <item x="60"/>
        <item x="11"/>
        <item x="711"/>
        <item x="464"/>
        <item x="365"/>
        <item x="430"/>
        <item x="186"/>
        <item x="716"/>
        <item x="394"/>
        <item x="323"/>
        <item x="789"/>
        <item x="1038"/>
        <item x="727"/>
        <item x="672"/>
        <item x="645"/>
        <item x="755"/>
        <item x="808"/>
        <item x="375"/>
        <item x="634"/>
        <item x="591"/>
        <item x="15"/>
        <item x="461"/>
        <item x="264"/>
        <item x="834"/>
        <item x="199"/>
        <item x="30"/>
        <item x="418"/>
        <item x="139"/>
        <item x="781"/>
        <item x="757"/>
        <item x="931"/>
        <item x="930"/>
        <item x="934"/>
        <item x="952"/>
        <item x="822"/>
        <item x="266"/>
        <item x="506"/>
        <item x="592"/>
        <item x="236"/>
        <item x="254"/>
        <item x="861"/>
        <item x="785"/>
        <item x="256"/>
        <item x="1033"/>
        <item x="987"/>
        <item x="771"/>
        <item x="455"/>
        <item x="900"/>
        <item x="514"/>
        <item x="137"/>
        <item x="872"/>
        <item x="724"/>
        <item x="54"/>
        <item x="417"/>
        <item x="511"/>
        <item x="454"/>
        <item x="853"/>
        <item x="601"/>
        <item x="457"/>
        <item x="167"/>
        <item x="788"/>
        <item x="818"/>
        <item x="1"/>
        <item x="380"/>
        <item x="1017"/>
        <item x="860"/>
        <item x="906"/>
        <item x="899"/>
        <item x="553"/>
        <item x="41"/>
        <item x="86"/>
        <item x="521"/>
        <item x="847"/>
        <item x="178"/>
        <item x="677"/>
        <item x="901"/>
        <item x="815"/>
        <item x="36"/>
        <item x="91"/>
        <item x="787"/>
        <item x="1047"/>
        <item x="527"/>
        <item x="675"/>
        <item x="768"/>
        <item x="917"/>
        <item x="981"/>
        <item x="733"/>
        <item x="717"/>
        <item x="997"/>
        <item x="793"/>
        <item x="570"/>
        <item x="289"/>
        <item x="439"/>
        <item x="597"/>
        <item x="287"/>
        <item x="403"/>
        <item x="313"/>
        <item x="622"/>
        <item x="564"/>
        <item x="980"/>
        <item x="875"/>
        <item x="519"/>
        <item x="747"/>
        <item x="690"/>
        <item x="188"/>
        <item x="537"/>
        <item x="351"/>
        <item x="197"/>
        <item x="616"/>
        <item x="485"/>
        <item x="945"/>
        <item x="283"/>
        <item x="386"/>
        <item x="961"/>
        <item x="1013"/>
        <item x="304"/>
        <item x="357"/>
        <item x="744"/>
        <item x="955"/>
        <item x="297"/>
        <item x="350"/>
        <item x="760"/>
        <item x="438"/>
        <item x="894"/>
        <item x="171"/>
        <item x="73"/>
        <item x="374"/>
        <item x="268"/>
        <item x="968"/>
        <item x="43"/>
        <item x="762"/>
        <item x="33"/>
        <item x="929"/>
        <item x="977"/>
        <item x="291"/>
        <item x="17"/>
        <item x="1030"/>
        <item x="694"/>
        <item x="835"/>
        <item x="831"/>
        <item x="390"/>
        <item x="195"/>
        <item x="817"/>
        <item x="507"/>
        <item x="801"/>
        <item x="1024"/>
        <item x="626"/>
        <item x="144"/>
        <item x="848"/>
        <item x="140"/>
        <item x="946"/>
        <item x="993"/>
        <item x="125"/>
        <item x="885"/>
        <item x="267"/>
        <item x="956"/>
        <item x="617"/>
        <item x="536"/>
        <item x="401"/>
        <item x="971"/>
        <item x="1007"/>
        <item x="563"/>
        <item x="604"/>
        <item x="322"/>
        <item x="420"/>
        <item x="107"/>
        <item x="745"/>
        <item x="867"/>
        <item x="278"/>
        <item x="26"/>
        <item x="569"/>
        <item x="904"/>
        <item x="88"/>
        <item x="565"/>
        <item x="580"/>
        <item x="650"/>
        <item x="1002"/>
        <item x="99"/>
        <item x="470"/>
        <item x="46"/>
        <item x="367"/>
        <item x="524"/>
        <item x="90"/>
        <item x="610"/>
        <item x="897"/>
        <item x="246"/>
        <item x="98"/>
        <item x="529"/>
        <item x="984"/>
        <item x="32"/>
        <item x="434"/>
        <item x="832"/>
        <item x="213"/>
        <item x="129"/>
        <item x="269"/>
        <item x="498"/>
        <item x="560"/>
        <item x="35"/>
        <item x="704"/>
        <item x="157"/>
        <item x="364"/>
        <item x="986"/>
        <item x="590"/>
        <item x="1009"/>
        <item x="526"/>
        <item x="621"/>
        <item x="185"/>
        <item x="869"/>
        <item x="964"/>
        <item x="121"/>
        <item x="550"/>
        <item x="772"/>
        <item x="318"/>
        <item x="34"/>
        <item x="345"/>
        <item x="441"/>
        <item x="344"/>
        <item x="194"/>
        <item x="175"/>
        <item x="253"/>
        <item x="742"/>
        <item x="193"/>
        <item x="920"/>
        <item x="654"/>
        <item x="332"/>
        <item x="663"/>
        <item x="97"/>
        <item x="698"/>
        <item x="130"/>
        <item x="508"/>
        <item x="722"/>
        <item x="608"/>
        <item x="632"/>
        <item x="947"/>
        <item x="40"/>
        <item x="251"/>
        <item x="748"/>
        <item x="377"/>
        <item x="985"/>
        <item x="70"/>
        <item x="473"/>
        <item x="642"/>
        <item x="937"/>
        <item x="388"/>
        <item x="844"/>
        <item x="68"/>
        <item x="606"/>
        <item x="682"/>
        <item x="636"/>
        <item x="174"/>
        <item x="223"/>
        <item x="810"/>
        <item x="347"/>
        <item x="242"/>
        <item x="1010"/>
        <item x="656"/>
        <item x="427"/>
        <item x="522"/>
        <item x="664"/>
        <item x="657"/>
        <item x="296"/>
        <item x="623"/>
        <item x="882"/>
        <item x="96"/>
        <item x="22"/>
        <item x="334"/>
        <item x="128"/>
        <item x="360"/>
        <item x="308"/>
        <item x="336"/>
        <item x="907"/>
        <item x="237"/>
        <item x="738"/>
        <item x="573"/>
        <item x="459"/>
        <item x="596"/>
        <item x="749"/>
        <item x="398"/>
        <item x="865"/>
        <item x="442"/>
        <item x="63"/>
        <item x="160"/>
        <item x="940"/>
        <item x="466"/>
        <item x="21"/>
        <item x="431"/>
        <item x="50"/>
        <item x="154"/>
        <item x="843"/>
        <item x="476"/>
        <item x="684"/>
        <item x="349"/>
        <item x="214"/>
        <item x="346"/>
        <item x="846"/>
        <item x="587"/>
        <item x="924"/>
        <item x="713"/>
        <item x="598"/>
        <item x="786"/>
        <item x="871"/>
        <item x="275"/>
        <item x="613"/>
        <item x="665"/>
        <item x="225"/>
        <item x="259"/>
        <item x="479"/>
        <item x="966"/>
        <item x="138"/>
        <item x="212"/>
        <item x="162"/>
        <item x="939"/>
        <item x="625"/>
        <item x="173"/>
        <item x="191"/>
        <item x="641"/>
        <item x="372"/>
        <item x="500"/>
        <item x="445"/>
        <item x="858"/>
        <item x="635"/>
        <item x="354"/>
        <item x="1039"/>
        <item x="409"/>
        <item x="1022"/>
        <item x="556"/>
        <item x="614"/>
        <item x="579"/>
        <item x="300"/>
        <item x="647"/>
        <item x="339"/>
        <item x="1028"/>
        <item x="284"/>
        <item x="192"/>
        <item x="912"/>
        <item x="735"/>
        <item x="593"/>
        <item x="513"/>
        <item x="250"/>
        <item x="280"/>
        <item x="496"/>
        <item x="124"/>
        <item x="991"/>
        <item x="652"/>
        <item x="796"/>
        <item x="910"/>
        <item x="39"/>
        <item x="630"/>
        <item x="247"/>
        <item x="276"/>
        <item x="425"/>
        <item x="889"/>
        <item x="673"/>
        <item x="850"/>
        <item x="279"/>
        <item x="338"/>
        <item x="487"/>
        <item x="368"/>
        <item x="855"/>
        <item x="707"/>
        <item x="19"/>
        <item x="1049"/>
        <item x="370"/>
        <item x="6"/>
        <item x="14"/>
        <item x="893"/>
        <item x="305"/>
        <item x="533"/>
        <item x="662"/>
        <item x="499"/>
        <item x="868"/>
        <item x="391"/>
        <item x="586"/>
        <item x="668"/>
        <item x="85"/>
        <item x="708"/>
        <item x="320"/>
        <item x="126"/>
        <item x="809"/>
        <item x="845"/>
        <item x="435"/>
        <item x="780"/>
        <item x="115"/>
        <item x="95"/>
        <item x="285"/>
        <item x="949"/>
        <item x="307"/>
        <item x="609"/>
        <item x="572"/>
        <item x="577"/>
        <item x="972"/>
        <item x="826"/>
        <item x="695"/>
        <item x="396"/>
        <item x="734"/>
        <item x="477"/>
        <item x="23"/>
        <item x="411"/>
        <item x="886"/>
        <item x="974"/>
        <item x="319"/>
        <item x="249"/>
        <item x="359"/>
        <item x="159"/>
        <item x="523"/>
        <item x="424"/>
        <item x="962"/>
        <item x="661"/>
        <item x="574"/>
        <item x="973"/>
        <item x="412"/>
        <item x="687"/>
        <item x="639"/>
        <item x="554"/>
        <item x="5"/>
        <item x="938"/>
        <item x="963"/>
        <item x="10"/>
        <item x="64"/>
        <item x="216"/>
        <item x="863"/>
        <item x="856"/>
        <item x="644"/>
        <item x="103"/>
        <item x="25"/>
        <item x="706"/>
        <item x="841"/>
        <item x="1020"/>
        <item x="228"/>
        <item x="309"/>
        <item x="232"/>
        <item x="700"/>
        <item x="453"/>
        <item x="119"/>
        <item x="12"/>
        <item x="488"/>
        <item x="161"/>
        <item x="132"/>
        <item x="262"/>
        <item x="18"/>
        <item x="55"/>
        <item x="379"/>
        <item x="80"/>
        <item x="383"/>
        <item x="215"/>
        <item x="240"/>
        <item x="456"/>
        <item x="990"/>
        <item x="638"/>
        <item x="790"/>
        <item x="737"/>
        <item x="288"/>
        <item x="77"/>
        <item x="433"/>
        <item x="953"/>
        <item x="1027"/>
        <item x="791"/>
        <item x="1029"/>
        <item x="864"/>
        <item x="750"/>
        <item x="607"/>
        <item x="927"/>
        <item x="385"/>
        <item x="44"/>
        <item x="184"/>
        <item x="31"/>
        <item x="203"/>
        <item x="450"/>
        <item x="238"/>
        <item x="611"/>
        <item x="739"/>
        <item x="551"/>
        <item x="778"/>
        <item x="475"/>
        <item x="76"/>
        <item x="69"/>
        <item x="542"/>
        <item x="13"/>
        <item x="649"/>
        <item x="805"/>
        <item x="895"/>
        <item x="725"/>
        <item x="741"/>
        <item x="703"/>
        <item x="392"/>
        <item x="490"/>
        <item x="1000"/>
        <item x="792"/>
        <item x="921"/>
        <item x="959"/>
        <item x="298"/>
        <item x="226"/>
        <item x="674"/>
        <item x="205"/>
        <item x="819"/>
        <item x="932"/>
        <item x="838"/>
        <item x="720"/>
        <item x="400"/>
        <item x="999"/>
        <item x="1045"/>
        <item x="970"/>
        <item x="544"/>
        <item x="458"/>
        <item x="578"/>
        <item x="293"/>
        <item x="117"/>
        <item x="20"/>
        <item x="489"/>
        <item x="588"/>
        <item x="729"/>
        <item x="811"/>
        <item x="951"/>
        <item x="919"/>
        <item x="416"/>
        <item x="732"/>
        <item x="685"/>
        <item x="878"/>
        <item x="3"/>
        <item x="515"/>
        <item x="740"/>
        <item x="541"/>
        <item x="726"/>
        <item x="122"/>
        <item x="628"/>
        <item x="153"/>
        <item x="170"/>
        <item x="38"/>
        <item x="594"/>
        <item x="181"/>
        <item x="301"/>
        <item x="376"/>
        <item x="330"/>
        <item x="491"/>
        <item x="840"/>
        <item x="758"/>
        <item x="75"/>
        <item x="552"/>
        <item x="263"/>
        <item x="497"/>
        <item x="549"/>
        <item x="335"/>
        <item x="896"/>
        <item x="294"/>
        <item x="631"/>
        <item x="290"/>
        <item x="404"/>
        <item x="397"/>
        <item x="57"/>
        <item x="705"/>
        <item x="471"/>
        <item x="341"/>
        <item x="265"/>
        <item x="127"/>
        <item x="800"/>
        <item x="134"/>
        <item x="702"/>
        <item x="395"/>
        <item x="448"/>
        <item x="74"/>
        <item x="423"/>
        <item x="261"/>
        <item x="957"/>
        <item x="348"/>
        <item x="51"/>
        <item x="28"/>
        <item x="387"/>
        <item x="274"/>
        <item x="517"/>
        <item x="111"/>
        <item x="321"/>
        <item x="870"/>
        <item x="239"/>
        <item x="446"/>
        <item x="468"/>
        <item x="146"/>
        <item x="405"/>
        <item x="948"/>
        <item x="432"/>
        <item x="463"/>
        <item x="849"/>
        <item x="229"/>
        <item x="765"/>
        <item x="79"/>
        <item x="324"/>
        <item x="342"/>
        <item x="538"/>
        <item x="603"/>
        <item x="828"/>
        <item x="1005"/>
        <item x="410"/>
        <item x="678"/>
        <item x="1001"/>
        <item x="59"/>
        <item x="202"/>
        <item x="712"/>
        <item x="230"/>
        <item x="151"/>
        <item x="648"/>
        <item x="567"/>
        <item x="83"/>
        <item x="428"/>
        <item x="525"/>
        <item x="585"/>
        <item x="651"/>
        <item x="71"/>
        <item x="689"/>
        <item x="821"/>
        <item x="373"/>
        <item x="113"/>
        <item x="534"/>
        <item x="295"/>
        <item x="936"/>
        <item x="172"/>
        <item x="887"/>
        <item x="759"/>
        <item x="697"/>
        <item x="168"/>
        <item x="136"/>
        <item x="561"/>
        <item x="827"/>
        <item x="766"/>
        <item x="562"/>
        <item x="528"/>
        <item x="983"/>
        <item x="109"/>
        <item x="1015"/>
        <item x="53"/>
        <item x="180"/>
        <item x="325"/>
        <item x="681"/>
        <item x="164"/>
        <item x="340"/>
        <item x="903"/>
        <item x="909"/>
        <item x="426"/>
        <item x="361"/>
        <item x="292"/>
        <item x="241"/>
        <item x="1036"/>
        <item x="950"/>
        <item x="825"/>
        <item x="751"/>
        <item x="619"/>
        <item x="501"/>
        <item x="624"/>
        <item x="311"/>
        <item x="600"/>
        <item x="539"/>
        <item x="363"/>
        <item x="452"/>
        <item x="923"/>
        <item x="444"/>
        <item x="218"/>
        <item x="965"/>
        <item x="933"/>
        <item x="852"/>
        <item x="145"/>
        <item x="27"/>
        <item x="518"/>
        <item x="884"/>
        <item x="72"/>
        <item x="504"/>
        <item x="797"/>
        <item x="571"/>
        <item x="1025"/>
        <item x="315"/>
        <item x="671"/>
        <item x="200"/>
        <item x="589"/>
        <item x="770"/>
        <item x="715"/>
        <item x="873"/>
        <item x="94"/>
        <item x="248"/>
        <item x="208"/>
        <item x="557"/>
        <item x="207"/>
        <item x="465"/>
        <item x="235"/>
        <item x="640"/>
        <item x="942"/>
        <item x="189"/>
        <item x="303"/>
        <item x="299"/>
        <item x="112"/>
        <item x="393"/>
        <item x="602"/>
        <item x="277"/>
        <item x="767"/>
        <item x="389"/>
        <item x="545"/>
        <item x="314"/>
        <item x="49"/>
        <item x="775"/>
        <item x="769"/>
        <item x="807"/>
        <item x="104"/>
        <item x="902"/>
        <item x="407"/>
        <item x="469"/>
        <item x="352"/>
        <item x="505"/>
        <item x="158"/>
        <item x="58"/>
        <item x="244"/>
        <item x="710"/>
        <item x="141"/>
        <item x="883"/>
        <item x="220"/>
        <item x="258"/>
        <item x="943"/>
        <item x="62"/>
        <item x="152"/>
        <item x="328"/>
        <item x="100"/>
        <item x="224"/>
        <item x="859"/>
        <item x="478"/>
        <item x="898"/>
        <item x="892"/>
        <item x="941"/>
        <item x="975"/>
        <item x="836"/>
        <item x="257"/>
        <item x="9"/>
        <item x="784"/>
        <item x="908"/>
        <item x="876"/>
        <item x="756"/>
        <item x="217"/>
        <item x="166"/>
        <item x="774"/>
        <item x="421"/>
        <item x="502"/>
        <item x="252"/>
        <item x="795"/>
        <item x="327"/>
        <item x="143"/>
        <item x="1046"/>
        <item x="177"/>
        <item x="447"/>
        <item x="329"/>
        <item x="719"/>
        <item x="599"/>
        <item x="916"/>
        <item x="880"/>
        <item x="583"/>
        <item x="131"/>
        <item x="419"/>
        <item x="686"/>
        <item x="723"/>
        <item x="422"/>
        <item x="211"/>
        <item x="546"/>
        <item x="988"/>
        <item x="862"/>
        <item x="1016"/>
        <item x="890"/>
        <item x="48"/>
        <item x="492"/>
        <item x="271"/>
        <item x="960"/>
        <item x="1037"/>
        <item x="84"/>
        <item x="976"/>
        <item x="353"/>
        <item x="436"/>
        <item x="227"/>
        <item x="486"/>
        <item x="820"/>
        <item x="982"/>
        <item x="629"/>
        <item x="989"/>
        <item x="731"/>
        <item x="1019"/>
        <item x="764"/>
        <item x="1003"/>
        <item x="701"/>
        <item x="877"/>
        <item x="61"/>
        <item x="643"/>
        <item x="221"/>
        <item x="888"/>
        <item x="378"/>
        <item x="302"/>
        <item x="413"/>
        <item x="366"/>
        <item x="618"/>
        <item x="874"/>
        <item x="66"/>
        <item x="343"/>
        <item x="773"/>
        <item x="0"/>
        <item t="default"/>
      </items>
    </pivotField>
    <pivotField showAll="0"/>
    <pivotField showAll="0">
      <items count="4">
        <item x="1"/>
        <item x="2"/>
        <item x="0"/>
        <item t="default"/>
      </items>
    </pivotField>
    <pivotField axis="axisRow" showAll="0">
      <items count="5">
        <item x="1"/>
        <item x="0"/>
        <item x="2"/>
        <item x="3"/>
        <item t="default"/>
      </items>
    </pivotField>
    <pivotField showAll="0"/>
    <pivotField dataField="1" showAll="0"/>
    <pivotField numFmtId="4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Sum of Sales" fld="5" baseField="0" baseItem="0"/>
  </dataFields>
  <formats count="31">
    <format dxfId="287">
      <pivotArea field="2" type="button" dataOnly="0" labelOnly="1" outline="0"/>
    </format>
    <format dxfId="286">
      <pivotArea dataOnly="0" labelOnly="1" outline="0" axis="axisValues" fieldPosition="0"/>
    </format>
    <format dxfId="285">
      <pivotArea outline="0" collapsedLevelsAreSubtotals="1" fieldPosition="0"/>
    </format>
    <format dxfId="284">
      <pivotArea dataOnly="0" labelOnly="1" grandRow="1" outline="0" fieldPosition="0"/>
    </format>
    <format dxfId="283">
      <pivotArea outline="0" collapsedLevelsAreSubtotals="1" fieldPosition="0"/>
    </format>
    <format dxfId="282">
      <pivotArea dataOnly="0" labelOnly="1" grandRow="1" outline="0" fieldPosition="0"/>
    </format>
    <format dxfId="281">
      <pivotArea outline="0" collapsedLevelsAreSubtotals="1" fieldPosition="0"/>
    </format>
    <format dxfId="280">
      <pivotArea dataOnly="0" labelOnly="1" grandRow="1" outline="0" fieldPosition="0"/>
    </format>
    <format dxfId="279">
      <pivotArea field="2" type="button" dataOnly="0" labelOnly="1" outline="0"/>
    </format>
    <format dxfId="278">
      <pivotArea dataOnly="0" labelOnly="1" outline="0" axis="axisValues" fieldPosition="0"/>
    </format>
    <format dxfId="277">
      <pivotArea field="2" type="button" dataOnly="0" labelOnly="1" outline="0"/>
    </format>
    <format dxfId="276">
      <pivotArea dataOnly="0" labelOnly="1" outline="0" axis="axisValues" fieldPosition="0"/>
    </format>
    <format dxfId="275">
      <pivotArea outline="0" collapsedLevelsAreSubtotals="1" fieldPosition="0"/>
    </format>
    <format dxfId="274">
      <pivotArea field="2" type="button" dataOnly="0" labelOnly="1" outline="0"/>
    </format>
    <format dxfId="273">
      <pivotArea dataOnly="0" labelOnly="1" outline="0" axis="axisValues" fieldPosition="0"/>
    </format>
    <format dxfId="272">
      <pivotArea outline="0" collapsedLevelsAreSubtotals="1" fieldPosition="0"/>
    </format>
    <format dxfId="271">
      <pivotArea grandRow="1" outline="0" collapsedLevelsAreSubtotals="1" fieldPosition="0"/>
    </format>
    <format dxfId="270">
      <pivotArea dataOnly="0" labelOnly="1" grandRow="1" outline="0" fieldPosition="0"/>
    </format>
    <format dxfId="269">
      <pivotArea field="3" type="button" dataOnly="0" labelOnly="1" outline="0" axis="axisRow" fieldPosition="0"/>
    </format>
    <format dxfId="268">
      <pivotArea field="3" type="button" dataOnly="0" labelOnly="1" outline="0" axis="axisRow" fieldPosition="0"/>
    </format>
    <format dxfId="267">
      <pivotArea field="3" type="button" dataOnly="0" labelOnly="1" outline="0" axis="axisRow" fieldPosition="0"/>
    </format>
    <format dxfId="266">
      <pivotArea field="3" type="button" dataOnly="0" labelOnly="1" outline="0" axis="axisRow" fieldPosition="0"/>
    </format>
    <format dxfId="265">
      <pivotArea type="all" dataOnly="0" outline="0" fieldPosition="0"/>
    </format>
    <format dxfId="264">
      <pivotArea outline="0" collapsedLevelsAreSubtotals="1" fieldPosition="0"/>
    </format>
    <format dxfId="263">
      <pivotArea field="3" type="button" dataOnly="0" labelOnly="1" outline="0" axis="axisRow" fieldPosition="0"/>
    </format>
    <format dxfId="262">
      <pivotArea dataOnly="0" labelOnly="1" fieldPosition="0">
        <references count="1">
          <reference field="3" count="0"/>
        </references>
      </pivotArea>
    </format>
    <format dxfId="261">
      <pivotArea dataOnly="0" labelOnly="1" grandRow="1" outline="0" fieldPosition="0"/>
    </format>
    <format dxfId="260">
      <pivotArea dataOnly="0" labelOnly="1" outline="0" axis="axisValues" fieldPosition="0"/>
    </format>
    <format dxfId="259">
      <pivotArea dataOnly="0" labelOnly="1" fieldPosition="0">
        <references count="1">
          <reference field="3" count="0"/>
        </references>
      </pivotArea>
    </format>
    <format dxfId="258">
      <pivotArea collapsedLevelsAreSubtotals="1" fieldPosition="0">
        <references count="1">
          <reference field="3" count="0"/>
        </references>
      </pivotArea>
    </format>
    <format dxfId="257">
      <pivotArea dataOnly="0" labelOnly="1" fieldPosition="0">
        <references count="1">
          <reference field="3" count="0"/>
        </references>
      </pivotArea>
    </format>
  </formats>
  <conditionalFormats count="1">
    <conditionalFormat priority="3">
      <pivotAreas count="1">
        <pivotArea type="data" collapsedLevelsAreSubtotals="1" fieldPosition="0">
          <references count="2">
            <reference field="4294967294" count="1" selected="0">
              <x v="0"/>
            </reference>
            <reference field="3" count="4">
              <x v="0"/>
              <x v="1"/>
              <x v="2"/>
              <x v="3"/>
            </reference>
          </references>
        </pivotArea>
      </pivotAreas>
    </conditionalFormat>
  </conditionalFormats>
  <chartFormats count="5">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0"/>
          </reference>
        </references>
      </pivotArea>
    </chartFormat>
    <chartFormat chart="1" format="3">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2"/>
          </reference>
        </references>
      </pivotArea>
    </chartFormat>
    <chartFormat chart="1" format="5">
      <pivotArea type="data" outline="0" fieldPosition="0">
        <references count="2">
          <reference field="4294967294" count="1" selected="0">
            <x v="0"/>
          </reference>
          <reference field="3" count="1" selected="0">
            <x v="3"/>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1071DA-21F3-4848-8458-1479B1584235}" autoFormatId="16" applyNumberFormats="0" applyBorderFormats="0" applyFontFormats="0" applyPatternFormats="0" applyAlignmentFormats="0" applyWidthHeightFormats="0">
  <queryTableRefresh nextId="8">
    <queryTableFields count="7">
      <queryTableField id="1" name="Order Date" tableColumnId="1"/>
      <queryTableField id="2" name="Product Name" tableColumnId="2"/>
      <queryTableField id="3" name="Category" tableColumnId="3"/>
      <queryTableField id="4" name="Region" tableColumnId="4"/>
      <queryTableField id="5" name="Quantity" tableColumnId="5"/>
      <queryTableField id="6" name="Sales" tableColumnId="6"/>
      <queryTableField id="7" name="Profit"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553DBD00-B364-4BED-AD3E-0E968F6E8BAF}" sourceName="Quarters (Order Date)">
  <pivotTables>
    <pivotTable tabId="3" name="PivotTable6"/>
    <pivotTable tabId="3" name="PivotTable4"/>
    <pivotTable tabId="3" name="PivotTable5"/>
  </pivotTables>
  <data>
    <tabular pivotCacheId="2144138892">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Quarters (Order Date)" xr10:uid="{77F70918-16B0-4FDC-87DE-E527CA3403A4}" cache="Slicer_Quarters__Order_Date" caption="Quarters (Order Date)" style="SlicerStyleLight4" rowHeight="43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6DEFFA-2A38-4042-AC6A-7F2C19E72A68}" name="ecommerce_sales_data__2" displayName="ecommerce_sales_data__2" ref="A1:G3501" tableType="queryTable" totalsRowShown="0" dataDxfId="295">
  <autoFilter ref="A1:G3501" xr:uid="{546DEFFA-2A38-4042-AC6A-7F2C19E72A68}"/>
  <tableColumns count="7">
    <tableColumn id="1" xr3:uid="{CCCE6F10-8E1A-40B3-BA23-D52EAF68B96B}" uniqueName="1" name="Order Date" queryTableFieldId="1" dataDxfId="294"/>
    <tableColumn id="2" xr3:uid="{0FFB9B57-111E-46E9-B9A3-9C6AE01E8DF1}" uniqueName="2" name="Product Name" queryTableFieldId="2" dataDxfId="293"/>
    <tableColumn id="3" xr3:uid="{21EA0132-FDD1-4999-BB99-131E6A3EB729}" uniqueName="3" name="Category" queryTableFieldId="3" dataDxfId="292"/>
    <tableColumn id="4" xr3:uid="{40DA1962-1C75-4A7A-B9BC-B9DB434D34DE}" uniqueName="4" name="Region" queryTableFieldId="4" dataDxfId="291"/>
    <tableColumn id="5" xr3:uid="{E32791CE-037E-4600-9386-FF971BF4B524}" uniqueName="5" name="Quantity" queryTableFieldId="5" dataDxfId="290"/>
    <tableColumn id="6" xr3:uid="{DFE2E950-BB6E-409F-8EF3-8DC25C6A0E62}" uniqueName="6" name="Sales" queryTableFieldId="6" dataDxfId="289"/>
    <tableColumn id="7" xr3:uid="{9F149678-4B6D-4255-9983-13D0B9D31D43}" uniqueName="7" name="Profit" queryTableFieldId="7" dataDxfId="28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5" Type="http://schemas.microsoft.com/office/2007/relationships/slicer" Target="../slicers/slicer1.x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FA5E4-3D09-464A-9401-B7F25FDB4662}">
  <dimension ref="A1:M3501"/>
  <sheetViews>
    <sheetView topLeftCell="D22" workbookViewId="0">
      <selection activeCell="I30" sqref="I30"/>
    </sheetView>
  </sheetViews>
  <sheetFormatPr defaultRowHeight="14.4" x14ac:dyDescent="0.3"/>
  <cols>
    <col min="1" max="1" width="14.109375" customWidth="1"/>
    <col min="2" max="2" width="17.109375" customWidth="1"/>
    <col min="3" max="3" width="16" customWidth="1"/>
    <col min="4" max="4" width="12.21875" customWidth="1"/>
    <col min="5" max="5" width="10.33203125" bestFit="1" customWidth="1"/>
    <col min="6" max="6" width="12.21875" customWidth="1"/>
    <col min="7" max="7" width="16.21875" customWidth="1"/>
    <col min="9" max="9" width="21.5546875" customWidth="1"/>
    <col min="10" max="10" width="11.88671875" customWidth="1"/>
    <col min="11" max="11" width="23.77734375" customWidth="1"/>
    <col min="12" max="12" width="23.109375" customWidth="1"/>
    <col min="13" max="13" width="20.44140625" customWidth="1"/>
    <col min="14" max="14" width="11.5546875" bestFit="1" customWidth="1"/>
    <col min="15" max="15" width="14.6640625" customWidth="1"/>
  </cols>
  <sheetData>
    <row r="1" spans="1:13" ht="15.6" x14ac:dyDescent="0.3">
      <c r="A1" t="s">
        <v>0</v>
      </c>
      <c r="B1" t="s">
        <v>1</v>
      </c>
      <c r="C1" t="s">
        <v>2</v>
      </c>
      <c r="D1" t="s">
        <v>3</v>
      </c>
      <c r="E1" t="s">
        <v>4</v>
      </c>
      <c r="F1" t="s">
        <v>5</v>
      </c>
      <c r="G1" s="1" t="s">
        <v>6</v>
      </c>
      <c r="L1" s="3" t="s">
        <v>25</v>
      </c>
      <c r="M1" s="4" t="s">
        <v>26</v>
      </c>
    </row>
    <row r="2" spans="1:13" ht="15.6" x14ac:dyDescent="0.3">
      <c r="A2" s="16">
        <v>45657</v>
      </c>
      <c r="B2" s="10" t="s">
        <v>7</v>
      </c>
      <c r="C2" s="10" t="s">
        <v>8</v>
      </c>
      <c r="D2" s="10" t="s">
        <v>9</v>
      </c>
      <c r="E2" s="4">
        <v>4</v>
      </c>
      <c r="F2" s="4">
        <v>3640</v>
      </c>
      <c r="G2" s="9">
        <v>348.93</v>
      </c>
      <c r="I2" s="11" t="s">
        <v>32</v>
      </c>
      <c r="J2" s="5">
        <f>SUM(G2:G3501)</f>
        <v>1844665.2099999993</v>
      </c>
      <c r="L2" s="6" t="s">
        <v>36</v>
      </c>
      <c r="M2" s="7">
        <v>177280.29000000015</v>
      </c>
    </row>
    <row r="3" spans="1:13" ht="15.6" x14ac:dyDescent="0.3">
      <c r="A3" s="16">
        <v>44892</v>
      </c>
      <c r="B3" s="10" t="s">
        <v>10</v>
      </c>
      <c r="C3" s="10" t="s">
        <v>11</v>
      </c>
      <c r="D3" s="10" t="s">
        <v>12</v>
      </c>
      <c r="E3" s="4">
        <v>7</v>
      </c>
      <c r="F3" s="4">
        <v>1197</v>
      </c>
      <c r="G3" s="9">
        <v>106.53</v>
      </c>
      <c r="I3" s="11" t="s">
        <v>33</v>
      </c>
      <c r="J3" s="2">
        <f>SUM(ecommerce_sales_data__2[Sales])</f>
        <v>10660807</v>
      </c>
      <c r="L3" s="6" t="s">
        <v>37</v>
      </c>
      <c r="M3" s="7">
        <v>118958.7200000001</v>
      </c>
    </row>
    <row r="4" spans="1:13" ht="15.6" x14ac:dyDescent="0.3">
      <c r="A4" s="16">
        <v>44692</v>
      </c>
      <c r="B4" s="10" t="s">
        <v>13</v>
      </c>
      <c r="C4" s="10" t="s">
        <v>14</v>
      </c>
      <c r="D4" s="10" t="s">
        <v>15</v>
      </c>
      <c r="E4" s="4">
        <v>5</v>
      </c>
      <c r="F4" s="4">
        <v>5865</v>
      </c>
      <c r="G4" s="9">
        <v>502.73</v>
      </c>
      <c r="L4" s="6" t="s">
        <v>38</v>
      </c>
      <c r="M4" s="7">
        <v>162136.62999999995</v>
      </c>
    </row>
    <row r="5" spans="1:13" ht="15.6" x14ac:dyDescent="0.3">
      <c r="A5" s="16">
        <v>45367</v>
      </c>
      <c r="B5" s="10" t="s">
        <v>10</v>
      </c>
      <c r="C5" s="10" t="s">
        <v>11</v>
      </c>
      <c r="D5" s="10" t="s">
        <v>15</v>
      </c>
      <c r="E5" s="4">
        <v>2</v>
      </c>
      <c r="F5" s="4">
        <v>786</v>
      </c>
      <c r="G5" s="9">
        <v>202.87</v>
      </c>
      <c r="L5" s="6" t="s">
        <v>39</v>
      </c>
      <c r="M5" s="7">
        <v>145620.95999999985</v>
      </c>
    </row>
    <row r="6" spans="1:13" ht="15.6" x14ac:dyDescent="0.3">
      <c r="A6" s="16">
        <v>44814</v>
      </c>
      <c r="B6" s="10" t="s">
        <v>10</v>
      </c>
      <c r="C6" s="10" t="s">
        <v>11</v>
      </c>
      <c r="D6" s="10" t="s">
        <v>16</v>
      </c>
      <c r="E6" s="4">
        <v>1</v>
      </c>
      <c r="F6" s="4">
        <v>509</v>
      </c>
      <c r="G6" s="9">
        <v>103.28</v>
      </c>
      <c r="L6" s="6" t="s">
        <v>40</v>
      </c>
      <c r="M6" s="7">
        <v>173293.14999999994</v>
      </c>
    </row>
    <row r="7" spans="1:13" ht="15.6" x14ac:dyDescent="0.3">
      <c r="A7" s="16">
        <v>45261</v>
      </c>
      <c r="B7" s="10" t="s">
        <v>17</v>
      </c>
      <c r="C7" s="10" t="s">
        <v>14</v>
      </c>
      <c r="D7" s="10" t="s">
        <v>16</v>
      </c>
      <c r="E7" s="4">
        <v>1</v>
      </c>
      <c r="F7" s="4">
        <v>524</v>
      </c>
      <c r="G7" s="9">
        <v>106.35</v>
      </c>
      <c r="I7" s="11" t="s">
        <v>29</v>
      </c>
      <c r="J7" s="8">
        <f>MAX(G2:G3501)</f>
        <v>2946.93</v>
      </c>
      <c r="L7" s="6" t="s">
        <v>41</v>
      </c>
      <c r="M7" s="7">
        <v>143198.52999999997</v>
      </c>
    </row>
    <row r="8" spans="1:13" ht="15.6" x14ac:dyDescent="0.3">
      <c r="A8" s="16">
        <v>45208</v>
      </c>
      <c r="B8" s="10" t="s">
        <v>18</v>
      </c>
      <c r="C8" s="10" t="s">
        <v>11</v>
      </c>
      <c r="D8" s="10" t="s">
        <v>9</v>
      </c>
      <c r="E8" s="4">
        <v>7</v>
      </c>
      <c r="F8" s="4">
        <v>6167</v>
      </c>
      <c r="G8" s="9">
        <v>1027.98</v>
      </c>
      <c r="I8" s="11" t="s">
        <v>24</v>
      </c>
      <c r="J8" s="2">
        <f>MAX(ecommerce_sales_data__2[Sales])</f>
        <v>10782</v>
      </c>
      <c r="L8" s="6" t="s">
        <v>42</v>
      </c>
      <c r="M8" s="7">
        <v>149244.10999999993</v>
      </c>
    </row>
    <row r="9" spans="1:13" ht="15.6" x14ac:dyDescent="0.3">
      <c r="A9" s="16">
        <v>44575</v>
      </c>
      <c r="B9" s="10" t="s">
        <v>17</v>
      </c>
      <c r="C9" s="10" t="s">
        <v>14</v>
      </c>
      <c r="D9" s="10" t="s">
        <v>15</v>
      </c>
      <c r="E9" s="4">
        <v>7</v>
      </c>
      <c r="F9" s="4">
        <v>3059</v>
      </c>
      <c r="G9" s="9">
        <v>873.5</v>
      </c>
      <c r="L9" s="6" t="s">
        <v>43</v>
      </c>
      <c r="M9" s="7">
        <v>152959.88999999998</v>
      </c>
    </row>
    <row r="10" spans="1:13" ht="15.6" x14ac:dyDescent="0.3">
      <c r="A10" s="16">
        <v>44653</v>
      </c>
      <c r="B10" s="10" t="s">
        <v>19</v>
      </c>
      <c r="C10" s="10" t="s">
        <v>14</v>
      </c>
      <c r="D10" s="10" t="s">
        <v>12</v>
      </c>
      <c r="E10" s="4">
        <v>9</v>
      </c>
      <c r="F10" s="4">
        <v>5526</v>
      </c>
      <c r="G10" s="9">
        <v>595.28</v>
      </c>
      <c r="L10" s="6" t="s">
        <v>44</v>
      </c>
      <c r="M10" s="7">
        <v>150265.04</v>
      </c>
    </row>
    <row r="11" spans="1:13" ht="15.6" x14ac:dyDescent="0.3">
      <c r="A11" s="16">
        <v>45587</v>
      </c>
      <c r="B11" s="10" t="s">
        <v>7</v>
      </c>
      <c r="C11" s="10" t="s">
        <v>8</v>
      </c>
      <c r="D11" s="10" t="s">
        <v>15</v>
      </c>
      <c r="E11" s="4">
        <v>8</v>
      </c>
      <c r="F11" s="4">
        <v>672</v>
      </c>
      <c r="G11" s="9">
        <v>186.37</v>
      </c>
      <c r="L11" s="6" t="s">
        <v>45</v>
      </c>
      <c r="M11" s="7">
        <v>153027.96999999997</v>
      </c>
    </row>
    <row r="12" spans="1:13" ht="15.6" x14ac:dyDescent="0.3">
      <c r="A12" s="16">
        <v>45264</v>
      </c>
      <c r="B12" s="10" t="s">
        <v>20</v>
      </c>
      <c r="C12" s="10" t="s">
        <v>11</v>
      </c>
      <c r="D12" s="10" t="s">
        <v>15</v>
      </c>
      <c r="E12" s="4">
        <v>6</v>
      </c>
      <c r="F12" s="4">
        <v>0</v>
      </c>
      <c r="G12" s="9">
        <v>1357.68</v>
      </c>
      <c r="I12" s="11" t="s">
        <v>30</v>
      </c>
      <c r="J12" s="2">
        <f>COUNT(ecommerce_sales_data__2[Order Date])</f>
        <v>3500</v>
      </c>
      <c r="L12" s="6" t="s">
        <v>46</v>
      </c>
      <c r="M12" s="7">
        <v>144837.79000000007</v>
      </c>
    </row>
    <row r="13" spans="1:13" ht="15.6" x14ac:dyDescent="0.3">
      <c r="A13" s="16">
        <v>44831</v>
      </c>
      <c r="B13" s="10" t="s">
        <v>19</v>
      </c>
      <c r="C13" s="10" t="s">
        <v>14</v>
      </c>
      <c r="D13" s="10" t="s">
        <v>12</v>
      </c>
      <c r="E13" s="4">
        <v>2</v>
      </c>
      <c r="F13" s="4">
        <v>502</v>
      </c>
      <c r="G13" s="9">
        <v>137.4</v>
      </c>
      <c r="I13" s="11" t="s">
        <v>31</v>
      </c>
      <c r="J13" s="2">
        <f>SUM(E2:E3501)</f>
        <v>17261</v>
      </c>
      <c r="L13" s="6" t="s">
        <v>47</v>
      </c>
      <c r="M13" s="7">
        <v>173842.12999999992</v>
      </c>
    </row>
    <row r="14" spans="1:13" ht="15.6" x14ac:dyDescent="0.3">
      <c r="A14" s="16">
        <v>45281</v>
      </c>
      <c r="B14" s="10" t="s">
        <v>13</v>
      </c>
      <c r="C14" s="10" t="s">
        <v>14</v>
      </c>
      <c r="D14" s="10" t="s">
        <v>9</v>
      </c>
      <c r="E14" s="4">
        <v>7</v>
      </c>
      <c r="F14" s="4">
        <v>7462</v>
      </c>
      <c r="G14" s="9">
        <v>2166.17</v>
      </c>
      <c r="L14" s="6" t="s">
        <v>27</v>
      </c>
      <c r="M14" s="15">
        <v>1844665.2099999997</v>
      </c>
    </row>
    <row r="15" spans="1:13" ht="13.2" customHeight="1" x14ac:dyDescent="0.3">
      <c r="A15" s="16">
        <v>45325</v>
      </c>
      <c r="B15" s="10" t="s">
        <v>21</v>
      </c>
      <c r="C15" s="10" t="s">
        <v>14</v>
      </c>
      <c r="D15" s="10" t="s">
        <v>16</v>
      </c>
      <c r="E15" s="4">
        <v>5</v>
      </c>
      <c r="F15" s="4">
        <v>4205</v>
      </c>
      <c r="G15" s="9">
        <v>585.29</v>
      </c>
    </row>
    <row r="16" spans="1:13" ht="22.2" customHeight="1" x14ac:dyDescent="0.3">
      <c r="A16" s="16">
        <v>45209</v>
      </c>
      <c r="B16" s="10" t="s">
        <v>17</v>
      </c>
      <c r="C16" s="10" t="s">
        <v>14</v>
      </c>
      <c r="D16" s="10" t="s">
        <v>16</v>
      </c>
      <c r="E16" s="4">
        <v>1</v>
      </c>
      <c r="F16" s="4">
        <v>570</v>
      </c>
      <c r="G16" s="9">
        <v>138.54</v>
      </c>
      <c r="L16" s="12" t="s">
        <v>48</v>
      </c>
      <c r="M16" s="13" t="s">
        <v>49</v>
      </c>
    </row>
    <row r="17" spans="1:13" ht="20.399999999999999" customHeight="1" x14ac:dyDescent="0.3">
      <c r="A17" s="16">
        <v>44850</v>
      </c>
      <c r="B17" s="10" t="s">
        <v>18</v>
      </c>
      <c r="C17" s="10" t="s">
        <v>11</v>
      </c>
      <c r="D17" s="10" t="s">
        <v>12</v>
      </c>
      <c r="E17" s="4">
        <v>1</v>
      </c>
      <c r="F17" s="4">
        <v>441</v>
      </c>
      <c r="G17" s="9">
        <v>102.42</v>
      </c>
      <c r="I17" s="11" t="s">
        <v>34</v>
      </c>
      <c r="J17" s="5">
        <f>AVERAGE(F2:F3501)</f>
        <v>3045.944857142857</v>
      </c>
      <c r="L17" s="12" t="s">
        <v>50</v>
      </c>
      <c r="M17" s="13" t="s">
        <v>51</v>
      </c>
    </row>
    <row r="18" spans="1:13" ht="20.399999999999999" customHeight="1" x14ac:dyDescent="0.3">
      <c r="A18" s="16">
        <v>44696</v>
      </c>
      <c r="B18" s="10" t="s">
        <v>10</v>
      </c>
      <c r="C18" s="10" t="s">
        <v>11</v>
      </c>
      <c r="D18" s="10" t="s">
        <v>9</v>
      </c>
      <c r="E18" s="4">
        <v>7</v>
      </c>
      <c r="F18" s="4">
        <v>7469</v>
      </c>
      <c r="G18" s="9">
        <v>589.80999999999995</v>
      </c>
      <c r="I18" s="11" t="s">
        <v>35</v>
      </c>
      <c r="J18" s="8">
        <f>AVERAGE(G2:G3501)</f>
        <v>527.04720285714268</v>
      </c>
      <c r="L18" s="11" t="s">
        <v>52</v>
      </c>
      <c r="M18" s="13" t="s">
        <v>53</v>
      </c>
    </row>
    <row r="19" spans="1:13" ht="14.4" customHeight="1" x14ac:dyDescent="0.3">
      <c r="A19" s="16">
        <v>44968</v>
      </c>
      <c r="B19" s="10" t="s">
        <v>13</v>
      </c>
      <c r="C19" s="10" t="s">
        <v>14</v>
      </c>
      <c r="D19" s="10" t="s">
        <v>15</v>
      </c>
      <c r="E19" s="4">
        <v>2</v>
      </c>
      <c r="F19" s="4">
        <v>2212</v>
      </c>
      <c r="G19" s="9">
        <v>145.75</v>
      </c>
    </row>
    <row r="20" spans="1:13" ht="15.6" x14ac:dyDescent="0.3">
      <c r="A20" s="16">
        <v>45287</v>
      </c>
      <c r="B20" s="10" t="s">
        <v>13</v>
      </c>
      <c r="C20" s="10" t="s">
        <v>14</v>
      </c>
      <c r="D20" s="10" t="s">
        <v>12</v>
      </c>
      <c r="E20" s="4">
        <v>5</v>
      </c>
      <c r="F20" s="4">
        <v>740</v>
      </c>
      <c r="G20" s="9">
        <v>146.38999999999999</v>
      </c>
    </row>
    <row r="21" spans="1:13" ht="15.6" x14ac:dyDescent="0.3">
      <c r="A21" s="16">
        <v>45204</v>
      </c>
      <c r="B21" s="10" t="s">
        <v>18</v>
      </c>
      <c r="C21" s="10" t="s">
        <v>11</v>
      </c>
      <c r="D21" s="10" t="s">
        <v>9</v>
      </c>
      <c r="E21" s="4">
        <v>1</v>
      </c>
      <c r="F21" s="4">
        <v>662</v>
      </c>
      <c r="G21" s="9">
        <v>193.92</v>
      </c>
      <c r="K21" s="3" t="s">
        <v>25</v>
      </c>
      <c r="L21" s="4" t="s">
        <v>54</v>
      </c>
    </row>
    <row r="22" spans="1:13" ht="15.6" x14ac:dyDescent="0.3">
      <c r="A22" s="16">
        <v>45356</v>
      </c>
      <c r="B22" s="10" t="s">
        <v>10</v>
      </c>
      <c r="C22" s="10" t="s">
        <v>11</v>
      </c>
      <c r="D22" s="10" t="s">
        <v>9</v>
      </c>
      <c r="E22" s="4">
        <v>7</v>
      </c>
      <c r="F22" s="4">
        <v>5712</v>
      </c>
      <c r="G22" s="9">
        <v>651.27</v>
      </c>
      <c r="K22" s="6" t="s">
        <v>17</v>
      </c>
      <c r="L22" s="10">
        <v>1795</v>
      </c>
    </row>
    <row r="23" spans="1:13" ht="15.6" x14ac:dyDescent="0.3">
      <c r="A23" s="16">
        <v>45125</v>
      </c>
      <c r="B23" s="10" t="s">
        <v>19</v>
      </c>
      <c r="C23" s="10" t="s">
        <v>14</v>
      </c>
      <c r="D23" s="10" t="s">
        <v>9</v>
      </c>
      <c r="E23" s="4">
        <v>3</v>
      </c>
      <c r="F23" s="4">
        <v>2739</v>
      </c>
      <c r="G23" s="9">
        <v>572.73</v>
      </c>
      <c r="K23" s="6" t="s">
        <v>18</v>
      </c>
      <c r="L23" s="10">
        <v>1604</v>
      </c>
    </row>
    <row r="24" spans="1:13" ht="15.6" x14ac:dyDescent="0.3">
      <c r="A24" s="16">
        <v>45102</v>
      </c>
      <c r="B24" s="10" t="s">
        <v>22</v>
      </c>
      <c r="C24" s="10" t="s">
        <v>11</v>
      </c>
      <c r="D24" s="10" t="s">
        <v>16</v>
      </c>
      <c r="E24" s="4">
        <v>5</v>
      </c>
      <c r="F24" s="4">
        <v>1400</v>
      </c>
      <c r="G24" s="9">
        <v>213.63</v>
      </c>
      <c r="K24" s="6" t="s">
        <v>22</v>
      </c>
      <c r="L24" s="10">
        <v>1684</v>
      </c>
    </row>
    <row r="25" spans="1:13" ht="15.6" x14ac:dyDescent="0.3">
      <c r="A25" s="16">
        <v>45243</v>
      </c>
      <c r="B25" s="10" t="s">
        <v>7</v>
      </c>
      <c r="C25" s="10" t="s">
        <v>8</v>
      </c>
      <c r="D25" s="10" t="s">
        <v>9</v>
      </c>
      <c r="E25" s="4">
        <v>3</v>
      </c>
      <c r="F25" s="4">
        <v>3477</v>
      </c>
      <c r="G25" s="9">
        <v>939.2</v>
      </c>
      <c r="K25" s="6" t="s">
        <v>23</v>
      </c>
      <c r="L25" s="10">
        <v>1658</v>
      </c>
    </row>
    <row r="26" spans="1:13" ht="15.6" x14ac:dyDescent="0.3">
      <c r="A26" s="16">
        <v>44751</v>
      </c>
      <c r="B26" s="10" t="s">
        <v>17</v>
      </c>
      <c r="C26" s="10" t="s">
        <v>14</v>
      </c>
      <c r="D26" s="10" t="s">
        <v>9</v>
      </c>
      <c r="E26" s="4">
        <v>5</v>
      </c>
      <c r="F26" s="4">
        <v>3475</v>
      </c>
      <c r="G26" s="9">
        <v>570.36</v>
      </c>
      <c r="K26" s="6" t="s">
        <v>20</v>
      </c>
      <c r="L26" s="10">
        <v>1876</v>
      </c>
    </row>
    <row r="27" spans="1:13" ht="15.6" x14ac:dyDescent="0.3">
      <c r="A27" s="16">
        <v>45271</v>
      </c>
      <c r="B27" s="10" t="s">
        <v>23</v>
      </c>
      <c r="C27" s="10" t="s">
        <v>14</v>
      </c>
      <c r="D27" s="10" t="s">
        <v>16</v>
      </c>
      <c r="E27" s="4">
        <v>9</v>
      </c>
      <c r="F27" s="4">
        <v>6138</v>
      </c>
      <c r="G27" s="9">
        <v>1562.14</v>
      </c>
      <c r="K27" s="6" t="s">
        <v>10</v>
      </c>
      <c r="L27" s="10">
        <v>1753</v>
      </c>
    </row>
    <row r="28" spans="1:13" ht="15.6" x14ac:dyDescent="0.3">
      <c r="A28" s="16">
        <v>45003</v>
      </c>
      <c r="B28" s="10" t="s">
        <v>17</v>
      </c>
      <c r="C28" s="10" t="s">
        <v>14</v>
      </c>
      <c r="D28" s="10" t="s">
        <v>16</v>
      </c>
      <c r="E28" s="4">
        <v>5</v>
      </c>
      <c r="F28" s="4">
        <v>3665</v>
      </c>
      <c r="G28" s="9">
        <v>406.93</v>
      </c>
      <c r="K28" s="6" t="s">
        <v>7</v>
      </c>
      <c r="L28" s="10">
        <v>1734</v>
      </c>
    </row>
    <row r="29" spans="1:13" ht="15.6" x14ac:dyDescent="0.3">
      <c r="A29" s="16">
        <v>45513</v>
      </c>
      <c r="B29" s="10" t="s">
        <v>7</v>
      </c>
      <c r="C29" s="10" t="s">
        <v>8</v>
      </c>
      <c r="D29" s="10" t="s">
        <v>9</v>
      </c>
      <c r="E29" s="4">
        <v>2</v>
      </c>
      <c r="F29" s="4">
        <v>2372</v>
      </c>
      <c r="G29" s="9">
        <v>206.42</v>
      </c>
      <c r="K29" s="6" t="s">
        <v>21</v>
      </c>
      <c r="L29" s="10">
        <v>1617</v>
      </c>
    </row>
    <row r="30" spans="1:13" ht="15.6" x14ac:dyDescent="0.3">
      <c r="A30" s="16">
        <v>45416</v>
      </c>
      <c r="B30" s="10" t="s">
        <v>23</v>
      </c>
      <c r="C30" s="10" t="s">
        <v>14</v>
      </c>
      <c r="D30" s="10" t="s">
        <v>9</v>
      </c>
      <c r="E30" s="4">
        <v>2</v>
      </c>
      <c r="F30" s="4">
        <v>1382</v>
      </c>
      <c r="G30" s="9">
        <v>211.11</v>
      </c>
      <c r="K30" s="6" t="s">
        <v>19</v>
      </c>
      <c r="L30" s="10">
        <v>1807</v>
      </c>
    </row>
    <row r="31" spans="1:13" ht="15.6" x14ac:dyDescent="0.3">
      <c r="A31" s="16">
        <v>44808</v>
      </c>
      <c r="B31" s="10" t="s">
        <v>23</v>
      </c>
      <c r="C31" s="10" t="s">
        <v>14</v>
      </c>
      <c r="D31" s="10" t="s">
        <v>16</v>
      </c>
      <c r="E31" s="4">
        <v>1</v>
      </c>
      <c r="F31" s="4">
        <v>1126</v>
      </c>
      <c r="G31" s="9">
        <v>194.08</v>
      </c>
      <c r="K31" s="6" t="s">
        <v>13</v>
      </c>
      <c r="L31" s="10">
        <v>1733</v>
      </c>
    </row>
    <row r="32" spans="1:13" ht="15.6" x14ac:dyDescent="0.3">
      <c r="A32" s="16">
        <v>44855</v>
      </c>
      <c r="B32" s="10" t="s">
        <v>7</v>
      </c>
      <c r="C32" s="10" t="s">
        <v>8</v>
      </c>
      <c r="D32" s="10" t="s">
        <v>16</v>
      </c>
      <c r="E32" s="4">
        <v>8</v>
      </c>
      <c r="F32" s="4">
        <v>1376</v>
      </c>
      <c r="G32" s="9">
        <v>152.1</v>
      </c>
      <c r="K32" s="6" t="s">
        <v>27</v>
      </c>
      <c r="L32" s="28">
        <v>17261</v>
      </c>
    </row>
    <row r="33" spans="1:12" ht="15.6" x14ac:dyDescent="0.3">
      <c r="A33" s="16">
        <v>45313</v>
      </c>
      <c r="B33" s="10" t="s">
        <v>10</v>
      </c>
      <c r="C33" s="10" t="s">
        <v>11</v>
      </c>
      <c r="D33" s="10" t="s">
        <v>16</v>
      </c>
      <c r="E33" s="4">
        <v>4</v>
      </c>
      <c r="F33" s="4">
        <v>988</v>
      </c>
      <c r="G33" s="9">
        <v>147.91</v>
      </c>
    </row>
    <row r="34" spans="1:12" ht="15.6" x14ac:dyDescent="0.3">
      <c r="A34" s="16">
        <v>45025</v>
      </c>
      <c r="B34" s="10" t="s">
        <v>23</v>
      </c>
      <c r="C34" s="10" t="s">
        <v>14</v>
      </c>
      <c r="D34" s="10" t="s">
        <v>9</v>
      </c>
      <c r="E34" s="4">
        <v>9</v>
      </c>
      <c r="F34" s="4">
        <v>10773</v>
      </c>
      <c r="G34" s="9">
        <v>1907.36</v>
      </c>
      <c r="K34" s="12" t="s">
        <v>55</v>
      </c>
      <c r="L34" s="14" t="s">
        <v>72</v>
      </c>
    </row>
    <row r="35" spans="1:12" ht="15.6" x14ac:dyDescent="0.3">
      <c r="A35" s="16">
        <v>44964</v>
      </c>
      <c r="B35" s="10" t="s">
        <v>18</v>
      </c>
      <c r="C35" s="10" t="s">
        <v>11</v>
      </c>
      <c r="D35" s="10" t="s">
        <v>15</v>
      </c>
      <c r="E35" s="4">
        <v>4</v>
      </c>
      <c r="F35" s="4">
        <v>3252</v>
      </c>
      <c r="G35" s="9">
        <v>713.46</v>
      </c>
      <c r="K35" s="11" t="s">
        <v>56</v>
      </c>
      <c r="L35" s="14" t="s">
        <v>58</v>
      </c>
    </row>
    <row r="36" spans="1:12" ht="15.6" x14ac:dyDescent="0.3">
      <c r="A36" s="16">
        <v>45050</v>
      </c>
      <c r="B36" s="10" t="s">
        <v>18</v>
      </c>
      <c r="C36" s="10" t="s">
        <v>11</v>
      </c>
      <c r="D36" s="10" t="s">
        <v>9</v>
      </c>
      <c r="E36" s="4">
        <v>3</v>
      </c>
      <c r="F36" s="4">
        <v>2739</v>
      </c>
      <c r="G36" s="9">
        <v>202.81</v>
      </c>
      <c r="K36" s="11" t="s">
        <v>57</v>
      </c>
      <c r="L36" s="13" t="s">
        <v>59</v>
      </c>
    </row>
    <row r="37" spans="1:12" ht="15.6" x14ac:dyDescent="0.3">
      <c r="A37" s="16">
        <v>45034</v>
      </c>
      <c r="B37" s="10" t="s">
        <v>13</v>
      </c>
      <c r="C37" s="10" t="s">
        <v>14</v>
      </c>
      <c r="D37" s="10" t="s">
        <v>15</v>
      </c>
      <c r="E37" s="4">
        <v>7</v>
      </c>
      <c r="F37" s="4">
        <v>2709</v>
      </c>
      <c r="G37" s="9">
        <v>702.79</v>
      </c>
    </row>
    <row r="38" spans="1:12" ht="15.6" x14ac:dyDescent="0.3">
      <c r="A38" s="16">
        <v>44907</v>
      </c>
      <c r="B38" s="10" t="s">
        <v>7</v>
      </c>
      <c r="C38" s="10" t="s">
        <v>8</v>
      </c>
      <c r="D38" s="10" t="s">
        <v>16</v>
      </c>
      <c r="E38" s="4">
        <v>3</v>
      </c>
      <c r="F38" s="4">
        <v>936</v>
      </c>
      <c r="G38" s="9">
        <v>201.24</v>
      </c>
    </row>
    <row r="39" spans="1:12" ht="15.6" x14ac:dyDescent="0.3">
      <c r="A39" s="16">
        <v>44815</v>
      </c>
      <c r="B39" s="10" t="s">
        <v>17</v>
      </c>
      <c r="C39" s="10" t="s">
        <v>14</v>
      </c>
      <c r="D39" s="10" t="s">
        <v>16</v>
      </c>
      <c r="E39" s="4">
        <v>4</v>
      </c>
      <c r="F39" s="4">
        <v>3720</v>
      </c>
      <c r="G39" s="9">
        <v>410.92</v>
      </c>
    </row>
    <row r="40" spans="1:12" ht="15.6" x14ac:dyDescent="0.3">
      <c r="A40" s="16">
        <v>45377</v>
      </c>
      <c r="B40" s="10" t="s">
        <v>10</v>
      </c>
      <c r="C40" s="10" t="s">
        <v>11</v>
      </c>
      <c r="D40" s="10" t="s">
        <v>16</v>
      </c>
      <c r="E40" s="4">
        <v>5</v>
      </c>
      <c r="F40" s="4">
        <v>5320</v>
      </c>
      <c r="G40" s="9">
        <v>716.91</v>
      </c>
    </row>
    <row r="41" spans="1:12" ht="15.6" x14ac:dyDescent="0.3">
      <c r="A41" s="16">
        <v>45189</v>
      </c>
      <c r="B41" s="10" t="s">
        <v>18</v>
      </c>
      <c r="C41" s="10" t="s">
        <v>11</v>
      </c>
      <c r="D41" s="10" t="s">
        <v>12</v>
      </c>
      <c r="E41" s="4">
        <v>4</v>
      </c>
      <c r="F41" s="4">
        <v>804</v>
      </c>
      <c r="G41" s="9">
        <v>121.51</v>
      </c>
    </row>
    <row r="42" spans="1:12" ht="15.6" x14ac:dyDescent="0.3">
      <c r="A42" s="16">
        <v>45071</v>
      </c>
      <c r="B42" s="10" t="s">
        <v>23</v>
      </c>
      <c r="C42" s="10" t="s">
        <v>14</v>
      </c>
      <c r="D42" s="10" t="s">
        <v>9</v>
      </c>
      <c r="E42" s="4">
        <v>8</v>
      </c>
      <c r="F42" s="4">
        <v>1224</v>
      </c>
      <c r="G42" s="9">
        <v>246.77</v>
      </c>
    </row>
    <row r="43" spans="1:12" ht="15.6" x14ac:dyDescent="0.3">
      <c r="A43" s="16">
        <v>44899</v>
      </c>
      <c r="B43" s="10" t="s">
        <v>18</v>
      </c>
      <c r="C43" s="10" t="s">
        <v>11</v>
      </c>
      <c r="D43" s="10" t="s">
        <v>15</v>
      </c>
      <c r="E43" s="4">
        <v>9</v>
      </c>
      <c r="F43" s="4">
        <v>8667</v>
      </c>
      <c r="G43" s="9">
        <v>781.78</v>
      </c>
    </row>
    <row r="44" spans="1:12" ht="15.6" x14ac:dyDescent="0.3">
      <c r="A44" s="16">
        <v>44722</v>
      </c>
      <c r="B44" s="10" t="s">
        <v>20</v>
      </c>
      <c r="C44" s="10" t="s">
        <v>11</v>
      </c>
      <c r="D44" s="10" t="s">
        <v>16</v>
      </c>
      <c r="E44" s="4">
        <v>3</v>
      </c>
      <c r="F44" s="4">
        <v>3018</v>
      </c>
      <c r="G44" s="9">
        <v>320.11</v>
      </c>
    </row>
    <row r="45" spans="1:12" ht="15.6" x14ac:dyDescent="0.3">
      <c r="A45" s="16">
        <v>44962</v>
      </c>
      <c r="B45" s="10" t="s">
        <v>23</v>
      </c>
      <c r="C45" s="10" t="s">
        <v>14</v>
      </c>
      <c r="D45" s="10" t="s">
        <v>16</v>
      </c>
      <c r="E45" s="4">
        <v>5</v>
      </c>
      <c r="F45" s="4">
        <v>4325</v>
      </c>
      <c r="G45" s="9">
        <v>1023.39</v>
      </c>
    </row>
    <row r="46" spans="1:12" ht="15.6" x14ac:dyDescent="0.3">
      <c r="A46" s="16">
        <v>45311</v>
      </c>
      <c r="B46" s="10" t="s">
        <v>23</v>
      </c>
      <c r="C46" s="10" t="s">
        <v>14</v>
      </c>
      <c r="D46" s="10" t="s">
        <v>15</v>
      </c>
      <c r="E46" s="4">
        <v>3</v>
      </c>
      <c r="F46" s="4">
        <v>1557</v>
      </c>
      <c r="G46" s="9">
        <v>181.08</v>
      </c>
    </row>
    <row r="47" spans="1:12" ht="15.6" x14ac:dyDescent="0.3">
      <c r="A47" s="16">
        <v>44588</v>
      </c>
      <c r="B47" s="10" t="s">
        <v>20</v>
      </c>
      <c r="C47" s="10" t="s">
        <v>11</v>
      </c>
      <c r="D47" s="10" t="s">
        <v>15</v>
      </c>
      <c r="E47" s="4">
        <v>6</v>
      </c>
      <c r="F47" s="4">
        <v>3672</v>
      </c>
      <c r="G47" s="9">
        <v>1002.5</v>
      </c>
    </row>
    <row r="48" spans="1:12" ht="15.6" x14ac:dyDescent="0.3">
      <c r="A48" s="16">
        <v>45014</v>
      </c>
      <c r="B48" s="10" t="s">
        <v>10</v>
      </c>
      <c r="C48" s="10" t="s">
        <v>11</v>
      </c>
      <c r="D48" s="10" t="s">
        <v>16</v>
      </c>
      <c r="E48" s="4">
        <v>1</v>
      </c>
      <c r="F48" s="4">
        <v>333</v>
      </c>
      <c r="G48" s="9">
        <v>72.34</v>
      </c>
    </row>
    <row r="49" spans="1:7" ht="15.6" x14ac:dyDescent="0.3">
      <c r="A49" s="16">
        <v>44578</v>
      </c>
      <c r="B49" s="10" t="s">
        <v>18</v>
      </c>
      <c r="C49" s="10" t="s">
        <v>11</v>
      </c>
      <c r="D49" s="10" t="s">
        <v>16</v>
      </c>
      <c r="E49" s="4">
        <v>4</v>
      </c>
      <c r="F49" s="4">
        <v>2384</v>
      </c>
      <c r="G49" s="9">
        <v>577.26</v>
      </c>
    </row>
    <row r="50" spans="1:7" ht="15.6" x14ac:dyDescent="0.3">
      <c r="A50" s="16">
        <v>45622</v>
      </c>
      <c r="B50" s="10" t="s">
        <v>10</v>
      </c>
      <c r="C50" s="10" t="s">
        <v>11</v>
      </c>
      <c r="D50" s="10" t="s">
        <v>16</v>
      </c>
      <c r="E50" s="4">
        <v>6</v>
      </c>
      <c r="F50" s="4">
        <v>888</v>
      </c>
      <c r="G50" s="9">
        <v>210.39</v>
      </c>
    </row>
    <row r="51" spans="1:7" ht="15.6" x14ac:dyDescent="0.3">
      <c r="A51" s="16">
        <v>45554</v>
      </c>
      <c r="B51" s="10" t="s">
        <v>23</v>
      </c>
      <c r="C51" s="10" t="s">
        <v>14</v>
      </c>
      <c r="D51" s="10" t="s">
        <v>16</v>
      </c>
      <c r="E51" s="4">
        <v>5</v>
      </c>
      <c r="F51" s="4">
        <v>3280</v>
      </c>
      <c r="G51" s="9">
        <v>954.17</v>
      </c>
    </row>
    <row r="52" spans="1:7" ht="15.6" x14ac:dyDescent="0.3">
      <c r="A52" s="16">
        <v>45127</v>
      </c>
      <c r="B52" s="10" t="s">
        <v>10</v>
      </c>
      <c r="C52" s="10" t="s">
        <v>11</v>
      </c>
      <c r="D52" s="10" t="s">
        <v>15</v>
      </c>
      <c r="E52" s="4">
        <v>7</v>
      </c>
      <c r="F52" s="4">
        <v>1239</v>
      </c>
      <c r="G52" s="9">
        <v>177.39</v>
      </c>
    </row>
    <row r="53" spans="1:7" ht="15.6" x14ac:dyDescent="0.3">
      <c r="A53" s="16">
        <v>45415</v>
      </c>
      <c r="B53" s="10" t="s">
        <v>18</v>
      </c>
      <c r="C53" s="10" t="s">
        <v>11</v>
      </c>
      <c r="D53" s="10" t="s">
        <v>12</v>
      </c>
      <c r="E53" s="4">
        <v>8</v>
      </c>
      <c r="F53" s="4">
        <v>5880</v>
      </c>
      <c r="G53" s="9">
        <v>436.85</v>
      </c>
    </row>
    <row r="54" spans="1:7" ht="15.6" x14ac:dyDescent="0.3">
      <c r="A54" s="16">
        <v>44807</v>
      </c>
      <c r="B54" s="10" t="s">
        <v>21</v>
      </c>
      <c r="C54" s="10" t="s">
        <v>14</v>
      </c>
      <c r="D54" s="10" t="s">
        <v>16</v>
      </c>
      <c r="E54" s="4">
        <v>2</v>
      </c>
      <c r="F54" s="4">
        <v>1668</v>
      </c>
      <c r="G54" s="9">
        <v>437.3</v>
      </c>
    </row>
    <row r="55" spans="1:7" ht="15.6" x14ac:dyDescent="0.3">
      <c r="A55" s="16">
        <v>45482</v>
      </c>
      <c r="B55" s="10" t="s">
        <v>7</v>
      </c>
      <c r="C55" s="10" t="s">
        <v>8</v>
      </c>
      <c r="D55" s="10" t="s">
        <v>16</v>
      </c>
      <c r="E55" s="4">
        <v>7</v>
      </c>
      <c r="F55" s="4">
        <v>4109</v>
      </c>
      <c r="G55" s="9">
        <v>1037.6400000000001</v>
      </c>
    </row>
    <row r="56" spans="1:7" ht="15.6" x14ac:dyDescent="0.3">
      <c r="A56" s="16">
        <v>44882</v>
      </c>
      <c r="B56" s="10" t="s">
        <v>19</v>
      </c>
      <c r="C56" s="10" t="s">
        <v>14</v>
      </c>
      <c r="D56" s="10" t="s">
        <v>16</v>
      </c>
      <c r="E56" s="4">
        <v>7</v>
      </c>
      <c r="F56" s="4">
        <v>595</v>
      </c>
      <c r="G56" s="9">
        <v>148.5</v>
      </c>
    </row>
    <row r="57" spans="1:7" ht="15.6" x14ac:dyDescent="0.3">
      <c r="A57" s="16">
        <v>45288</v>
      </c>
      <c r="B57" s="10" t="s">
        <v>18</v>
      </c>
      <c r="C57" s="10" t="s">
        <v>11</v>
      </c>
      <c r="D57" s="10" t="s">
        <v>12</v>
      </c>
      <c r="E57" s="4">
        <v>7</v>
      </c>
      <c r="F57" s="4">
        <v>8155</v>
      </c>
      <c r="G57" s="9">
        <v>1587.91</v>
      </c>
    </row>
    <row r="58" spans="1:7" ht="15.6" x14ac:dyDescent="0.3">
      <c r="A58" s="16">
        <v>44711</v>
      </c>
      <c r="B58" s="10" t="s">
        <v>20</v>
      </c>
      <c r="C58" s="10" t="s">
        <v>11</v>
      </c>
      <c r="D58" s="10" t="s">
        <v>15</v>
      </c>
      <c r="E58" s="4">
        <v>3</v>
      </c>
      <c r="F58" s="4">
        <v>1872</v>
      </c>
      <c r="G58" s="9">
        <v>553.1</v>
      </c>
    </row>
    <row r="59" spans="1:7" ht="15.6" x14ac:dyDescent="0.3">
      <c r="A59" s="16">
        <v>45399</v>
      </c>
      <c r="B59" s="10" t="s">
        <v>19</v>
      </c>
      <c r="C59" s="10" t="s">
        <v>14</v>
      </c>
      <c r="D59" s="10" t="s">
        <v>12</v>
      </c>
      <c r="E59" s="4">
        <v>6</v>
      </c>
      <c r="F59" s="4">
        <v>2124</v>
      </c>
      <c r="G59" s="9">
        <v>126.03</v>
      </c>
    </row>
    <row r="60" spans="1:7" ht="15.6" x14ac:dyDescent="0.3">
      <c r="A60" s="16">
        <v>45565</v>
      </c>
      <c r="B60" s="10" t="s">
        <v>20</v>
      </c>
      <c r="C60" s="10" t="s">
        <v>11</v>
      </c>
      <c r="D60" s="10" t="s">
        <v>16</v>
      </c>
      <c r="E60" s="4">
        <v>5</v>
      </c>
      <c r="F60" s="4">
        <v>5210</v>
      </c>
      <c r="G60" s="9">
        <v>1338.8</v>
      </c>
    </row>
    <row r="61" spans="1:7" ht="15.6" x14ac:dyDescent="0.3">
      <c r="A61" s="16">
        <v>45445</v>
      </c>
      <c r="B61" s="10" t="s">
        <v>10</v>
      </c>
      <c r="C61" s="10" t="s">
        <v>11</v>
      </c>
      <c r="D61" s="10" t="s">
        <v>15</v>
      </c>
      <c r="E61" s="4">
        <v>7</v>
      </c>
      <c r="F61" s="4">
        <v>5761</v>
      </c>
      <c r="G61" s="9">
        <v>362.48</v>
      </c>
    </row>
    <row r="62" spans="1:7" ht="15.6" x14ac:dyDescent="0.3">
      <c r="A62" s="16">
        <v>44830</v>
      </c>
      <c r="B62" s="10" t="s">
        <v>18</v>
      </c>
      <c r="C62" s="10" t="s">
        <v>11</v>
      </c>
      <c r="D62" s="10" t="s">
        <v>15</v>
      </c>
      <c r="E62" s="4">
        <v>7</v>
      </c>
      <c r="F62" s="4">
        <v>6895</v>
      </c>
      <c r="G62" s="9">
        <v>1596.35</v>
      </c>
    </row>
    <row r="63" spans="1:7" ht="15.6" x14ac:dyDescent="0.3">
      <c r="A63" s="16">
        <v>45643</v>
      </c>
      <c r="B63" s="10" t="s">
        <v>19</v>
      </c>
      <c r="C63" s="10" t="s">
        <v>14</v>
      </c>
      <c r="D63" s="10" t="s">
        <v>12</v>
      </c>
      <c r="E63" s="4">
        <v>3</v>
      </c>
      <c r="F63" s="4">
        <v>2118</v>
      </c>
      <c r="G63" s="9">
        <v>317.08</v>
      </c>
    </row>
    <row r="64" spans="1:7" ht="15.6" x14ac:dyDescent="0.3">
      <c r="A64" s="16">
        <v>45574</v>
      </c>
      <c r="B64" s="10" t="s">
        <v>19</v>
      </c>
      <c r="C64" s="10" t="s">
        <v>14</v>
      </c>
      <c r="D64" s="10" t="s">
        <v>9</v>
      </c>
      <c r="E64" s="4">
        <v>5</v>
      </c>
      <c r="F64" s="4">
        <v>830</v>
      </c>
      <c r="G64" s="9">
        <v>58.28</v>
      </c>
    </row>
    <row r="65" spans="1:7" ht="15.6" x14ac:dyDescent="0.3">
      <c r="A65" s="16">
        <v>45121</v>
      </c>
      <c r="B65" s="10" t="s">
        <v>19</v>
      </c>
      <c r="C65" s="10" t="s">
        <v>14</v>
      </c>
      <c r="D65" s="10" t="s">
        <v>9</v>
      </c>
      <c r="E65" s="4">
        <v>1</v>
      </c>
      <c r="F65" s="4">
        <v>851</v>
      </c>
      <c r="G65" s="9">
        <v>93.56</v>
      </c>
    </row>
    <row r="66" spans="1:7" ht="15.6" x14ac:dyDescent="0.3">
      <c r="A66" s="16">
        <v>45265</v>
      </c>
      <c r="B66" s="10" t="s">
        <v>13</v>
      </c>
      <c r="C66" s="10" t="s">
        <v>14</v>
      </c>
      <c r="D66" s="10" t="s">
        <v>12</v>
      </c>
      <c r="E66" s="4">
        <v>5</v>
      </c>
      <c r="F66" s="4">
        <v>4730</v>
      </c>
      <c r="G66" s="9">
        <v>1365.63</v>
      </c>
    </row>
    <row r="67" spans="1:7" ht="15.6" x14ac:dyDescent="0.3">
      <c r="A67" s="16">
        <v>44715</v>
      </c>
      <c r="B67" s="10" t="s">
        <v>10</v>
      </c>
      <c r="C67" s="10" t="s">
        <v>11</v>
      </c>
      <c r="D67" s="10" t="s">
        <v>16</v>
      </c>
      <c r="E67" s="4">
        <v>6</v>
      </c>
      <c r="F67" s="4">
        <v>5460</v>
      </c>
      <c r="G67" s="9">
        <v>845.75</v>
      </c>
    </row>
    <row r="68" spans="1:7" ht="15.6" x14ac:dyDescent="0.3">
      <c r="A68" s="16">
        <v>45654</v>
      </c>
      <c r="B68" s="10" t="s">
        <v>18</v>
      </c>
      <c r="C68" s="10" t="s">
        <v>11</v>
      </c>
      <c r="D68" s="10" t="s">
        <v>12</v>
      </c>
      <c r="E68" s="4">
        <v>5</v>
      </c>
      <c r="F68" s="4">
        <v>5795</v>
      </c>
      <c r="G68" s="9">
        <v>310.60000000000002</v>
      </c>
    </row>
    <row r="69" spans="1:7" ht="15.6" x14ac:dyDescent="0.3">
      <c r="A69" s="16">
        <v>44779</v>
      </c>
      <c r="B69" s="10" t="s">
        <v>23</v>
      </c>
      <c r="C69" s="10" t="s">
        <v>14</v>
      </c>
      <c r="D69" s="10" t="s">
        <v>15</v>
      </c>
      <c r="E69" s="4">
        <v>4</v>
      </c>
      <c r="F69" s="4">
        <v>2008</v>
      </c>
      <c r="G69" s="9">
        <v>338.44</v>
      </c>
    </row>
    <row r="70" spans="1:7" ht="15.6" x14ac:dyDescent="0.3">
      <c r="A70" s="16">
        <v>45083</v>
      </c>
      <c r="B70" s="10" t="s">
        <v>10</v>
      </c>
      <c r="C70" s="10" t="s">
        <v>11</v>
      </c>
      <c r="D70" s="10" t="s">
        <v>15</v>
      </c>
      <c r="E70" s="4">
        <v>7</v>
      </c>
      <c r="F70" s="4">
        <v>2842</v>
      </c>
      <c r="G70" s="9">
        <v>425.24</v>
      </c>
    </row>
    <row r="71" spans="1:7" ht="15.6" x14ac:dyDescent="0.3">
      <c r="A71" s="16">
        <v>45323</v>
      </c>
      <c r="B71" s="10" t="s">
        <v>10</v>
      </c>
      <c r="C71" s="10" t="s">
        <v>11</v>
      </c>
      <c r="D71" s="10" t="s">
        <v>12</v>
      </c>
      <c r="E71" s="4">
        <v>4</v>
      </c>
      <c r="F71" s="4">
        <v>3404</v>
      </c>
      <c r="G71" s="9">
        <v>392.22</v>
      </c>
    </row>
    <row r="72" spans="1:7" ht="15.6" x14ac:dyDescent="0.3">
      <c r="A72" s="16">
        <v>45077</v>
      </c>
      <c r="B72" s="10" t="s">
        <v>19</v>
      </c>
      <c r="C72" s="10" t="s">
        <v>14</v>
      </c>
      <c r="D72" s="10" t="s">
        <v>16</v>
      </c>
      <c r="E72" s="4">
        <v>1</v>
      </c>
      <c r="F72" s="4">
        <v>1065</v>
      </c>
      <c r="G72" s="9">
        <v>228.63</v>
      </c>
    </row>
    <row r="73" spans="1:7" ht="15.6" x14ac:dyDescent="0.3">
      <c r="A73" s="16">
        <v>45457</v>
      </c>
      <c r="B73" s="10" t="s">
        <v>13</v>
      </c>
      <c r="C73" s="10" t="s">
        <v>14</v>
      </c>
      <c r="D73" s="10" t="s">
        <v>16</v>
      </c>
      <c r="E73" s="4">
        <v>7</v>
      </c>
      <c r="F73" s="4">
        <v>2149</v>
      </c>
      <c r="G73" s="9">
        <v>121.69</v>
      </c>
    </row>
    <row r="74" spans="1:7" ht="15.6" x14ac:dyDescent="0.3">
      <c r="A74" s="16">
        <v>45518</v>
      </c>
      <c r="B74" s="10" t="s">
        <v>22</v>
      </c>
      <c r="C74" s="10" t="s">
        <v>11</v>
      </c>
      <c r="D74" s="10" t="s">
        <v>12</v>
      </c>
      <c r="E74" s="4">
        <v>8</v>
      </c>
      <c r="F74" s="4">
        <v>5912</v>
      </c>
      <c r="G74" s="9">
        <v>1143.04</v>
      </c>
    </row>
    <row r="75" spans="1:7" ht="15.6" x14ac:dyDescent="0.3">
      <c r="A75" s="16">
        <v>44958</v>
      </c>
      <c r="B75" s="10" t="s">
        <v>10</v>
      </c>
      <c r="C75" s="10" t="s">
        <v>11</v>
      </c>
      <c r="D75" s="10" t="s">
        <v>16</v>
      </c>
      <c r="E75" s="4">
        <v>3</v>
      </c>
      <c r="F75" s="4">
        <v>3348</v>
      </c>
      <c r="G75" s="9">
        <v>331.28</v>
      </c>
    </row>
    <row r="76" spans="1:7" ht="15.6" x14ac:dyDescent="0.3">
      <c r="A76" s="16">
        <v>45410</v>
      </c>
      <c r="B76" s="10" t="s">
        <v>21</v>
      </c>
      <c r="C76" s="10" t="s">
        <v>14</v>
      </c>
      <c r="D76" s="10" t="s">
        <v>15</v>
      </c>
      <c r="E76" s="4">
        <v>3</v>
      </c>
      <c r="F76" s="4">
        <v>2409</v>
      </c>
      <c r="G76" s="9">
        <v>531.79</v>
      </c>
    </row>
    <row r="77" spans="1:7" ht="15.6" x14ac:dyDescent="0.3">
      <c r="A77" s="16">
        <v>45387</v>
      </c>
      <c r="B77" s="10" t="s">
        <v>13</v>
      </c>
      <c r="C77" s="10" t="s">
        <v>14</v>
      </c>
      <c r="D77" s="10" t="s">
        <v>9</v>
      </c>
      <c r="E77" s="4">
        <v>2</v>
      </c>
      <c r="F77" s="4">
        <v>328</v>
      </c>
      <c r="G77" s="9">
        <v>39.51</v>
      </c>
    </row>
    <row r="78" spans="1:7" ht="15.6" x14ac:dyDescent="0.3">
      <c r="A78" s="16">
        <v>45322</v>
      </c>
      <c r="B78" s="10" t="s">
        <v>21</v>
      </c>
      <c r="C78" s="10" t="s">
        <v>14</v>
      </c>
      <c r="D78" s="10" t="s">
        <v>16</v>
      </c>
      <c r="E78" s="4">
        <v>8</v>
      </c>
      <c r="F78" s="4">
        <v>6224</v>
      </c>
      <c r="G78" s="9">
        <v>1561.42</v>
      </c>
    </row>
    <row r="79" spans="1:7" ht="15.6" x14ac:dyDescent="0.3">
      <c r="A79" s="16">
        <v>45300</v>
      </c>
      <c r="B79" s="10" t="s">
        <v>19</v>
      </c>
      <c r="C79" s="10" t="s">
        <v>14</v>
      </c>
      <c r="D79" s="10" t="s">
        <v>9</v>
      </c>
      <c r="E79" s="4">
        <v>5</v>
      </c>
      <c r="F79" s="4">
        <v>2530</v>
      </c>
      <c r="G79" s="9">
        <v>486.09</v>
      </c>
    </row>
    <row r="80" spans="1:7" ht="15.6" x14ac:dyDescent="0.3">
      <c r="A80" s="16">
        <v>44657</v>
      </c>
      <c r="B80" s="10" t="s">
        <v>18</v>
      </c>
      <c r="C80" s="10" t="s">
        <v>11</v>
      </c>
      <c r="D80" s="10" t="s">
        <v>16</v>
      </c>
      <c r="E80" s="4">
        <v>4</v>
      </c>
      <c r="F80" s="4">
        <v>4108</v>
      </c>
      <c r="G80" s="9">
        <v>462.17</v>
      </c>
    </row>
    <row r="81" spans="1:7" ht="15.6" x14ac:dyDescent="0.3">
      <c r="A81" s="16">
        <v>45434</v>
      </c>
      <c r="B81" s="10" t="s">
        <v>7</v>
      </c>
      <c r="C81" s="10" t="s">
        <v>8</v>
      </c>
      <c r="D81" s="10" t="s">
        <v>15</v>
      </c>
      <c r="E81" s="4">
        <v>5</v>
      </c>
      <c r="F81" s="4">
        <v>1640</v>
      </c>
      <c r="G81" s="9">
        <v>391.36</v>
      </c>
    </row>
    <row r="82" spans="1:7" ht="15.6" x14ac:dyDescent="0.3">
      <c r="A82" s="16">
        <v>45290</v>
      </c>
      <c r="B82" s="10" t="s">
        <v>23</v>
      </c>
      <c r="C82" s="10" t="s">
        <v>14</v>
      </c>
      <c r="D82" s="10" t="s">
        <v>15</v>
      </c>
      <c r="E82" s="4">
        <v>1</v>
      </c>
      <c r="F82" s="4">
        <v>111</v>
      </c>
      <c r="G82" s="9">
        <v>19.329999999999998</v>
      </c>
    </row>
    <row r="83" spans="1:7" ht="15.6" x14ac:dyDescent="0.3">
      <c r="A83" s="16">
        <v>44637</v>
      </c>
      <c r="B83" s="10" t="s">
        <v>18</v>
      </c>
      <c r="C83" s="10" t="s">
        <v>11</v>
      </c>
      <c r="D83" s="10" t="s">
        <v>9</v>
      </c>
      <c r="E83" s="4">
        <v>1</v>
      </c>
      <c r="F83" s="4">
        <v>445</v>
      </c>
      <c r="G83" s="9">
        <v>128.88999999999999</v>
      </c>
    </row>
    <row r="84" spans="1:7" ht="15.6" x14ac:dyDescent="0.3">
      <c r="A84" s="16">
        <v>44705</v>
      </c>
      <c r="B84" s="10" t="s">
        <v>7</v>
      </c>
      <c r="C84" s="10" t="s">
        <v>8</v>
      </c>
      <c r="D84" s="10" t="s">
        <v>9</v>
      </c>
      <c r="E84" s="4">
        <v>4</v>
      </c>
      <c r="F84" s="4">
        <v>3600</v>
      </c>
      <c r="G84" s="9">
        <v>623.72</v>
      </c>
    </row>
    <row r="85" spans="1:7" ht="15.6" x14ac:dyDescent="0.3">
      <c r="A85" s="16">
        <v>45452</v>
      </c>
      <c r="B85" s="10" t="s">
        <v>10</v>
      </c>
      <c r="C85" s="10" t="s">
        <v>11</v>
      </c>
      <c r="D85" s="10" t="s">
        <v>9</v>
      </c>
      <c r="E85" s="4">
        <v>3</v>
      </c>
      <c r="F85" s="4">
        <v>1335</v>
      </c>
      <c r="G85" s="9">
        <v>176.44</v>
      </c>
    </row>
    <row r="86" spans="1:7" ht="15.6" x14ac:dyDescent="0.3">
      <c r="A86" s="16">
        <v>45627</v>
      </c>
      <c r="B86" s="10" t="s">
        <v>22</v>
      </c>
      <c r="C86" s="10" t="s">
        <v>11</v>
      </c>
      <c r="D86" s="10" t="s">
        <v>15</v>
      </c>
      <c r="E86" s="4">
        <v>5</v>
      </c>
      <c r="F86" s="4">
        <v>3090</v>
      </c>
      <c r="G86" s="9">
        <v>242.15</v>
      </c>
    </row>
    <row r="87" spans="1:7" ht="15.6" x14ac:dyDescent="0.3">
      <c r="A87" s="16">
        <v>45219</v>
      </c>
      <c r="B87" s="10" t="s">
        <v>7</v>
      </c>
      <c r="C87" s="10" t="s">
        <v>8</v>
      </c>
      <c r="D87" s="10" t="s">
        <v>12</v>
      </c>
      <c r="E87" s="4">
        <v>5</v>
      </c>
      <c r="F87" s="4">
        <v>3910</v>
      </c>
      <c r="G87" s="9">
        <v>538.52</v>
      </c>
    </row>
    <row r="88" spans="1:7" ht="15.6" x14ac:dyDescent="0.3">
      <c r="A88" s="16">
        <v>45356</v>
      </c>
      <c r="B88" s="10" t="s">
        <v>17</v>
      </c>
      <c r="C88" s="10" t="s">
        <v>14</v>
      </c>
      <c r="D88" s="10" t="s">
        <v>15</v>
      </c>
      <c r="E88" s="4">
        <v>1</v>
      </c>
      <c r="F88" s="4">
        <v>219</v>
      </c>
      <c r="G88" s="9">
        <v>32.67</v>
      </c>
    </row>
    <row r="89" spans="1:7" ht="15.6" x14ac:dyDescent="0.3">
      <c r="A89" s="16">
        <v>44900</v>
      </c>
      <c r="B89" s="10" t="s">
        <v>21</v>
      </c>
      <c r="C89" s="10" t="s">
        <v>14</v>
      </c>
      <c r="D89" s="10" t="s">
        <v>16</v>
      </c>
      <c r="E89" s="4">
        <v>5</v>
      </c>
      <c r="F89" s="4">
        <v>390</v>
      </c>
      <c r="G89" s="9">
        <v>27.77</v>
      </c>
    </row>
    <row r="90" spans="1:7" ht="15.6" x14ac:dyDescent="0.3">
      <c r="A90" s="16">
        <v>44778</v>
      </c>
      <c r="B90" s="10" t="s">
        <v>23</v>
      </c>
      <c r="C90" s="10" t="s">
        <v>14</v>
      </c>
      <c r="D90" s="10" t="s">
        <v>9</v>
      </c>
      <c r="E90" s="4">
        <v>6</v>
      </c>
      <c r="F90" s="4">
        <v>3294</v>
      </c>
      <c r="G90" s="9">
        <v>359.61</v>
      </c>
    </row>
    <row r="91" spans="1:7" ht="15.6" x14ac:dyDescent="0.3">
      <c r="A91" s="16">
        <v>45006</v>
      </c>
      <c r="B91" s="10" t="s">
        <v>22</v>
      </c>
      <c r="C91" s="10" t="s">
        <v>11</v>
      </c>
      <c r="D91" s="10" t="s">
        <v>16</v>
      </c>
      <c r="E91" s="4">
        <v>4</v>
      </c>
      <c r="F91" s="4">
        <v>4572</v>
      </c>
      <c r="G91" s="9">
        <v>1038.05</v>
      </c>
    </row>
    <row r="92" spans="1:7" ht="15.6" x14ac:dyDescent="0.3">
      <c r="A92" s="16">
        <v>44600</v>
      </c>
      <c r="B92" s="10" t="s">
        <v>20</v>
      </c>
      <c r="C92" s="10" t="s">
        <v>11</v>
      </c>
      <c r="D92" s="10" t="s">
        <v>15</v>
      </c>
      <c r="E92" s="4">
        <v>7</v>
      </c>
      <c r="F92" s="4">
        <v>980</v>
      </c>
      <c r="G92" s="9">
        <v>109.94</v>
      </c>
    </row>
    <row r="93" spans="1:7" ht="15.6" x14ac:dyDescent="0.3">
      <c r="A93" s="16">
        <v>45017</v>
      </c>
      <c r="B93" s="10" t="s">
        <v>18</v>
      </c>
      <c r="C93" s="10" t="s">
        <v>11</v>
      </c>
      <c r="D93" s="10" t="s">
        <v>9</v>
      </c>
      <c r="E93" s="4">
        <v>2</v>
      </c>
      <c r="F93" s="4">
        <v>2262</v>
      </c>
      <c r="G93" s="9">
        <v>532.12</v>
      </c>
    </row>
    <row r="94" spans="1:7" ht="15.6" x14ac:dyDescent="0.3">
      <c r="A94" s="16">
        <v>44909</v>
      </c>
      <c r="B94" s="10" t="s">
        <v>17</v>
      </c>
      <c r="C94" s="10" t="s">
        <v>14</v>
      </c>
      <c r="D94" s="10" t="s">
        <v>15</v>
      </c>
      <c r="E94" s="4">
        <v>7</v>
      </c>
      <c r="F94" s="4">
        <v>7518</v>
      </c>
      <c r="G94" s="9">
        <v>1655.91</v>
      </c>
    </row>
    <row r="95" spans="1:7" ht="15.6" x14ac:dyDescent="0.3">
      <c r="A95" s="16">
        <v>44695</v>
      </c>
      <c r="B95" s="10" t="s">
        <v>17</v>
      </c>
      <c r="C95" s="10" t="s">
        <v>14</v>
      </c>
      <c r="D95" s="10" t="s">
        <v>15</v>
      </c>
      <c r="E95" s="4">
        <v>1</v>
      </c>
      <c r="F95" s="4">
        <v>873</v>
      </c>
      <c r="G95" s="9">
        <v>158.97</v>
      </c>
    </row>
    <row r="96" spans="1:7" ht="15.6" x14ac:dyDescent="0.3">
      <c r="A96" s="16">
        <v>44608</v>
      </c>
      <c r="B96" s="10" t="s">
        <v>10</v>
      </c>
      <c r="C96" s="10" t="s">
        <v>11</v>
      </c>
      <c r="D96" s="10" t="s">
        <v>9</v>
      </c>
      <c r="E96" s="4">
        <v>6</v>
      </c>
      <c r="F96" s="4">
        <v>1512</v>
      </c>
      <c r="G96" s="9">
        <v>423.03</v>
      </c>
    </row>
    <row r="97" spans="1:7" ht="15.6" x14ac:dyDescent="0.3">
      <c r="A97" s="16">
        <v>45532</v>
      </c>
      <c r="B97" s="10" t="s">
        <v>23</v>
      </c>
      <c r="C97" s="10" t="s">
        <v>14</v>
      </c>
      <c r="D97" s="10" t="s">
        <v>16</v>
      </c>
      <c r="E97" s="4">
        <v>1</v>
      </c>
      <c r="F97" s="4">
        <v>705</v>
      </c>
      <c r="G97" s="9">
        <v>165.16</v>
      </c>
    </row>
    <row r="98" spans="1:7" ht="15.6" x14ac:dyDescent="0.3">
      <c r="A98" s="16">
        <v>45229</v>
      </c>
      <c r="B98" s="10" t="s">
        <v>19</v>
      </c>
      <c r="C98" s="10" t="s">
        <v>14</v>
      </c>
      <c r="D98" s="10" t="s">
        <v>9</v>
      </c>
      <c r="E98" s="4">
        <v>8</v>
      </c>
      <c r="F98" s="4">
        <v>3256</v>
      </c>
      <c r="G98" s="9">
        <v>533.70000000000005</v>
      </c>
    </row>
    <row r="99" spans="1:7" ht="15.6" x14ac:dyDescent="0.3">
      <c r="A99" s="16">
        <v>45101</v>
      </c>
      <c r="B99" s="10" t="s">
        <v>13</v>
      </c>
      <c r="C99" s="10" t="s">
        <v>14</v>
      </c>
      <c r="D99" s="10" t="s">
        <v>16</v>
      </c>
      <c r="E99" s="4">
        <v>4</v>
      </c>
      <c r="F99" s="4">
        <v>556</v>
      </c>
      <c r="G99" s="9">
        <v>81.77</v>
      </c>
    </row>
    <row r="100" spans="1:7" ht="15.6" x14ac:dyDescent="0.3">
      <c r="A100" s="16">
        <v>45063</v>
      </c>
      <c r="B100" s="10" t="s">
        <v>10</v>
      </c>
      <c r="C100" s="10" t="s">
        <v>11</v>
      </c>
      <c r="D100" s="10" t="s">
        <v>12</v>
      </c>
      <c r="E100" s="4">
        <v>9</v>
      </c>
      <c r="F100" s="4">
        <v>7101</v>
      </c>
      <c r="G100" s="9">
        <v>2105.8200000000002</v>
      </c>
    </row>
    <row r="101" spans="1:7" ht="15.6" x14ac:dyDescent="0.3">
      <c r="A101" s="16">
        <v>45022</v>
      </c>
      <c r="B101" s="10" t="s">
        <v>23</v>
      </c>
      <c r="C101" s="10" t="s">
        <v>14</v>
      </c>
      <c r="D101" s="10" t="s">
        <v>16</v>
      </c>
      <c r="E101" s="4">
        <v>9</v>
      </c>
      <c r="F101" s="4">
        <v>8802</v>
      </c>
      <c r="G101" s="9">
        <v>1344.96</v>
      </c>
    </row>
    <row r="102" spans="1:7" ht="15.6" x14ac:dyDescent="0.3">
      <c r="A102" s="16">
        <v>45011</v>
      </c>
      <c r="B102" s="10" t="s">
        <v>18</v>
      </c>
      <c r="C102" s="10" t="s">
        <v>11</v>
      </c>
      <c r="D102" s="10" t="s">
        <v>15</v>
      </c>
      <c r="E102" s="4">
        <v>6</v>
      </c>
      <c r="F102" s="4">
        <v>5592</v>
      </c>
      <c r="G102" s="9">
        <v>1294.1600000000001</v>
      </c>
    </row>
    <row r="103" spans="1:7" ht="15.6" x14ac:dyDescent="0.3">
      <c r="A103" s="16">
        <v>45577</v>
      </c>
      <c r="B103" s="10" t="s">
        <v>13</v>
      </c>
      <c r="C103" s="10" t="s">
        <v>14</v>
      </c>
      <c r="D103" s="10" t="s">
        <v>9</v>
      </c>
      <c r="E103" s="4">
        <v>2</v>
      </c>
      <c r="F103" s="4">
        <v>1852</v>
      </c>
      <c r="G103" s="9">
        <v>168.92</v>
      </c>
    </row>
    <row r="104" spans="1:7" ht="15.6" x14ac:dyDescent="0.3">
      <c r="A104" s="16">
        <v>44738</v>
      </c>
      <c r="B104" s="10" t="s">
        <v>20</v>
      </c>
      <c r="C104" s="10" t="s">
        <v>11</v>
      </c>
      <c r="D104" s="10" t="s">
        <v>12</v>
      </c>
      <c r="E104" s="4">
        <v>1</v>
      </c>
      <c r="F104" s="4">
        <v>195</v>
      </c>
      <c r="G104" s="9">
        <v>57.88</v>
      </c>
    </row>
    <row r="105" spans="1:7" ht="15.6" x14ac:dyDescent="0.3">
      <c r="A105" s="16">
        <v>44666</v>
      </c>
      <c r="B105" s="10" t="s">
        <v>10</v>
      </c>
      <c r="C105" s="10" t="s">
        <v>11</v>
      </c>
      <c r="D105" s="10" t="s">
        <v>12</v>
      </c>
      <c r="E105" s="4">
        <v>9</v>
      </c>
      <c r="F105" s="4">
        <v>7884</v>
      </c>
      <c r="G105" s="9">
        <v>2054.02</v>
      </c>
    </row>
    <row r="106" spans="1:7" ht="15.6" x14ac:dyDescent="0.3">
      <c r="A106" s="16">
        <v>45270</v>
      </c>
      <c r="B106" s="10" t="s">
        <v>23</v>
      </c>
      <c r="C106" s="10" t="s">
        <v>14</v>
      </c>
      <c r="D106" s="10" t="s">
        <v>12</v>
      </c>
      <c r="E106" s="4">
        <v>5</v>
      </c>
      <c r="F106" s="4">
        <v>4360</v>
      </c>
      <c r="G106" s="9">
        <v>1160.55</v>
      </c>
    </row>
    <row r="107" spans="1:7" ht="15.6" x14ac:dyDescent="0.3">
      <c r="A107" s="16">
        <v>45558</v>
      </c>
      <c r="B107" s="10" t="s">
        <v>10</v>
      </c>
      <c r="C107" s="10" t="s">
        <v>11</v>
      </c>
      <c r="D107" s="10" t="s">
        <v>9</v>
      </c>
      <c r="E107" s="4">
        <v>6</v>
      </c>
      <c r="F107" s="4">
        <v>4920</v>
      </c>
      <c r="G107" s="9">
        <v>929.18</v>
      </c>
    </row>
    <row r="108" spans="1:7" ht="15.6" x14ac:dyDescent="0.3">
      <c r="A108" s="16">
        <v>44562</v>
      </c>
      <c r="B108" s="10" t="s">
        <v>10</v>
      </c>
      <c r="C108" s="10" t="s">
        <v>11</v>
      </c>
      <c r="D108" s="10" t="s">
        <v>12</v>
      </c>
      <c r="E108" s="4">
        <v>3</v>
      </c>
      <c r="F108" s="4">
        <v>3474</v>
      </c>
      <c r="G108" s="9">
        <v>565</v>
      </c>
    </row>
    <row r="109" spans="1:7" ht="15.6" x14ac:dyDescent="0.3">
      <c r="A109" s="16">
        <v>44595</v>
      </c>
      <c r="B109" s="10" t="s">
        <v>22</v>
      </c>
      <c r="C109" s="10" t="s">
        <v>11</v>
      </c>
      <c r="D109" s="10" t="s">
        <v>16</v>
      </c>
      <c r="E109" s="4">
        <v>1</v>
      </c>
      <c r="F109" s="4">
        <v>930</v>
      </c>
      <c r="G109" s="9">
        <v>222.5</v>
      </c>
    </row>
    <row r="110" spans="1:7" ht="15.6" x14ac:dyDescent="0.3">
      <c r="A110" s="16">
        <v>44999</v>
      </c>
      <c r="B110" s="10" t="s">
        <v>13</v>
      </c>
      <c r="C110" s="10" t="s">
        <v>14</v>
      </c>
      <c r="D110" s="10" t="s">
        <v>15</v>
      </c>
      <c r="E110" s="4">
        <v>7</v>
      </c>
      <c r="F110" s="4">
        <v>1421</v>
      </c>
      <c r="G110" s="9">
        <v>248.02</v>
      </c>
    </row>
    <row r="111" spans="1:7" ht="15.6" x14ac:dyDescent="0.3">
      <c r="A111" s="16">
        <v>44797</v>
      </c>
      <c r="B111" s="10" t="s">
        <v>18</v>
      </c>
      <c r="C111" s="10" t="s">
        <v>11</v>
      </c>
      <c r="D111" s="10" t="s">
        <v>9</v>
      </c>
      <c r="E111" s="4">
        <v>2</v>
      </c>
      <c r="F111" s="4">
        <v>634</v>
      </c>
      <c r="G111" s="9">
        <v>161.1</v>
      </c>
    </row>
    <row r="112" spans="1:7" ht="15.6" x14ac:dyDescent="0.3">
      <c r="A112" s="16">
        <v>45480</v>
      </c>
      <c r="B112" s="10" t="s">
        <v>17</v>
      </c>
      <c r="C112" s="10" t="s">
        <v>14</v>
      </c>
      <c r="D112" s="10" t="s">
        <v>12</v>
      </c>
      <c r="E112" s="4">
        <v>1</v>
      </c>
      <c r="F112" s="4">
        <v>673</v>
      </c>
      <c r="G112" s="9">
        <v>114.42</v>
      </c>
    </row>
    <row r="113" spans="1:7" ht="15.6" x14ac:dyDescent="0.3">
      <c r="A113" s="16">
        <v>44664</v>
      </c>
      <c r="B113" s="10" t="s">
        <v>10</v>
      </c>
      <c r="C113" s="10" t="s">
        <v>11</v>
      </c>
      <c r="D113" s="10" t="s">
        <v>15</v>
      </c>
      <c r="E113" s="4">
        <v>5</v>
      </c>
      <c r="F113" s="4">
        <v>3135</v>
      </c>
      <c r="G113" s="9">
        <v>787.7</v>
      </c>
    </row>
    <row r="114" spans="1:7" ht="15.6" x14ac:dyDescent="0.3">
      <c r="A114" s="16">
        <v>45420</v>
      </c>
      <c r="B114" s="10" t="s">
        <v>21</v>
      </c>
      <c r="C114" s="10" t="s">
        <v>14</v>
      </c>
      <c r="D114" s="10" t="s">
        <v>12</v>
      </c>
      <c r="E114" s="4">
        <v>6</v>
      </c>
      <c r="F114" s="4">
        <v>882</v>
      </c>
      <c r="G114" s="9">
        <v>184.48</v>
      </c>
    </row>
    <row r="115" spans="1:7" ht="15.6" x14ac:dyDescent="0.3">
      <c r="A115" s="16">
        <v>45545</v>
      </c>
      <c r="B115" s="10" t="s">
        <v>21</v>
      </c>
      <c r="C115" s="10" t="s">
        <v>14</v>
      </c>
      <c r="D115" s="10" t="s">
        <v>12</v>
      </c>
      <c r="E115" s="4">
        <v>4</v>
      </c>
      <c r="F115" s="4">
        <v>1192</v>
      </c>
      <c r="G115" s="9">
        <v>212.77</v>
      </c>
    </row>
    <row r="116" spans="1:7" ht="15.6" x14ac:dyDescent="0.3">
      <c r="A116" s="16">
        <v>45461</v>
      </c>
      <c r="B116" s="10" t="s">
        <v>7</v>
      </c>
      <c r="C116" s="10" t="s">
        <v>8</v>
      </c>
      <c r="D116" s="10" t="s">
        <v>15</v>
      </c>
      <c r="E116" s="4">
        <v>3</v>
      </c>
      <c r="F116" s="4">
        <v>390</v>
      </c>
      <c r="G116" s="9">
        <v>112.08</v>
      </c>
    </row>
    <row r="117" spans="1:7" ht="15.6" x14ac:dyDescent="0.3">
      <c r="A117" s="16">
        <v>45545</v>
      </c>
      <c r="B117" s="10" t="s">
        <v>13</v>
      </c>
      <c r="C117" s="10" t="s">
        <v>14</v>
      </c>
      <c r="D117" s="10" t="s">
        <v>9</v>
      </c>
      <c r="E117" s="4">
        <v>1</v>
      </c>
      <c r="F117" s="4">
        <v>834</v>
      </c>
      <c r="G117" s="9">
        <v>95.54</v>
      </c>
    </row>
    <row r="118" spans="1:7" ht="15.6" x14ac:dyDescent="0.3">
      <c r="A118" s="16">
        <v>44687</v>
      </c>
      <c r="B118" s="10" t="s">
        <v>21</v>
      </c>
      <c r="C118" s="10" t="s">
        <v>14</v>
      </c>
      <c r="D118" s="10" t="s">
        <v>12</v>
      </c>
      <c r="E118" s="4">
        <v>6</v>
      </c>
      <c r="F118" s="4">
        <v>612</v>
      </c>
      <c r="G118" s="9">
        <v>83.75</v>
      </c>
    </row>
    <row r="119" spans="1:7" ht="15.6" x14ac:dyDescent="0.3">
      <c r="A119" s="16">
        <v>45461</v>
      </c>
      <c r="B119" s="10" t="s">
        <v>18</v>
      </c>
      <c r="C119" s="10" t="s">
        <v>11</v>
      </c>
      <c r="D119" s="10" t="s">
        <v>16</v>
      </c>
      <c r="E119" s="4">
        <v>9</v>
      </c>
      <c r="F119" s="4">
        <v>8073</v>
      </c>
      <c r="G119" s="9">
        <v>710.23</v>
      </c>
    </row>
    <row r="120" spans="1:7" ht="15.6" x14ac:dyDescent="0.3">
      <c r="A120" s="16">
        <v>45228</v>
      </c>
      <c r="B120" s="10" t="s">
        <v>22</v>
      </c>
      <c r="C120" s="10" t="s">
        <v>11</v>
      </c>
      <c r="D120" s="10" t="s">
        <v>9</v>
      </c>
      <c r="E120" s="4">
        <v>8</v>
      </c>
      <c r="F120" s="4">
        <v>2640</v>
      </c>
      <c r="G120" s="9">
        <v>723.88</v>
      </c>
    </row>
    <row r="121" spans="1:7" ht="15.6" x14ac:dyDescent="0.3">
      <c r="A121" s="16">
        <v>45243</v>
      </c>
      <c r="B121" s="10" t="s">
        <v>21</v>
      </c>
      <c r="C121" s="10" t="s">
        <v>14</v>
      </c>
      <c r="D121" s="10" t="s">
        <v>9</v>
      </c>
      <c r="E121" s="4">
        <v>3</v>
      </c>
      <c r="F121" s="4">
        <v>3234</v>
      </c>
      <c r="G121" s="9">
        <v>440.7</v>
      </c>
    </row>
    <row r="122" spans="1:7" ht="15.6" x14ac:dyDescent="0.3">
      <c r="A122" s="16">
        <v>44794</v>
      </c>
      <c r="B122" s="10" t="s">
        <v>20</v>
      </c>
      <c r="C122" s="10" t="s">
        <v>11</v>
      </c>
      <c r="D122" s="10" t="s">
        <v>16</v>
      </c>
      <c r="E122" s="4">
        <v>5</v>
      </c>
      <c r="F122" s="4">
        <v>4435</v>
      </c>
      <c r="G122" s="9">
        <v>355.51</v>
      </c>
    </row>
    <row r="123" spans="1:7" ht="15.6" x14ac:dyDescent="0.3">
      <c r="A123" s="16">
        <v>45355</v>
      </c>
      <c r="B123" s="10" t="s">
        <v>19</v>
      </c>
      <c r="C123" s="10" t="s">
        <v>14</v>
      </c>
      <c r="D123" s="10" t="s">
        <v>9</v>
      </c>
      <c r="E123" s="4">
        <v>2</v>
      </c>
      <c r="F123" s="4">
        <v>2302</v>
      </c>
      <c r="G123" s="9">
        <v>305.07</v>
      </c>
    </row>
    <row r="124" spans="1:7" ht="15.6" x14ac:dyDescent="0.3">
      <c r="A124" s="16">
        <v>44668</v>
      </c>
      <c r="B124" s="10" t="s">
        <v>17</v>
      </c>
      <c r="C124" s="10" t="s">
        <v>14</v>
      </c>
      <c r="D124" s="10" t="s">
        <v>12</v>
      </c>
      <c r="E124" s="4">
        <v>6</v>
      </c>
      <c r="F124" s="4">
        <v>1728</v>
      </c>
      <c r="G124" s="9">
        <v>307.44</v>
      </c>
    </row>
    <row r="125" spans="1:7" ht="15.6" x14ac:dyDescent="0.3">
      <c r="A125" s="16">
        <v>45280</v>
      </c>
      <c r="B125" s="10" t="s">
        <v>23</v>
      </c>
      <c r="C125" s="10" t="s">
        <v>14</v>
      </c>
      <c r="D125" s="10" t="s">
        <v>12</v>
      </c>
      <c r="E125" s="4">
        <v>4</v>
      </c>
      <c r="F125" s="4">
        <v>228</v>
      </c>
      <c r="G125" s="9">
        <v>54.05</v>
      </c>
    </row>
    <row r="126" spans="1:7" ht="15.6" x14ac:dyDescent="0.3">
      <c r="A126" s="16">
        <v>44639</v>
      </c>
      <c r="B126" s="10" t="s">
        <v>13</v>
      </c>
      <c r="C126" s="10" t="s">
        <v>14</v>
      </c>
      <c r="D126" s="10" t="s">
        <v>16</v>
      </c>
      <c r="E126" s="4">
        <v>6</v>
      </c>
      <c r="F126" s="4">
        <v>3450</v>
      </c>
      <c r="G126" s="9">
        <v>705.74</v>
      </c>
    </row>
    <row r="127" spans="1:7" ht="15.6" x14ac:dyDescent="0.3">
      <c r="A127" s="16">
        <v>45480</v>
      </c>
      <c r="B127" s="10" t="s">
        <v>21</v>
      </c>
      <c r="C127" s="10" t="s">
        <v>14</v>
      </c>
      <c r="D127" s="10" t="s">
        <v>15</v>
      </c>
      <c r="E127" s="4">
        <v>8</v>
      </c>
      <c r="F127" s="4">
        <v>7456</v>
      </c>
      <c r="G127" s="9">
        <v>1702.48</v>
      </c>
    </row>
    <row r="128" spans="1:7" ht="15.6" x14ac:dyDescent="0.3">
      <c r="A128" s="16">
        <v>45046</v>
      </c>
      <c r="B128" s="10" t="s">
        <v>21</v>
      </c>
      <c r="C128" s="10" t="s">
        <v>14</v>
      </c>
      <c r="D128" s="10" t="s">
        <v>16</v>
      </c>
      <c r="E128" s="4">
        <v>6</v>
      </c>
      <c r="F128" s="4">
        <v>4728</v>
      </c>
      <c r="G128" s="9">
        <v>705.85</v>
      </c>
    </row>
    <row r="129" spans="1:7" ht="15.6" x14ac:dyDescent="0.3">
      <c r="A129" s="16">
        <v>45373</v>
      </c>
      <c r="B129" s="10" t="s">
        <v>19</v>
      </c>
      <c r="C129" s="10" t="s">
        <v>14</v>
      </c>
      <c r="D129" s="10" t="s">
        <v>9</v>
      </c>
      <c r="E129" s="4">
        <v>7</v>
      </c>
      <c r="F129" s="4">
        <v>945</v>
      </c>
      <c r="G129" s="9">
        <v>124.62</v>
      </c>
    </row>
    <row r="130" spans="1:7" ht="15.6" x14ac:dyDescent="0.3">
      <c r="A130" s="16">
        <v>44628</v>
      </c>
      <c r="B130" s="10" t="s">
        <v>23</v>
      </c>
      <c r="C130" s="10" t="s">
        <v>14</v>
      </c>
      <c r="D130" s="10" t="s">
        <v>9</v>
      </c>
      <c r="E130" s="4">
        <v>4</v>
      </c>
      <c r="F130" s="4">
        <v>296</v>
      </c>
      <c r="G130" s="9">
        <v>65.05</v>
      </c>
    </row>
    <row r="131" spans="1:7" ht="15.6" x14ac:dyDescent="0.3">
      <c r="A131" s="16">
        <v>45184</v>
      </c>
      <c r="B131" s="10" t="s">
        <v>21</v>
      </c>
      <c r="C131" s="10" t="s">
        <v>14</v>
      </c>
      <c r="D131" s="10" t="s">
        <v>16</v>
      </c>
      <c r="E131" s="4">
        <v>4</v>
      </c>
      <c r="F131" s="4">
        <v>640</v>
      </c>
      <c r="G131" s="9">
        <v>149.88999999999999</v>
      </c>
    </row>
    <row r="132" spans="1:7" ht="15.6" x14ac:dyDescent="0.3">
      <c r="A132" s="16">
        <v>44986</v>
      </c>
      <c r="B132" s="10" t="s">
        <v>13</v>
      </c>
      <c r="C132" s="10" t="s">
        <v>14</v>
      </c>
      <c r="D132" s="10" t="s">
        <v>9</v>
      </c>
      <c r="E132" s="4">
        <v>1</v>
      </c>
      <c r="F132" s="4">
        <v>797</v>
      </c>
      <c r="G132" s="9">
        <v>65.27</v>
      </c>
    </row>
    <row r="133" spans="1:7" ht="15.6" x14ac:dyDescent="0.3">
      <c r="A133" s="16">
        <v>45223</v>
      </c>
      <c r="B133" s="10" t="s">
        <v>20</v>
      </c>
      <c r="C133" s="10" t="s">
        <v>11</v>
      </c>
      <c r="D133" s="10" t="s">
        <v>9</v>
      </c>
      <c r="E133" s="4">
        <v>4</v>
      </c>
      <c r="F133" s="4">
        <v>1456</v>
      </c>
      <c r="G133" s="9">
        <v>431.89</v>
      </c>
    </row>
    <row r="134" spans="1:7" ht="15.6" x14ac:dyDescent="0.3">
      <c r="A134" s="16">
        <v>45404</v>
      </c>
      <c r="B134" s="10" t="s">
        <v>20</v>
      </c>
      <c r="C134" s="10" t="s">
        <v>11</v>
      </c>
      <c r="D134" s="10" t="s">
        <v>15</v>
      </c>
      <c r="E134" s="4">
        <v>6</v>
      </c>
      <c r="F134" s="4">
        <v>4038</v>
      </c>
      <c r="G134" s="9">
        <v>364.11</v>
      </c>
    </row>
    <row r="135" spans="1:7" ht="15.6" x14ac:dyDescent="0.3">
      <c r="A135" s="16">
        <v>45104</v>
      </c>
      <c r="B135" s="10" t="s">
        <v>13</v>
      </c>
      <c r="C135" s="10" t="s">
        <v>14</v>
      </c>
      <c r="D135" s="10" t="s">
        <v>16</v>
      </c>
      <c r="E135" s="4">
        <v>7</v>
      </c>
      <c r="F135" s="4">
        <v>5656</v>
      </c>
      <c r="G135" s="9">
        <v>355.81</v>
      </c>
    </row>
    <row r="136" spans="1:7" ht="15.6" x14ac:dyDescent="0.3">
      <c r="A136" s="16">
        <v>45029</v>
      </c>
      <c r="B136" s="10" t="s">
        <v>10</v>
      </c>
      <c r="C136" s="10" t="s">
        <v>11</v>
      </c>
      <c r="D136" s="10" t="s">
        <v>16</v>
      </c>
      <c r="E136" s="4">
        <v>4</v>
      </c>
      <c r="F136" s="4">
        <v>3876</v>
      </c>
      <c r="G136" s="9">
        <v>302.37</v>
      </c>
    </row>
    <row r="137" spans="1:7" ht="15.6" x14ac:dyDescent="0.3">
      <c r="A137" s="16">
        <v>45065</v>
      </c>
      <c r="B137" s="10" t="s">
        <v>22</v>
      </c>
      <c r="C137" s="10" t="s">
        <v>11</v>
      </c>
      <c r="D137" s="10" t="s">
        <v>15</v>
      </c>
      <c r="E137" s="4">
        <v>6</v>
      </c>
      <c r="F137" s="4">
        <v>1002</v>
      </c>
      <c r="G137" s="9">
        <v>114.7</v>
      </c>
    </row>
    <row r="138" spans="1:7" ht="15.6" x14ac:dyDescent="0.3">
      <c r="A138" s="16">
        <v>45611</v>
      </c>
      <c r="B138" s="10" t="s">
        <v>18</v>
      </c>
      <c r="C138" s="10" t="s">
        <v>11</v>
      </c>
      <c r="D138" s="10" t="s">
        <v>12</v>
      </c>
      <c r="E138" s="4">
        <v>9</v>
      </c>
      <c r="F138" s="4">
        <v>2187</v>
      </c>
      <c r="G138" s="9">
        <v>413.76</v>
      </c>
    </row>
    <row r="139" spans="1:7" ht="15.6" x14ac:dyDescent="0.3">
      <c r="A139" s="16">
        <v>45285</v>
      </c>
      <c r="B139" s="10" t="s">
        <v>10</v>
      </c>
      <c r="C139" s="10" t="s">
        <v>11</v>
      </c>
      <c r="D139" s="10" t="s">
        <v>9</v>
      </c>
      <c r="E139" s="4">
        <v>6</v>
      </c>
      <c r="F139" s="4">
        <v>7146</v>
      </c>
      <c r="G139" s="9">
        <v>1627.42</v>
      </c>
    </row>
    <row r="140" spans="1:7" ht="15.6" x14ac:dyDescent="0.3">
      <c r="A140" s="16">
        <v>44651</v>
      </c>
      <c r="B140" s="10" t="s">
        <v>22</v>
      </c>
      <c r="C140" s="10" t="s">
        <v>11</v>
      </c>
      <c r="D140" s="10" t="s">
        <v>15</v>
      </c>
      <c r="E140" s="4">
        <v>1</v>
      </c>
      <c r="F140" s="4">
        <v>189</v>
      </c>
      <c r="G140" s="9">
        <v>14.88</v>
      </c>
    </row>
    <row r="141" spans="1:7" ht="15.6" x14ac:dyDescent="0.3">
      <c r="A141" s="16">
        <v>45406</v>
      </c>
      <c r="B141" s="10" t="s">
        <v>20</v>
      </c>
      <c r="C141" s="10" t="s">
        <v>11</v>
      </c>
      <c r="D141" s="10" t="s">
        <v>12</v>
      </c>
      <c r="E141" s="4">
        <v>5</v>
      </c>
      <c r="F141" s="4">
        <v>940</v>
      </c>
      <c r="G141" s="9">
        <v>266.02</v>
      </c>
    </row>
    <row r="142" spans="1:7" ht="15.6" x14ac:dyDescent="0.3">
      <c r="A142" s="16">
        <v>44571</v>
      </c>
      <c r="B142" s="10" t="s">
        <v>18</v>
      </c>
      <c r="C142" s="10" t="s">
        <v>11</v>
      </c>
      <c r="D142" s="10" t="s">
        <v>9</v>
      </c>
      <c r="E142" s="4">
        <v>1</v>
      </c>
      <c r="F142" s="4">
        <v>951</v>
      </c>
      <c r="G142" s="9">
        <v>127.58</v>
      </c>
    </row>
    <row r="143" spans="1:7" ht="15.6" x14ac:dyDescent="0.3">
      <c r="A143" s="16">
        <v>44882</v>
      </c>
      <c r="B143" s="10" t="s">
        <v>7</v>
      </c>
      <c r="C143" s="10" t="s">
        <v>8</v>
      </c>
      <c r="D143" s="10" t="s">
        <v>12</v>
      </c>
      <c r="E143" s="4">
        <v>2</v>
      </c>
      <c r="F143" s="4">
        <v>124</v>
      </c>
      <c r="G143" s="9">
        <v>27.42</v>
      </c>
    </row>
    <row r="144" spans="1:7" ht="15.6" x14ac:dyDescent="0.3">
      <c r="A144" s="16">
        <v>45472</v>
      </c>
      <c r="B144" s="10" t="s">
        <v>10</v>
      </c>
      <c r="C144" s="10" t="s">
        <v>11</v>
      </c>
      <c r="D144" s="10" t="s">
        <v>16</v>
      </c>
      <c r="E144" s="4">
        <v>9</v>
      </c>
      <c r="F144" s="4">
        <v>7506</v>
      </c>
      <c r="G144" s="9">
        <v>594.28</v>
      </c>
    </row>
    <row r="145" spans="1:7" ht="15.6" x14ac:dyDescent="0.3">
      <c r="A145" s="16">
        <v>44879</v>
      </c>
      <c r="B145" s="10" t="s">
        <v>20</v>
      </c>
      <c r="C145" s="10" t="s">
        <v>11</v>
      </c>
      <c r="D145" s="10" t="s">
        <v>16</v>
      </c>
      <c r="E145" s="4">
        <v>7</v>
      </c>
      <c r="F145" s="4">
        <v>8176</v>
      </c>
      <c r="G145" s="9">
        <v>2308.7600000000002</v>
      </c>
    </row>
    <row r="146" spans="1:7" ht="15.6" x14ac:dyDescent="0.3">
      <c r="A146" s="16">
        <v>45149</v>
      </c>
      <c r="B146" s="10" t="s">
        <v>21</v>
      </c>
      <c r="C146" s="10" t="s">
        <v>14</v>
      </c>
      <c r="D146" s="10" t="s">
        <v>12</v>
      </c>
      <c r="E146" s="4">
        <v>5</v>
      </c>
      <c r="F146" s="4">
        <v>2125</v>
      </c>
      <c r="G146" s="9">
        <v>632.67999999999995</v>
      </c>
    </row>
    <row r="147" spans="1:7" ht="15.6" x14ac:dyDescent="0.3">
      <c r="A147" s="16">
        <v>45434</v>
      </c>
      <c r="B147" s="10" t="s">
        <v>18</v>
      </c>
      <c r="C147" s="10" t="s">
        <v>11</v>
      </c>
      <c r="D147" s="10" t="s">
        <v>9</v>
      </c>
      <c r="E147" s="4">
        <v>1</v>
      </c>
      <c r="F147" s="4">
        <v>967</v>
      </c>
      <c r="G147" s="9">
        <v>59.98</v>
      </c>
    </row>
    <row r="148" spans="1:7" ht="15.6" x14ac:dyDescent="0.3">
      <c r="A148" s="16">
        <v>44639</v>
      </c>
      <c r="B148" s="10" t="s">
        <v>18</v>
      </c>
      <c r="C148" s="10" t="s">
        <v>11</v>
      </c>
      <c r="D148" s="10" t="s">
        <v>15</v>
      </c>
      <c r="E148" s="4">
        <v>5</v>
      </c>
      <c r="F148" s="4">
        <v>270</v>
      </c>
      <c r="G148" s="9">
        <v>29.41</v>
      </c>
    </row>
    <row r="149" spans="1:7" ht="15.6" x14ac:dyDescent="0.3">
      <c r="A149" s="16">
        <v>44857</v>
      </c>
      <c r="B149" s="10" t="s">
        <v>22</v>
      </c>
      <c r="C149" s="10" t="s">
        <v>11</v>
      </c>
      <c r="D149" s="10" t="s">
        <v>16</v>
      </c>
      <c r="E149" s="4">
        <v>9</v>
      </c>
      <c r="F149" s="4">
        <v>10035</v>
      </c>
      <c r="G149" s="9">
        <v>1486.3</v>
      </c>
    </row>
    <row r="150" spans="1:7" ht="15.6" x14ac:dyDescent="0.3">
      <c r="A150" s="16">
        <v>44983</v>
      </c>
      <c r="B150" s="10" t="s">
        <v>7</v>
      </c>
      <c r="C150" s="10" t="s">
        <v>8</v>
      </c>
      <c r="D150" s="10" t="s">
        <v>9</v>
      </c>
      <c r="E150" s="4">
        <v>8</v>
      </c>
      <c r="F150" s="4">
        <v>6792</v>
      </c>
      <c r="G150" s="9">
        <v>1125.23</v>
      </c>
    </row>
    <row r="151" spans="1:7" ht="15.6" x14ac:dyDescent="0.3">
      <c r="A151" s="16">
        <v>45568</v>
      </c>
      <c r="B151" s="10" t="s">
        <v>7</v>
      </c>
      <c r="C151" s="10" t="s">
        <v>8</v>
      </c>
      <c r="D151" s="10" t="s">
        <v>12</v>
      </c>
      <c r="E151" s="4">
        <v>1</v>
      </c>
      <c r="F151" s="4">
        <v>714</v>
      </c>
      <c r="G151" s="9">
        <v>99.13</v>
      </c>
    </row>
    <row r="152" spans="1:7" ht="15.6" x14ac:dyDescent="0.3">
      <c r="A152" s="16">
        <v>44759</v>
      </c>
      <c r="B152" s="10" t="s">
        <v>21</v>
      </c>
      <c r="C152" s="10" t="s">
        <v>14</v>
      </c>
      <c r="D152" s="10" t="s">
        <v>15</v>
      </c>
      <c r="E152" s="4">
        <v>5</v>
      </c>
      <c r="F152" s="4">
        <v>765</v>
      </c>
      <c r="G152" s="9">
        <v>157.63999999999999</v>
      </c>
    </row>
    <row r="153" spans="1:7" ht="15.6" x14ac:dyDescent="0.3">
      <c r="A153" s="16">
        <v>45600</v>
      </c>
      <c r="B153" s="10" t="s">
        <v>18</v>
      </c>
      <c r="C153" s="10" t="s">
        <v>11</v>
      </c>
      <c r="D153" s="10" t="s">
        <v>12</v>
      </c>
      <c r="E153" s="4">
        <v>7</v>
      </c>
      <c r="F153" s="4">
        <v>4221</v>
      </c>
      <c r="G153" s="9">
        <v>358.02</v>
      </c>
    </row>
    <row r="154" spans="1:7" ht="15.6" x14ac:dyDescent="0.3">
      <c r="A154" s="16">
        <v>44981</v>
      </c>
      <c r="B154" s="10" t="s">
        <v>23</v>
      </c>
      <c r="C154" s="10" t="s">
        <v>14</v>
      </c>
      <c r="D154" s="10" t="s">
        <v>9</v>
      </c>
      <c r="E154" s="4">
        <v>4</v>
      </c>
      <c r="F154" s="4">
        <v>2108</v>
      </c>
      <c r="G154" s="9">
        <v>576.48</v>
      </c>
    </row>
    <row r="155" spans="1:7" ht="15.6" x14ac:dyDescent="0.3">
      <c r="A155" s="16">
        <v>45512</v>
      </c>
      <c r="B155" s="10" t="s">
        <v>20</v>
      </c>
      <c r="C155" s="10" t="s">
        <v>11</v>
      </c>
      <c r="D155" s="10" t="s">
        <v>9</v>
      </c>
      <c r="E155" s="4">
        <v>9</v>
      </c>
      <c r="F155" s="4">
        <v>10530</v>
      </c>
      <c r="G155" s="9">
        <v>2387.63</v>
      </c>
    </row>
    <row r="156" spans="1:7" ht="15.6" x14ac:dyDescent="0.3">
      <c r="A156" s="16">
        <v>45426</v>
      </c>
      <c r="B156" s="10" t="s">
        <v>22</v>
      </c>
      <c r="C156" s="10" t="s">
        <v>11</v>
      </c>
      <c r="D156" s="10" t="s">
        <v>15</v>
      </c>
      <c r="E156" s="4">
        <v>6</v>
      </c>
      <c r="F156" s="4">
        <v>3396</v>
      </c>
      <c r="G156" s="9">
        <v>914.17</v>
      </c>
    </row>
    <row r="157" spans="1:7" ht="15.6" x14ac:dyDescent="0.3">
      <c r="A157" s="16">
        <v>44576</v>
      </c>
      <c r="B157" s="10" t="s">
        <v>20</v>
      </c>
      <c r="C157" s="10" t="s">
        <v>11</v>
      </c>
      <c r="D157" s="10" t="s">
        <v>9</v>
      </c>
      <c r="E157" s="4">
        <v>4</v>
      </c>
      <c r="F157" s="4">
        <v>1060</v>
      </c>
      <c r="G157" s="9">
        <v>213.05</v>
      </c>
    </row>
    <row r="158" spans="1:7" ht="15.6" x14ac:dyDescent="0.3">
      <c r="A158" s="16">
        <v>44691</v>
      </c>
      <c r="B158" s="10" t="s">
        <v>13</v>
      </c>
      <c r="C158" s="10" t="s">
        <v>14</v>
      </c>
      <c r="D158" s="10" t="s">
        <v>12</v>
      </c>
      <c r="E158" s="4">
        <v>5</v>
      </c>
      <c r="F158" s="4">
        <v>480</v>
      </c>
      <c r="G158" s="9">
        <v>73.069999999999993</v>
      </c>
    </row>
    <row r="159" spans="1:7" ht="15.6" x14ac:dyDescent="0.3">
      <c r="A159" s="16">
        <v>44630</v>
      </c>
      <c r="B159" s="10" t="s">
        <v>18</v>
      </c>
      <c r="C159" s="10" t="s">
        <v>11</v>
      </c>
      <c r="D159" s="10" t="s">
        <v>16</v>
      </c>
      <c r="E159" s="4">
        <v>3</v>
      </c>
      <c r="F159" s="4">
        <v>2529</v>
      </c>
      <c r="G159" s="9">
        <v>285.64999999999998</v>
      </c>
    </row>
    <row r="160" spans="1:7" ht="15.6" x14ac:dyDescent="0.3">
      <c r="A160" s="16">
        <v>44584</v>
      </c>
      <c r="B160" s="10" t="s">
        <v>19</v>
      </c>
      <c r="C160" s="10" t="s">
        <v>14</v>
      </c>
      <c r="D160" s="10" t="s">
        <v>12</v>
      </c>
      <c r="E160" s="4">
        <v>8</v>
      </c>
      <c r="F160" s="4">
        <v>4792</v>
      </c>
      <c r="G160" s="9">
        <v>511.97</v>
      </c>
    </row>
    <row r="161" spans="1:7" ht="15.6" x14ac:dyDescent="0.3">
      <c r="A161" s="16">
        <v>45554</v>
      </c>
      <c r="B161" s="10" t="s">
        <v>19</v>
      </c>
      <c r="C161" s="10" t="s">
        <v>14</v>
      </c>
      <c r="D161" s="10" t="s">
        <v>12</v>
      </c>
      <c r="E161" s="4">
        <v>8</v>
      </c>
      <c r="F161" s="4">
        <v>8056</v>
      </c>
      <c r="G161" s="9">
        <v>605.79999999999995</v>
      </c>
    </row>
    <row r="162" spans="1:7" ht="15.6" x14ac:dyDescent="0.3">
      <c r="A162" s="16">
        <v>45449</v>
      </c>
      <c r="B162" s="10" t="s">
        <v>13</v>
      </c>
      <c r="C162" s="10" t="s">
        <v>14</v>
      </c>
      <c r="D162" s="10" t="s">
        <v>9</v>
      </c>
      <c r="E162" s="4">
        <v>4</v>
      </c>
      <c r="F162" s="4">
        <v>4228</v>
      </c>
      <c r="G162" s="9">
        <v>947.76</v>
      </c>
    </row>
    <row r="163" spans="1:7" ht="15.6" x14ac:dyDescent="0.3">
      <c r="A163" s="16">
        <v>45575</v>
      </c>
      <c r="B163" s="10" t="s">
        <v>13</v>
      </c>
      <c r="C163" s="10" t="s">
        <v>14</v>
      </c>
      <c r="D163" s="10" t="s">
        <v>12</v>
      </c>
      <c r="E163" s="4">
        <v>1</v>
      </c>
      <c r="F163" s="4">
        <v>653</v>
      </c>
      <c r="G163" s="9">
        <v>93.78</v>
      </c>
    </row>
    <row r="164" spans="1:7" ht="15.6" x14ac:dyDescent="0.3">
      <c r="A164" s="16">
        <v>45375</v>
      </c>
      <c r="B164" s="10" t="s">
        <v>13</v>
      </c>
      <c r="C164" s="10" t="s">
        <v>14</v>
      </c>
      <c r="D164" s="10" t="s">
        <v>9</v>
      </c>
      <c r="E164" s="4">
        <v>9</v>
      </c>
      <c r="F164" s="4">
        <v>7452</v>
      </c>
      <c r="G164" s="9">
        <v>1212.51</v>
      </c>
    </row>
    <row r="165" spans="1:7" ht="15.6" x14ac:dyDescent="0.3">
      <c r="A165" s="16">
        <v>45128</v>
      </c>
      <c r="B165" s="10" t="s">
        <v>10</v>
      </c>
      <c r="C165" s="10" t="s">
        <v>11</v>
      </c>
      <c r="D165" s="10" t="s">
        <v>12</v>
      </c>
      <c r="E165" s="4">
        <v>4</v>
      </c>
      <c r="F165" s="4">
        <v>4128</v>
      </c>
      <c r="G165" s="9">
        <v>1156.71</v>
      </c>
    </row>
    <row r="166" spans="1:7" ht="15.6" x14ac:dyDescent="0.3">
      <c r="A166" s="16">
        <v>44763</v>
      </c>
      <c r="B166" s="10" t="s">
        <v>13</v>
      </c>
      <c r="C166" s="10" t="s">
        <v>14</v>
      </c>
      <c r="D166" s="10" t="s">
        <v>16</v>
      </c>
      <c r="E166" s="4">
        <v>5</v>
      </c>
      <c r="F166" s="4">
        <v>5090</v>
      </c>
      <c r="G166" s="9">
        <v>1201.56</v>
      </c>
    </row>
    <row r="167" spans="1:7" ht="15.6" x14ac:dyDescent="0.3">
      <c r="A167" s="16">
        <v>44805</v>
      </c>
      <c r="B167" s="10" t="s">
        <v>17</v>
      </c>
      <c r="C167" s="10" t="s">
        <v>14</v>
      </c>
      <c r="D167" s="10" t="s">
        <v>9</v>
      </c>
      <c r="E167" s="4">
        <v>5</v>
      </c>
      <c r="F167" s="4">
        <v>4930</v>
      </c>
      <c r="G167" s="9">
        <v>387.33</v>
      </c>
    </row>
    <row r="168" spans="1:7" ht="15.6" x14ac:dyDescent="0.3">
      <c r="A168" s="16">
        <v>45036</v>
      </c>
      <c r="B168" s="10" t="s">
        <v>19</v>
      </c>
      <c r="C168" s="10" t="s">
        <v>14</v>
      </c>
      <c r="D168" s="10" t="s">
        <v>15</v>
      </c>
      <c r="E168" s="4">
        <v>6</v>
      </c>
      <c r="F168" s="4">
        <v>2610</v>
      </c>
      <c r="G168" s="9">
        <v>434.37</v>
      </c>
    </row>
    <row r="169" spans="1:7" ht="15.6" x14ac:dyDescent="0.3">
      <c r="A169" s="16">
        <v>45271</v>
      </c>
      <c r="B169" s="10" t="s">
        <v>23</v>
      </c>
      <c r="C169" s="10" t="s">
        <v>14</v>
      </c>
      <c r="D169" s="10" t="s">
        <v>9</v>
      </c>
      <c r="E169" s="4">
        <v>3</v>
      </c>
      <c r="F169" s="4">
        <v>2139</v>
      </c>
      <c r="G169" s="9">
        <v>415.84</v>
      </c>
    </row>
    <row r="170" spans="1:7" ht="15.6" x14ac:dyDescent="0.3">
      <c r="A170" s="16">
        <v>45564</v>
      </c>
      <c r="B170" s="10" t="s">
        <v>13</v>
      </c>
      <c r="C170" s="10" t="s">
        <v>14</v>
      </c>
      <c r="D170" s="10" t="s">
        <v>15</v>
      </c>
      <c r="E170" s="4">
        <v>1</v>
      </c>
      <c r="F170" s="4">
        <v>226</v>
      </c>
      <c r="G170" s="9">
        <v>55.4</v>
      </c>
    </row>
    <row r="171" spans="1:7" ht="15.6" x14ac:dyDescent="0.3">
      <c r="A171" s="16">
        <v>45250</v>
      </c>
      <c r="B171" s="10" t="s">
        <v>19</v>
      </c>
      <c r="C171" s="10" t="s">
        <v>14</v>
      </c>
      <c r="D171" s="10" t="s">
        <v>16</v>
      </c>
      <c r="E171" s="4">
        <v>2</v>
      </c>
      <c r="F171" s="4">
        <v>2244</v>
      </c>
      <c r="G171" s="9">
        <v>212.08</v>
      </c>
    </row>
    <row r="172" spans="1:7" ht="15.6" x14ac:dyDescent="0.3">
      <c r="A172" s="16">
        <v>45122</v>
      </c>
      <c r="B172" s="10" t="s">
        <v>20</v>
      </c>
      <c r="C172" s="10" t="s">
        <v>11</v>
      </c>
      <c r="D172" s="10" t="s">
        <v>12</v>
      </c>
      <c r="E172" s="4">
        <v>6</v>
      </c>
      <c r="F172" s="4">
        <v>3150</v>
      </c>
      <c r="G172" s="9">
        <v>578.87</v>
      </c>
    </row>
    <row r="173" spans="1:7" ht="15.6" x14ac:dyDescent="0.3">
      <c r="A173" s="16">
        <v>45284</v>
      </c>
      <c r="B173" s="10" t="s">
        <v>23</v>
      </c>
      <c r="C173" s="10" t="s">
        <v>14</v>
      </c>
      <c r="D173" s="10" t="s">
        <v>15</v>
      </c>
      <c r="E173" s="4">
        <v>7</v>
      </c>
      <c r="F173" s="4">
        <v>3388</v>
      </c>
      <c r="G173" s="9">
        <v>347.19</v>
      </c>
    </row>
    <row r="174" spans="1:7" ht="15.6" x14ac:dyDescent="0.3">
      <c r="A174" s="16">
        <v>45151</v>
      </c>
      <c r="B174" s="10" t="s">
        <v>23</v>
      </c>
      <c r="C174" s="10" t="s">
        <v>14</v>
      </c>
      <c r="D174" s="10" t="s">
        <v>12</v>
      </c>
      <c r="E174" s="4">
        <v>8</v>
      </c>
      <c r="F174" s="4">
        <v>8736</v>
      </c>
      <c r="G174" s="9">
        <v>580.30999999999995</v>
      </c>
    </row>
    <row r="175" spans="1:7" ht="15.6" x14ac:dyDescent="0.3">
      <c r="A175" s="16">
        <v>44675</v>
      </c>
      <c r="B175" s="10" t="s">
        <v>21</v>
      </c>
      <c r="C175" s="10" t="s">
        <v>14</v>
      </c>
      <c r="D175" s="10" t="s">
        <v>15</v>
      </c>
      <c r="E175" s="4">
        <v>2</v>
      </c>
      <c r="F175" s="4">
        <v>1102</v>
      </c>
      <c r="G175" s="9">
        <v>176.53</v>
      </c>
    </row>
    <row r="176" spans="1:7" ht="15.6" x14ac:dyDescent="0.3">
      <c r="A176" s="16">
        <v>45486</v>
      </c>
      <c r="B176" s="10" t="s">
        <v>20</v>
      </c>
      <c r="C176" s="10" t="s">
        <v>11</v>
      </c>
      <c r="D176" s="10" t="s">
        <v>12</v>
      </c>
      <c r="E176" s="4">
        <v>3</v>
      </c>
      <c r="F176" s="4">
        <v>2640</v>
      </c>
      <c r="G176" s="9">
        <v>199.97</v>
      </c>
    </row>
    <row r="177" spans="1:7" ht="15.6" x14ac:dyDescent="0.3">
      <c r="A177" s="16">
        <v>44723</v>
      </c>
      <c r="B177" s="10" t="s">
        <v>7</v>
      </c>
      <c r="C177" s="10" t="s">
        <v>8</v>
      </c>
      <c r="D177" s="10" t="s">
        <v>16</v>
      </c>
      <c r="E177" s="4">
        <v>3</v>
      </c>
      <c r="F177" s="4">
        <v>2547</v>
      </c>
      <c r="G177" s="9">
        <v>300.74</v>
      </c>
    </row>
    <row r="178" spans="1:7" ht="15.6" x14ac:dyDescent="0.3">
      <c r="A178" s="16">
        <v>45593</v>
      </c>
      <c r="B178" s="10" t="s">
        <v>23</v>
      </c>
      <c r="C178" s="10" t="s">
        <v>14</v>
      </c>
      <c r="D178" s="10" t="s">
        <v>9</v>
      </c>
      <c r="E178" s="4">
        <v>7</v>
      </c>
      <c r="F178" s="4">
        <v>728</v>
      </c>
      <c r="G178" s="9">
        <v>64.819999999999993</v>
      </c>
    </row>
    <row r="179" spans="1:7" ht="15.6" x14ac:dyDescent="0.3">
      <c r="A179" s="16">
        <v>44889</v>
      </c>
      <c r="B179" s="10" t="s">
        <v>17</v>
      </c>
      <c r="C179" s="10" t="s">
        <v>14</v>
      </c>
      <c r="D179" s="10" t="s">
        <v>15</v>
      </c>
      <c r="E179" s="4">
        <v>7</v>
      </c>
      <c r="F179" s="4">
        <v>3444</v>
      </c>
      <c r="G179" s="9">
        <v>607.44000000000005</v>
      </c>
    </row>
    <row r="180" spans="1:7" ht="15.6" x14ac:dyDescent="0.3">
      <c r="A180" s="16">
        <v>45568</v>
      </c>
      <c r="B180" s="10" t="s">
        <v>17</v>
      </c>
      <c r="C180" s="10" t="s">
        <v>14</v>
      </c>
      <c r="D180" s="10" t="s">
        <v>16</v>
      </c>
      <c r="E180" s="4">
        <v>5</v>
      </c>
      <c r="F180" s="4">
        <v>3140</v>
      </c>
      <c r="G180" s="9">
        <v>853.66</v>
      </c>
    </row>
    <row r="181" spans="1:7" ht="15.6" x14ac:dyDescent="0.3">
      <c r="A181" s="16">
        <v>45375</v>
      </c>
      <c r="B181" s="10" t="s">
        <v>21</v>
      </c>
      <c r="C181" s="10" t="s">
        <v>14</v>
      </c>
      <c r="D181" s="10" t="s">
        <v>12</v>
      </c>
      <c r="E181" s="4">
        <v>3</v>
      </c>
      <c r="F181" s="4">
        <v>435</v>
      </c>
      <c r="G181" s="9">
        <v>129.27000000000001</v>
      </c>
    </row>
    <row r="182" spans="1:7" ht="15.6" x14ac:dyDescent="0.3">
      <c r="A182" s="16">
        <v>45471</v>
      </c>
      <c r="B182" s="10" t="s">
        <v>22</v>
      </c>
      <c r="C182" s="10" t="s">
        <v>11</v>
      </c>
      <c r="D182" s="10" t="s">
        <v>12</v>
      </c>
      <c r="E182" s="4">
        <v>4</v>
      </c>
      <c r="F182" s="4">
        <v>856</v>
      </c>
      <c r="G182" s="9">
        <v>72.989999999999995</v>
      </c>
    </row>
    <row r="183" spans="1:7" ht="15.6" x14ac:dyDescent="0.3">
      <c r="A183" s="16">
        <v>44712</v>
      </c>
      <c r="B183" s="10" t="s">
        <v>7</v>
      </c>
      <c r="C183" s="10" t="s">
        <v>8</v>
      </c>
      <c r="D183" s="10" t="s">
        <v>9</v>
      </c>
      <c r="E183" s="4">
        <v>2</v>
      </c>
      <c r="F183" s="4">
        <v>112</v>
      </c>
      <c r="G183" s="9">
        <v>23.33</v>
      </c>
    </row>
    <row r="184" spans="1:7" ht="15.6" x14ac:dyDescent="0.3">
      <c r="A184" s="16">
        <v>45376</v>
      </c>
      <c r="B184" s="10" t="s">
        <v>18</v>
      </c>
      <c r="C184" s="10" t="s">
        <v>11</v>
      </c>
      <c r="D184" s="10" t="s">
        <v>9</v>
      </c>
      <c r="E184" s="4">
        <v>3</v>
      </c>
      <c r="F184" s="4">
        <v>2247</v>
      </c>
      <c r="G184" s="9">
        <v>507.79</v>
      </c>
    </row>
    <row r="185" spans="1:7" ht="15.6" x14ac:dyDescent="0.3">
      <c r="A185" s="16">
        <v>44957</v>
      </c>
      <c r="B185" s="10" t="s">
        <v>22</v>
      </c>
      <c r="C185" s="10" t="s">
        <v>11</v>
      </c>
      <c r="D185" s="10" t="s">
        <v>16</v>
      </c>
      <c r="E185" s="4">
        <v>2</v>
      </c>
      <c r="F185" s="4">
        <v>1512</v>
      </c>
      <c r="G185" s="9">
        <v>298.73</v>
      </c>
    </row>
    <row r="186" spans="1:7" ht="15.6" x14ac:dyDescent="0.3">
      <c r="A186" s="16">
        <v>45466</v>
      </c>
      <c r="B186" s="10" t="s">
        <v>10</v>
      </c>
      <c r="C186" s="10" t="s">
        <v>11</v>
      </c>
      <c r="D186" s="10" t="s">
        <v>15</v>
      </c>
      <c r="E186" s="4">
        <v>5</v>
      </c>
      <c r="F186" s="4">
        <v>4915</v>
      </c>
      <c r="G186" s="9">
        <v>1196.5999999999999</v>
      </c>
    </row>
    <row r="187" spans="1:7" ht="15.6" x14ac:dyDescent="0.3">
      <c r="A187" s="16">
        <v>45154</v>
      </c>
      <c r="B187" s="10" t="s">
        <v>10</v>
      </c>
      <c r="C187" s="10" t="s">
        <v>11</v>
      </c>
      <c r="D187" s="10" t="s">
        <v>15</v>
      </c>
      <c r="E187" s="4">
        <v>3</v>
      </c>
      <c r="F187" s="4">
        <v>2709</v>
      </c>
      <c r="G187" s="9">
        <v>663.54</v>
      </c>
    </row>
    <row r="188" spans="1:7" ht="15.6" x14ac:dyDescent="0.3">
      <c r="A188" s="16">
        <v>45087</v>
      </c>
      <c r="B188" s="10" t="s">
        <v>13</v>
      </c>
      <c r="C188" s="10" t="s">
        <v>14</v>
      </c>
      <c r="D188" s="10" t="s">
        <v>9</v>
      </c>
      <c r="E188" s="4">
        <v>7</v>
      </c>
      <c r="F188" s="4">
        <v>1239</v>
      </c>
      <c r="G188" s="9">
        <v>118.36</v>
      </c>
    </row>
    <row r="189" spans="1:7" ht="15.6" x14ac:dyDescent="0.3">
      <c r="A189" s="16">
        <v>45055</v>
      </c>
      <c r="B189" s="10" t="s">
        <v>13</v>
      </c>
      <c r="C189" s="10" t="s">
        <v>14</v>
      </c>
      <c r="D189" s="10" t="s">
        <v>16</v>
      </c>
      <c r="E189" s="4">
        <v>2</v>
      </c>
      <c r="F189" s="4">
        <v>572</v>
      </c>
      <c r="G189" s="9">
        <v>86.16</v>
      </c>
    </row>
    <row r="190" spans="1:7" ht="15.6" x14ac:dyDescent="0.3">
      <c r="A190" s="16">
        <v>44689</v>
      </c>
      <c r="B190" s="10" t="s">
        <v>19</v>
      </c>
      <c r="C190" s="10" t="s">
        <v>14</v>
      </c>
      <c r="D190" s="10" t="s">
        <v>9</v>
      </c>
      <c r="E190" s="4">
        <v>2</v>
      </c>
      <c r="F190" s="4">
        <v>1708</v>
      </c>
      <c r="G190" s="9">
        <v>93.25</v>
      </c>
    </row>
    <row r="191" spans="1:7" ht="15.6" x14ac:dyDescent="0.3">
      <c r="A191" s="16">
        <v>45602</v>
      </c>
      <c r="B191" s="10" t="s">
        <v>19</v>
      </c>
      <c r="C191" s="10" t="s">
        <v>14</v>
      </c>
      <c r="D191" s="10" t="s">
        <v>9</v>
      </c>
      <c r="E191" s="4">
        <v>4</v>
      </c>
      <c r="F191" s="4">
        <v>360</v>
      </c>
      <c r="G191" s="9">
        <v>42.66</v>
      </c>
    </row>
    <row r="192" spans="1:7" ht="15.6" x14ac:dyDescent="0.3">
      <c r="A192" s="16">
        <v>44903</v>
      </c>
      <c r="B192" s="10" t="s">
        <v>17</v>
      </c>
      <c r="C192" s="10" t="s">
        <v>14</v>
      </c>
      <c r="D192" s="10" t="s">
        <v>9</v>
      </c>
      <c r="E192" s="4">
        <v>6</v>
      </c>
      <c r="F192" s="4">
        <v>3822</v>
      </c>
      <c r="G192" s="9">
        <v>388.34</v>
      </c>
    </row>
    <row r="193" spans="1:7" ht="15.6" x14ac:dyDescent="0.3">
      <c r="A193" s="16">
        <v>44829</v>
      </c>
      <c r="B193" s="10" t="s">
        <v>17</v>
      </c>
      <c r="C193" s="10" t="s">
        <v>14</v>
      </c>
      <c r="D193" s="10" t="s">
        <v>9</v>
      </c>
      <c r="E193" s="4">
        <v>6</v>
      </c>
      <c r="F193" s="4">
        <v>4680</v>
      </c>
      <c r="G193" s="9">
        <v>932.97</v>
      </c>
    </row>
    <row r="194" spans="1:7" ht="15.6" x14ac:dyDescent="0.3">
      <c r="A194" s="16">
        <v>45483</v>
      </c>
      <c r="B194" s="10" t="s">
        <v>17</v>
      </c>
      <c r="C194" s="10" t="s">
        <v>14</v>
      </c>
      <c r="D194" s="10" t="s">
        <v>9</v>
      </c>
      <c r="E194" s="4">
        <v>5</v>
      </c>
      <c r="F194" s="4">
        <v>2520</v>
      </c>
      <c r="G194" s="9">
        <v>487.18</v>
      </c>
    </row>
    <row r="195" spans="1:7" ht="15.6" x14ac:dyDescent="0.3">
      <c r="A195" s="16">
        <v>45380</v>
      </c>
      <c r="B195" s="10" t="s">
        <v>19</v>
      </c>
      <c r="C195" s="10" t="s">
        <v>14</v>
      </c>
      <c r="D195" s="10" t="s">
        <v>9</v>
      </c>
      <c r="E195" s="4">
        <v>2</v>
      </c>
      <c r="F195" s="4">
        <v>2138</v>
      </c>
      <c r="G195" s="9">
        <v>619.29</v>
      </c>
    </row>
    <row r="196" spans="1:7" ht="15.6" x14ac:dyDescent="0.3">
      <c r="A196" s="16">
        <v>44572</v>
      </c>
      <c r="B196" s="10" t="s">
        <v>22</v>
      </c>
      <c r="C196" s="10" t="s">
        <v>11</v>
      </c>
      <c r="D196" s="10" t="s">
        <v>16</v>
      </c>
      <c r="E196" s="4">
        <v>3</v>
      </c>
      <c r="F196" s="4">
        <v>2529</v>
      </c>
      <c r="G196" s="9">
        <v>169.6</v>
      </c>
    </row>
    <row r="197" spans="1:7" ht="15.6" x14ac:dyDescent="0.3">
      <c r="A197" s="16">
        <v>44659</v>
      </c>
      <c r="B197" s="10" t="s">
        <v>22</v>
      </c>
      <c r="C197" s="10" t="s">
        <v>11</v>
      </c>
      <c r="D197" s="10" t="s">
        <v>12</v>
      </c>
      <c r="E197" s="4">
        <v>1</v>
      </c>
      <c r="F197" s="4">
        <v>236</v>
      </c>
      <c r="G197" s="9">
        <v>29.33</v>
      </c>
    </row>
    <row r="198" spans="1:7" ht="15.6" x14ac:dyDescent="0.3">
      <c r="A198" s="16">
        <v>45312</v>
      </c>
      <c r="B198" s="10" t="s">
        <v>13</v>
      </c>
      <c r="C198" s="10" t="s">
        <v>14</v>
      </c>
      <c r="D198" s="10" t="s">
        <v>16</v>
      </c>
      <c r="E198" s="4">
        <v>6</v>
      </c>
      <c r="F198" s="4">
        <v>2730</v>
      </c>
      <c r="G198" s="9">
        <v>636.48</v>
      </c>
    </row>
    <row r="199" spans="1:7" ht="15.6" x14ac:dyDescent="0.3">
      <c r="A199" s="16">
        <v>45043</v>
      </c>
      <c r="B199" s="10" t="s">
        <v>18</v>
      </c>
      <c r="C199" s="10" t="s">
        <v>11</v>
      </c>
      <c r="D199" s="10" t="s">
        <v>9</v>
      </c>
      <c r="E199" s="4">
        <v>3</v>
      </c>
      <c r="F199" s="4">
        <v>3021</v>
      </c>
      <c r="G199" s="9">
        <v>872.49</v>
      </c>
    </row>
    <row r="200" spans="1:7" ht="15.6" x14ac:dyDescent="0.3">
      <c r="A200" s="16">
        <v>45602</v>
      </c>
      <c r="B200" s="10" t="s">
        <v>19</v>
      </c>
      <c r="C200" s="10" t="s">
        <v>14</v>
      </c>
      <c r="D200" s="10" t="s">
        <v>9</v>
      </c>
      <c r="E200" s="4">
        <v>2</v>
      </c>
      <c r="F200" s="4">
        <v>244</v>
      </c>
      <c r="G200" s="9">
        <v>16.78</v>
      </c>
    </row>
    <row r="201" spans="1:7" ht="15.6" x14ac:dyDescent="0.3">
      <c r="A201" s="16">
        <v>44692</v>
      </c>
      <c r="B201" s="10" t="s">
        <v>17</v>
      </c>
      <c r="C201" s="10" t="s">
        <v>14</v>
      </c>
      <c r="D201" s="10" t="s">
        <v>15</v>
      </c>
      <c r="E201" s="4">
        <v>8</v>
      </c>
      <c r="F201" s="4">
        <v>728</v>
      </c>
      <c r="G201" s="9">
        <v>120.06</v>
      </c>
    </row>
    <row r="202" spans="1:7" ht="15.6" x14ac:dyDescent="0.3">
      <c r="A202" s="16">
        <v>44836</v>
      </c>
      <c r="B202" s="10" t="s">
        <v>10</v>
      </c>
      <c r="C202" s="10" t="s">
        <v>11</v>
      </c>
      <c r="D202" s="10" t="s">
        <v>9</v>
      </c>
      <c r="E202" s="4">
        <v>3</v>
      </c>
      <c r="F202" s="4">
        <v>453</v>
      </c>
      <c r="G202" s="9">
        <v>89.49</v>
      </c>
    </row>
    <row r="203" spans="1:7" ht="15.6" x14ac:dyDescent="0.3">
      <c r="A203" s="16">
        <v>44573</v>
      </c>
      <c r="B203" s="10" t="s">
        <v>23</v>
      </c>
      <c r="C203" s="10" t="s">
        <v>14</v>
      </c>
      <c r="D203" s="10" t="s">
        <v>15</v>
      </c>
      <c r="E203" s="4">
        <v>1</v>
      </c>
      <c r="F203" s="4">
        <v>379</v>
      </c>
      <c r="G203" s="9">
        <v>84.38</v>
      </c>
    </row>
    <row r="204" spans="1:7" ht="15.6" x14ac:dyDescent="0.3">
      <c r="A204" s="16">
        <v>44935</v>
      </c>
      <c r="B204" s="10" t="s">
        <v>13</v>
      </c>
      <c r="C204" s="10" t="s">
        <v>14</v>
      </c>
      <c r="D204" s="10" t="s">
        <v>16</v>
      </c>
      <c r="E204" s="4">
        <v>3</v>
      </c>
      <c r="F204" s="4">
        <v>2130</v>
      </c>
      <c r="G204" s="9">
        <v>510.69</v>
      </c>
    </row>
    <row r="205" spans="1:7" ht="15.6" x14ac:dyDescent="0.3">
      <c r="A205" s="16">
        <v>45050</v>
      </c>
      <c r="B205" s="10" t="s">
        <v>20</v>
      </c>
      <c r="C205" s="10" t="s">
        <v>11</v>
      </c>
      <c r="D205" s="10" t="s">
        <v>9</v>
      </c>
      <c r="E205" s="4">
        <v>8</v>
      </c>
      <c r="F205" s="4">
        <v>4120</v>
      </c>
      <c r="G205" s="9">
        <v>710.11</v>
      </c>
    </row>
    <row r="206" spans="1:7" ht="15.6" x14ac:dyDescent="0.3">
      <c r="A206" s="16">
        <v>45542</v>
      </c>
      <c r="B206" s="10" t="s">
        <v>19</v>
      </c>
      <c r="C206" s="10" t="s">
        <v>14</v>
      </c>
      <c r="D206" s="10" t="s">
        <v>15</v>
      </c>
      <c r="E206" s="4">
        <v>7</v>
      </c>
      <c r="F206" s="4">
        <v>3150</v>
      </c>
      <c r="G206" s="9">
        <v>299.7</v>
      </c>
    </row>
    <row r="207" spans="1:7" ht="15.6" x14ac:dyDescent="0.3">
      <c r="A207" s="16">
        <v>44698</v>
      </c>
      <c r="B207" s="10" t="s">
        <v>19</v>
      </c>
      <c r="C207" s="10" t="s">
        <v>14</v>
      </c>
      <c r="D207" s="10" t="s">
        <v>12</v>
      </c>
      <c r="E207" s="4">
        <v>7</v>
      </c>
      <c r="F207" s="4">
        <v>2688</v>
      </c>
      <c r="G207" s="9">
        <v>603.07000000000005</v>
      </c>
    </row>
    <row r="208" spans="1:7" ht="15.6" x14ac:dyDescent="0.3">
      <c r="A208" s="16">
        <v>45155</v>
      </c>
      <c r="B208" s="10" t="s">
        <v>13</v>
      </c>
      <c r="C208" s="10" t="s">
        <v>14</v>
      </c>
      <c r="D208" s="10" t="s">
        <v>12</v>
      </c>
      <c r="E208" s="4">
        <v>2</v>
      </c>
      <c r="F208" s="4">
        <v>1752</v>
      </c>
      <c r="G208" s="9">
        <v>501.19</v>
      </c>
    </row>
    <row r="209" spans="1:7" ht="15.6" x14ac:dyDescent="0.3">
      <c r="A209" s="16">
        <v>45176</v>
      </c>
      <c r="B209" s="10" t="s">
        <v>22</v>
      </c>
      <c r="C209" s="10" t="s">
        <v>11</v>
      </c>
      <c r="D209" s="10" t="s">
        <v>9</v>
      </c>
      <c r="E209" s="4">
        <v>7</v>
      </c>
      <c r="F209" s="4">
        <v>7308</v>
      </c>
      <c r="G209" s="9">
        <v>948.4</v>
      </c>
    </row>
    <row r="210" spans="1:7" ht="15.6" x14ac:dyDescent="0.3">
      <c r="A210" s="16">
        <v>44692</v>
      </c>
      <c r="B210" s="10" t="s">
        <v>13</v>
      </c>
      <c r="C210" s="10" t="s">
        <v>14</v>
      </c>
      <c r="D210" s="10" t="s">
        <v>9</v>
      </c>
      <c r="E210" s="4">
        <v>3</v>
      </c>
      <c r="F210" s="4">
        <v>2007</v>
      </c>
      <c r="G210" s="9">
        <v>160.84</v>
      </c>
    </row>
    <row r="211" spans="1:7" ht="15.6" x14ac:dyDescent="0.3">
      <c r="A211" s="16">
        <v>45058</v>
      </c>
      <c r="B211" s="10" t="s">
        <v>13</v>
      </c>
      <c r="C211" s="10" t="s">
        <v>14</v>
      </c>
      <c r="D211" s="10" t="s">
        <v>16</v>
      </c>
      <c r="E211" s="4">
        <v>7</v>
      </c>
      <c r="F211" s="4">
        <v>7224</v>
      </c>
      <c r="G211" s="9">
        <v>479.23</v>
      </c>
    </row>
    <row r="212" spans="1:7" ht="15.6" x14ac:dyDescent="0.3">
      <c r="A212" s="16">
        <v>45054</v>
      </c>
      <c r="B212" s="10" t="s">
        <v>20</v>
      </c>
      <c r="C212" s="10" t="s">
        <v>11</v>
      </c>
      <c r="D212" s="10" t="s">
        <v>15</v>
      </c>
      <c r="E212" s="4">
        <v>9</v>
      </c>
      <c r="F212" s="4">
        <v>6939</v>
      </c>
      <c r="G212" s="9">
        <v>1249.31</v>
      </c>
    </row>
    <row r="213" spans="1:7" ht="15.6" x14ac:dyDescent="0.3">
      <c r="A213" s="16">
        <v>44975</v>
      </c>
      <c r="B213" s="10" t="s">
        <v>21</v>
      </c>
      <c r="C213" s="10" t="s">
        <v>14</v>
      </c>
      <c r="D213" s="10" t="s">
        <v>12</v>
      </c>
      <c r="E213" s="4">
        <v>7</v>
      </c>
      <c r="F213" s="4">
        <v>5516</v>
      </c>
      <c r="G213" s="9">
        <v>1475.67</v>
      </c>
    </row>
    <row r="214" spans="1:7" ht="15.6" x14ac:dyDescent="0.3">
      <c r="A214" s="16">
        <v>44590</v>
      </c>
      <c r="B214" s="10" t="s">
        <v>7</v>
      </c>
      <c r="C214" s="10" t="s">
        <v>8</v>
      </c>
      <c r="D214" s="10" t="s">
        <v>15</v>
      </c>
      <c r="E214" s="4">
        <v>2</v>
      </c>
      <c r="F214" s="4">
        <v>2224</v>
      </c>
      <c r="G214" s="9">
        <v>116.47</v>
      </c>
    </row>
    <row r="215" spans="1:7" ht="15.6" x14ac:dyDescent="0.3">
      <c r="A215" s="16">
        <v>44938</v>
      </c>
      <c r="B215" s="10" t="s">
        <v>23</v>
      </c>
      <c r="C215" s="10" t="s">
        <v>14</v>
      </c>
      <c r="D215" s="10" t="s">
        <v>15</v>
      </c>
      <c r="E215" s="4">
        <v>5</v>
      </c>
      <c r="F215" s="4">
        <v>3985</v>
      </c>
      <c r="G215" s="9">
        <v>824.4</v>
      </c>
    </row>
    <row r="216" spans="1:7" ht="15.6" x14ac:dyDescent="0.3">
      <c r="A216" s="16">
        <v>44564</v>
      </c>
      <c r="B216" s="10" t="s">
        <v>17</v>
      </c>
      <c r="C216" s="10" t="s">
        <v>14</v>
      </c>
      <c r="D216" s="10" t="s">
        <v>9</v>
      </c>
      <c r="E216" s="4">
        <v>7</v>
      </c>
      <c r="F216" s="4">
        <v>2723</v>
      </c>
      <c r="G216" s="9">
        <v>638.26</v>
      </c>
    </row>
    <row r="217" spans="1:7" ht="15.6" x14ac:dyDescent="0.3">
      <c r="A217" s="16">
        <v>44854</v>
      </c>
      <c r="B217" s="10" t="s">
        <v>13</v>
      </c>
      <c r="C217" s="10" t="s">
        <v>14</v>
      </c>
      <c r="D217" s="10" t="s">
        <v>9</v>
      </c>
      <c r="E217" s="4">
        <v>2</v>
      </c>
      <c r="F217" s="4">
        <v>746</v>
      </c>
      <c r="G217" s="9">
        <v>170.75</v>
      </c>
    </row>
    <row r="218" spans="1:7" ht="15.6" x14ac:dyDescent="0.3">
      <c r="A218" s="16">
        <v>45525</v>
      </c>
      <c r="B218" s="10" t="s">
        <v>23</v>
      </c>
      <c r="C218" s="10" t="s">
        <v>14</v>
      </c>
      <c r="D218" s="10" t="s">
        <v>16</v>
      </c>
      <c r="E218" s="4">
        <v>5</v>
      </c>
      <c r="F218" s="4">
        <v>3170</v>
      </c>
      <c r="G218" s="9">
        <v>245.25</v>
      </c>
    </row>
    <row r="219" spans="1:7" ht="15.6" x14ac:dyDescent="0.3">
      <c r="A219" s="16">
        <v>45271</v>
      </c>
      <c r="B219" s="10" t="s">
        <v>19</v>
      </c>
      <c r="C219" s="10" t="s">
        <v>14</v>
      </c>
      <c r="D219" s="10" t="s">
        <v>12</v>
      </c>
      <c r="E219" s="4">
        <v>5</v>
      </c>
      <c r="F219" s="4">
        <v>550</v>
      </c>
      <c r="G219" s="9">
        <v>63.11</v>
      </c>
    </row>
    <row r="220" spans="1:7" ht="15.6" x14ac:dyDescent="0.3">
      <c r="A220" s="16">
        <v>44787</v>
      </c>
      <c r="B220" s="10" t="s">
        <v>13</v>
      </c>
      <c r="C220" s="10" t="s">
        <v>14</v>
      </c>
      <c r="D220" s="10" t="s">
        <v>9</v>
      </c>
      <c r="E220" s="4">
        <v>8</v>
      </c>
      <c r="F220" s="4">
        <v>480</v>
      </c>
      <c r="G220" s="9">
        <v>132.44999999999999</v>
      </c>
    </row>
    <row r="221" spans="1:7" ht="15.6" x14ac:dyDescent="0.3">
      <c r="A221" s="16">
        <v>45446</v>
      </c>
      <c r="B221" s="10" t="s">
        <v>7</v>
      </c>
      <c r="C221" s="10" t="s">
        <v>8</v>
      </c>
      <c r="D221" s="10" t="s">
        <v>12</v>
      </c>
      <c r="E221" s="4">
        <v>4</v>
      </c>
      <c r="F221" s="4">
        <v>3284</v>
      </c>
      <c r="G221" s="9">
        <v>354.4</v>
      </c>
    </row>
    <row r="222" spans="1:7" ht="15.6" x14ac:dyDescent="0.3">
      <c r="A222" s="16">
        <v>45314</v>
      </c>
      <c r="B222" s="10" t="s">
        <v>19</v>
      </c>
      <c r="C222" s="10" t="s">
        <v>14</v>
      </c>
      <c r="D222" s="10" t="s">
        <v>15</v>
      </c>
      <c r="E222" s="4">
        <v>2</v>
      </c>
      <c r="F222" s="4">
        <v>1748</v>
      </c>
      <c r="G222" s="9">
        <v>183.75</v>
      </c>
    </row>
    <row r="223" spans="1:7" ht="15.6" x14ac:dyDescent="0.3">
      <c r="A223" s="16">
        <v>45250</v>
      </c>
      <c r="B223" s="10" t="s">
        <v>18</v>
      </c>
      <c r="C223" s="10" t="s">
        <v>11</v>
      </c>
      <c r="D223" s="10" t="s">
        <v>9</v>
      </c>
      <c r="E223" s="4">
        <v>8</v>
      </c>
      <c r="F223" s="4">
        <v>824</v>
      </c>
      <c r="G223" s="9">
        <v>240.84</v>
      </c>
    </row>
    <row r="224" spans="1:7" ht="15.6" x14ac:dyDescent="0.3">
      <c r="A224" s="16">
        <v>44623</v>
      </c>
      <c r="B224" s="10" t="s">
        <v>18</v>
      </c>
      <c r="C224" s="10" t="s">
        <v>11</v>
      </c>
      <c r="D224" s="10" t="s">
        <v>9</v>
      </c>
      <c r="E224" s="4">
        <v>4</v>
      </c>
      <c r="F224" s="4">
        <v>1872</v>
      </c>
      <c r="G224" s="9">
        <v>448.46</v>
      </c>
    </row>
    <row r="225" spans="1:7" ht="15.6" x14ac:dyDescent="0.3">
      <c r="A225" s="16">
        <v>45342</v>
      </c>
      <c r="B225" s="10" t="s">
        <v>13</v>
      </c>
      <c r="C225" s="10" t="s">
        <v>14</v>
      </c>
      <c r="D225" s="10" t="s">
        <v>16</v>
      </c>
      <c r="E225" s="4">
        <v>3</v>
      </c>
      <c r="F225" s="4">
        <v>627</v>
      </c>
      <c r="G225" s="9">
        <v>103.98</v>
      </c>
    </row>
    <row r="226" spans="1:7" ht="15.6" x14ac:dyDescent="0.3">
      <c r="A226" s="16">
        <v>45513</v>
      </c>
      <c r="B226" s="10" t="s">
        <v>17</v>
      </c>
      <c r="C226" s="10" t="s">
        <v>14</v>
      </c>
      <c r="D226" s="10" t="s">
        <v>12</v>
      </c>
      <c r="E226" s="4">
        <v>9</v>
      </c>
      <c r="F226" s="4">
        <v>5661</v>
      </c>
      <c r="G226" s="9">
        <v>1104.02</v>
      </c>
    </row>
    <row r="227" spans="1:7" ht="15.6" x14ac:dyDescent="0.3">
      <c r="A227" s="16">
        <v>44731</v>
      </c>
      <c r="B227" s="10" t="s">
        <v>17</v>
      </c>
      <c r="C227" s="10" t="s">
        <v>14</v>
      </c>
      <c r="D227" s="10" t="s">
        <v>9</v>
      </c>
      <c r="E227" s="4">
        <v>3</v>
      </c>
      <c r="F227" s="4">
        <v>2910</v>
      </c>
      <c r="G227" s="9">
        <v>765.47</v>
      </c>
    </row>
    <row r="228" spans="1:7" ht="15.6" x14ac:dyDescent="0.3">
      <c r="A228" s="16">
        <v>45536</v>
      </c>
      <c r="B228" s="10" t="s">
        <v>13</v>
      </c>
      <c r="C228" s="10" t="s">
        <v>14</v>
      </c>
      <c r="D228" s="10" t="s">
        <v>15</v>
      </c>
      <c r="E228" s="4">
        <v>9</v>
      </c>
      <c r="F228" s="4">
        <v>9036</v>
      </c>
      <c r="G228" s="9">
        <v>1087.46</v>
      </c>
    </row>
    <row r="229" spans="1:7" ht="15.6" x14ac:dyDescent="0.3">
      <c r="A229" s="16">
        <v>45534</v>
      </c>
      <c r="B229" s="10" t="s">
        <v>13</v>
      </c>
      <c r="C229" s="10" t="s">
        <v>14</v>
      </c>
      <c r="D229" s="10" t="s">
        <v>16</v>
      </c>
      <c r="E229" s="4">
        <v>5</v>
      </c>
      <c r="F229" s="4">
        <v>4815</v>
      </c>
      <c r="G229" s="9">
        <v>338.31</v>
      </c>
    </row>
    <row r="230" spans="1:7" ht="15.6" x14ac:dyDescent="0.3">
      <c r="A230" s="16">
        <v>44785</v>
      </c>
      <c r="B230" s="10" t="s">
        <v>10</v>
      </c>
      <c r="C230" s="10" t="s">
        <v>11</v>
      </c>
      <c r="D230" s="10" t="s">
        <v>15</v>
      </c>
      <c r="E230" s="4">
        <v>1</v>
      </c>
      <c r="F230" s="4">
        <v>1187</v>
      </c>
      <c r="G230" s="9">
        <v>206.28</v>
      </c>
    </row>
    <row r="231" spans="1:7" ht="15.6" x14ac:dyDescent="0.3">
      <c r="A231" s="16">
        <v>44777</v>
      </c>
      <c r="B231" s="10" t="s">
        <v>18</v>
      </c>
      <c r="C231" s="10" t="s">
        <v>11</v>
      </c>
      <c r="D231" s="10" t="s">
        <v>12</v>
      </c>
      <c r="E231" s="4">
        <v>3</v>
      </c>
      <c r="F231" s="4">
        <v>3339</v>
      </c>
      <c r="G231" s="9">
        <v>732.92</v>
      </c>
    </row>
    <row r="232" spans="1:7" ht="15.6" x14ac:dyDescent="0.3">
      <c r="A232" s="16">
        <v>45342</v>
      </c>
      <c r="B232" s="10" t="s">
        <v>13</v>
      </c>
      <c r="C232" s="10" t="s">
        <v>14</v>
      </c>
      <c r="D232" s="10" t="s">
        <v>12</v>
      </c>
      <c r="E232" s="4">
        <v>1</v>
      </c>
      <c r="F232" s="4">
        <v>620</v>
      </c>
      <c r="G232" s="9">
        <v>165.43</v>
      </c>
    </row>
    <row r="233" spans="1:7" ht="15.6" x14ac:dyDescent="0.3">
      <c r="A233" s="16">
        <v>44983</v>
      </c>
      <c r="B233" s="10" t="s">
        <v>17</v>
      </c>
      <c r="C233" s="10" t="s">
        <v>14</v>
      </c>
      <c r="D233" s="10" t="s">
        <v>16</v>
      </c>
      <c r="E233" s="4">
        <v>5</v>
      </c>
      <c r="F233" s="4">
        <v>2025</v>
      </c>
      <c r="G233" s="9">
        <v>414.42</v>
      </c>
    </row>
    <row r="234" spans="1:7" ht="15.6" x14ac:dyDescent="0.3">
      <c r="A234" s="16">
        <v>45616</v>
      </c>
      <c r="B234" s="10" t="s">
        <v>7</v>
      </c>
      <c r="C234" s="10" t="s">
        <v>8</v>
      </c>
      <c r="D234" s="10" t="s">
        <v>12</v>
      </c>
      <c r="E234" s="4">
        <v>5</v>
      </c>
      <c r="F234" s="4">
        <v>3030</v>
      </c>
      <c r="G234" s="9">
        <v>811.92</v>
      </c>
    </row>
    <row r="235" spans="1:7" ht="15.6" x14ac:dyDescent="0.3">
      <c r="A235" s="16">
        <v>45150</v>
      </c>
      <c r="B235" s="10" t="s">
        <v>19</v>
      </c>
      <c r="C235" s="10" t="s">
        <v>14</v>
      </c>
      <c r="D235" s="10" t="s">
        <v>9</v>
      </c>
      <c r="E235" s="4">
        <v>5</v>
      </c>
      <c r="F235" s="4">
        <v>655</v>
      </c>
      <c r="G235" s="9">
        <v>166.69</v>
      </c>
    </row>
    <row r="236" spans="1:7" ht="15.6" x14ac:dyDescent="0.3">
      <c r="A236" s="16">
        <v>44578</v>
      </c>
      <c r="B236" s="10" t="s">
        <v>7</v>
      </c>
      <c r="C236" s="10" t="s">
        <v>8</v>
      </c>
      <c r="D236" s="10" t="s">
        <v>16</v>
      </c>
      <c r="E236" s="4">
        <v>2</v>
      </c>
      <c r="F236" s="4">
        <v>2238</v>
      </c>
      <c r="G236" s="9">
        <v>294.54000000000002</v>
      </c>
    </row>
    <row r="237" spans="1:7" ht="15.6" x14ac:dyDescent="0.3">
      <c r="A237" s="16">
        <v>45028</v>
      </c>
      <c r="B237" s="10" t="s">
        <v>21</v>
      </c>
      <c r="C237" s="10" t="s">
        <v>14</v>
      </c>
      <c r="D237" s="10" t="s">
        <v>15</v>
      </c>
      <c r="E237" s="4">
        <v>8</v>
      </c>
      <c r="F237" s="4">
        <v>3312</v>
      </c>
      <c r="G237" s="9">
        <v>811.31</v>
      </c>
    </row>
    <row r="238" spans="1:7" ht="15.6" x14ac:dyDescent="0.3">
      <c r="A238" s="16">
        <v>45133</v>
      </c>
      <c r="B238" s="10" t="s">
        <v>7</v>
      </c>
      <c r="C238" s="10" t="s">
        <v>8</v>
      </c>
      <c r="D238" s="10" t="s">
        <v>12</v>
      </c>
      <c r="E238" s="4">
        <v>9</v>
      </c>
      <c r="F238" s="4">
        <v>9387</v>
      </c>
      <c r="G238" s="9">
        <v>1271.6400000000001</v>
      </c>
    </row>
    <row r="239" spans="1:7" ht="15.6" x14ac:dyDescent="0.3">
      <c r="A239" s="16">
        <v>45292</v>
      </c>
      <c r="B239" s="10" t="s">
        <v>10</v>
      </c>
      <c r="C239" s="10" t="s">
        <v>11</v>
      </c>
      <c r="D239" s="10" t="s">
        <v>16</v>
      </c>
      <c r="E239" s="4">
        <v>6</v>
      </c>
      <c r="F239" s="4">
        <v>5790</v>
      </c>
      <c r="G239" s="9">
        <v>1285.21</v>
      </c>
    </row>
    <row r="240" spans="1:7" ht="15.6" x14ac:dyDescent="0.3">
      <c r="A240" s="16">
        <v>45266</v>
      </c>
      <c r="B240" s="10" t="s">
        <v>23</v>
      </c>
      <c r="C240" s="10" t="s">
        <v>14</v>
      </c>
      <c r="D240" s="10" t="s">
        <v>15</v>
      </c>
      <c r="E240" s="4">
        <v>6</v>
      </c>
      <c r="F240" s="4">
        <v>2700</v>
      </c>
      <c r="G240" s="9">
        <v>527.97</v>
      </c>
    </row>
    <row r="241" spans="1:7" ht="15.6" x14ac:dyDescent="0.3">
      <c r="A241" s="16">
        <v>45265</v>
      </c>
      <c r="B241" s="10" t="s">
        <v>19</v>
      </c>
      <c r="C241" s="10" t="s">
        <v>14</v>
      </c>
      <c r="D241" s="10" t="s">
        <v>12</v>
      </c>
      <c r="E241" s="4">
        <v>8</v>
      </c>
      <c r="F241" s="4">
        <v>2072</v>
      </c>
      <c r="G241" s="9">
        <v>555.05999999999995</v>
      </c>
    </row>
    <row r="242" spans="1:7" ht="15.6" x14ac:dyDescent="0.3">
      <c r="A242" s="16">
        <v>45592</v>
      </c>
      <c r="B242" s="10" t="s">
        <v>22</v>
      </c>
      <c r="C242" s="10" t="s">
        <v>11</v>
      </c>
      <c r="D242" s="10" t="s">
        <v>9</v>
      </c>
      <c r="E242" s="4">
        <v>3</v>
      </c>
      <c r="F242" s="4">
        <v>2991</v>
      </c>
      <c r="G242" s="9">
        <v>716.54</v>
      </c>
    </row>
    <row r="243" spans="1:7" ht="15.6" x14ac:dyDescent="0.3">
      <c r="A243" s="16">
        <v>45508</v>
      </c>
      <c r="B243" s="10" t="s">
        <v>23</v>
      </c>
      <c r="C243" s="10" t="s">
        <v>14</v>
      </c>
      <c r="D243" s="10" t="s">
        <v>12</v>
      </c>
      <c r="E243" s="4">
        <v>6</v>
      </c>
      <c r="F243" s="4">
        <v>5568</v>
      </c>
      <c r="G243" s="9">
        <v>958.59</v>
      </c>
    </row>
    <row r="244" spans="1:7" ht="15.6" x14ac:dyDescent="0.3">
      <c r="A244" s="16">
        <v>44958</v>
      </c>
      <c r="B244" s="10" t="s">
        <v>19</v>
      </c>
      <c r="C244" s="10" t="s">
        <v>14</v>
      </c>
      <c r="D244" s="10" t="s">
        <v>9</v>
      </c>
      <c r="E244" s="4">
        <v>7</v>
      </c>
      <c r="F244" s="4">
        <v>5509</v>
      </c>
      <c r="G244" s="9">
        <v>1648.74</v>
      </c>
    </row>
    <row r="245" spans="1:7" ht="15.6" x14ac:dyDescent="0.3">
      <c r="A245" s="16">
        <v>45445</v>
      </c>
      <c r="B245" s="10" t="s">
        <v>7</v>
      </c>
      <c r="C245" s="10" t="s">
        <v>8</v>
      </c>
      <c r="D245" s="10" t="s">
        <v>16</v>
      </c>
      <c r="E245" s="4">
        <v>7</v>
      </c>
      <c r="F245" s="4">
        <v>5922</v>
      </c>
      <c r="G245" s="9">
        <v>1323.1</v>
      </c>
    </row>
    <row r="246" spans="1:7" ht="15.6" x14ac:dyDescent="0.3">
      <c r="A246" s="16">
        <v>45410</v>
      </c>
      <c r="B246" s="10" t="s">
        <v>21</v>
      </c>
      <c r="C246" s="10" t="s">
        <v>14</v>
      </c>
      <c r="D246" s="10" t="s">
        <v>15</v>
      </c>
      <c r="E246" s="4">
        <v>4</v>
      </c>
      <c r="F246" s="4">
        <v>4380</v>
      </c>
      <c r="G246" s="9">
        <v>362.81</v>
      </c>
    </row>
    <row r="247" spans="1:7" ht="15.6" x14ac:dyDescent="0.3">
      <c r="A247" s="16">
        <v>44645</v>
      </c>
      <c r="B247" s="10" t="s">
        <v>13</v>
      </c>
      <c r="C247" s="10" t="s">
        <v>14</v>
      </c>
      <c r="D247" s="10" t="s">
        <v>15</v>
      </c>
      <c r="E247" s="4">
        <v>5</v>
      </c>
      <c r="F247" s="4">
        <v>1760</v>
      </c>
      <c r="G247" s="9">
        <v>272.68</v>
      </c>
    </row>
    <row r="248" spans="1:7" ht="15.6" x14ac:dyDescent="0.3">
      <c r="A248" s="16">
        <v>45570</v>
      </c>
      <c r="B248" s="10" t="s">
        <v>18</v>
      </c>
      <c r="C248" s="10" t="s">
        <v>11</v>
      </c>
      <c r="D248" s="10" t="s">
        <v>9</v>
      </c>
      <c r="E248" s="4">
        <v>9</v>
      </c>
      <c r="F248" s="4">
        <v>5571</v>
      </c>
      <c r="G248" s="9">
        <v>1523.81</v>
      </c>
    </row>
    <row r="249" spans="1:7" ht="15.6" x14ac:dyDescent="0.3">
      <c r="A249" s="16">
        <v>45645</v>
      </c>
      <c r="B249" s="10" t="s">
        <v>13</v>
      </c>
      <c r="C249" s="10" t="s">
        <v>14</v>
      </c>
      <c r="D249" s="10" t="s">
        <v>15</v>
      </c>
      <c r="E249" s="4">
        <v>2</v>
      </c>
      <c r="F249" s="4">
        <v>1082</v>
      </c>
      <c r="G249" s="9">
        <v>182.1</v>
      </c>
    </row>
    <row r="250" spans="1:7" ht="15.6" x14ac:dyDescent="0.3">
      <c r="A250" s="16">
        <v>44760</v>
      </c>
      <c r="B250" s="10" t="s">
        <v>17</v>
      </c>
      <c r="C250" s="10" t="s">
        <v>14</v>
      </c>
      <c r="D250" s="10" t="s">
        <v>12</v>
      </c>
      <c r="E250" s="4">
        <v>1</v>
      </c>
      <c r="F250" s="4">
        <v>569</v>
      </c>
      <c r="G250" s="9">
        <v>138.11000000000001</v>
      </c>
    </row>
    <row r="251" spans="1:7" ht="15.6" x14ac:dyDescent="0.3">
      <c r="A251" s="16">
        <v>45088</v>
      </c>
      <c r="B251" s="10" t="s">
        <v>10</v>
      </c>
      <c r="C251" s="10" t="s">
        <v>11</v>
      </c>
      <c r="D251" s="10" t="s">
        <v>9</v>
      </c>
      <c r="E251" s="4">
        <v>8</v>
      </c>
      <c r="F251" s="4">
        <v>3416</v>
      </c>
      <c r="G251" s="9">
        <v>697.42</v>
      </c>
    </row>
    <row r="252" spans="1:7" ht="15.6" x14ac:dyDescent="0.3">
      <c r="A252" s="16">
        <v>45578</v>
      </c>
      <c r="B252" s="10" t="s">
        <v>7</v>
      </c>
      <c r="C252" s="10" t="s">
        <v>8</v>
      </c>
      <c r="D252" s="10" t="s">
        <v>16</v>
      </c>
      <c r="E252" s="4">
        <v>1</v>
      </c>
      <c r="F252" s="4">
        <v>570</v>
      </c>
      <c r="G252" s="9">
        <v>57.07</v>
      </c>
    </row>
    <row r="253" spans="1:7" ht="15.6" x14ac:dyDescent="0.3">
      <c r="A253" s="16">
        <v>45145</v>
      </c>
      <c r="B253" s="10" t="s">
        <v>20</v>
      </c>
      <c r="C253" s="10" t="s">
        <v>11</v>
      </c>
      <c r="D253" s="10" t="s">
        <v>12</v>
      </c>
      <c r="E253" s="4">
        <v>6</v>
      </c>
      <c r="F253" s="4">
        <v>3300</v>
      </c>
      <c r="G253" s="9">
        <v>386.92</v>
      </c>
    </row>
    <row r="254" spans="1:7" ht="15.6" x14ac:dyDescent="0.3">
      <c r="A254" s="16">
        <v>44899</v>
      </c>
      <c r="B254" s="10" t="s">
        <v>23</v>
      </c>
      <c r="C254" s="10" t="s">
        <v>14</v>
      </c>
      <c r="D254" s="10" t="s">
        <v>15</v>
      </c>
      <c r="E254" s="4">
        <v>8</v>
      </c>
      <c r="F254" s="4">
        <v>2584</v>
      </c>
      <c r="G254" s="9">
        <v>568.77</v>
      </c>
    </row>
    <row r="255" spans="1:7" ht="15.6" x14ac:dyDescent="0.3">
      <c r="A255" s="16">
        <v>45340</v>
      </c>
      <c r="B255" s="10" t="s">
        <v>20</v>
      </c>
      <c r="C255" s="10" t="s">
        <v>11</v>
      </c>
      <c r="D255" s="10" t="s">
        <v>15</v>
      </c>
      <c r="E255" s="4">
        <v>9</v>
      </c>
      <c r="F255" s="4">
        <v>7650</v>
      </c>
      <c r="G255" s="9">
        <v>2204.44</v>
      </c>
    </row>
    <row r="256" spans="1:7" ht="15.6" x14ac:dyDescent="0.3">
      <c r="A256" s="16">
        <v>45631</v>
      </c>
      <c r="B256" s="10" t="s">
        <v>18</v>
      </c>
      <c r="C256" s="10" t="s">
        <v>11</v>
      </c>
      <c r="D256" s="10" t="s">
        <v>16</v>
      </c>
      <c r="E256" s="4">
        <v>8</v>
      </c>
      <c r="F256" s="4">
        <v>3600</v>
      </c>
      <c r="G256" s="9">
        <v>272.51</v>
      </c>
    </row>
    <row r="257" spans="1:7" ht="15.6" x14ac:dyDescent="0.3">
      <c r="A257" s="16">
        <v>45275</v>
      </c>
      <c r="B257" s="10" t="s">
        <v>20</v>
      </c>
      <c r="C257" s="10" t="s">
        <v>11</v>
      </c>
      <c r="D257" s="10" t="s">
        <v>16</v>
      </c>
      <c r="E257" s="4">
        <v>6</v>
      </c>
      <c r="F257" s="4">
        <v>846</v>
      </c>
      <c r="G257" s="9">
        <v>190.87</v>
      </c>
    </row>
    <row r="258" spans="1:7" ht="15.6" x14ac:dyDescent="0.3">
      <c r="A258" s="16">
        <v>45150</v>
      </c>
      <c r="B258" s="10" t="s">
        <v>21</v>
      </c>
      <c r="C258" s="10" t="s">
        <v>14</v>
      </c>
      <c r="D258" s="10" t="s">
        <v>16</v>
      </c>
      <c r="E258" s="4">
        <v>1</v>
      </c>
      <c r="F258" s="4">
        <v>51</v>
      </c>
      <c r="G258" s="9">
        <v>9.36</v>
      </c>
    </row>
    <row r="259" spans="1:7" ht="15.6" x14ac:dyDescent="0.3">
      <c r="A259" s="16">
        <v>45432</v>
      </c>
      <c r="B259" s="10" t="s">
        <v>19</v>
      </c>
      <c r="C259" s="10" t="s">
        <v>14</v>
      </c>
      <c r="D259" s="10" t="s">
        <v>15</v>
      </c>
      <c r="E259" s="4">
        <v>6</v>
      </c>
      <c r="F259" s="4">
        <v>7056</v>
      </c>
      <c r="G259" s="9">
        <v>586.91</v>
      </c>
    </row>
    <row r="260" spans="1:7" ht="15.6" x14ac:dyDescent="0.3">
      <c r="A260" s="16">
        <v>45448</v>
      </c>
      <c r="B260" s="10" t="s">
        <v>19</v>
      </c>
      <c r="C260" s="10" t="s">
        <v>14</v>
      </c>
      <c r="D260" s="10" t="s">
        <v>16</v>
      </c>
      <c r="E260" s="4">
        <v>2</v>
      </c>
      <c r="F260" s="4">
        <v>384</v>
      </c>
      <c r="G260" s="9">
        <v>38.409999999999997</v>
      </c>
    </row>
    <row r="261" spans="1:7" ht="15.6" x14ac:dyDescent="0.3">
      <c r="A261" s="16">
        <v>44570</v>
      </c>
      <c r="B261" s="10" t="s">
        <v>23</v>
      </c>
      <c r="C261" s="10" t="s">
        <v>14</v>
      </c>
      <c r="D261" s="10" t="s">
        <v>15</v>
      </c>
      <c r="E261" s="4">
        <v>8</v>
      </c>
      <c r="F261" s="4">
        <v>2928</v>
      </c>
      <c r="G261" s="9">
        <v>663.54</v>
      </c>
    </row>
    <row r="262" spans="1:7" ht="15.6" x14ac:dyDescent="0.3">
      <c r="A262" s="16">
        <v>45277</v>
      </c>
      <c r="B262" s="10" t="s">
        <v>17</v>
      </c>
      <c r="C262" s="10" t="s">
        <v>14</v>
      </c>
      <c r="D262" s="10" t="s">
        <v>16</v>
      </c>
      <c r="E262" s="4">
        <v>7</v>
      </c>
      <c r="F262" s="4">
        <v>1904</v>
      </c>
      <c r="G262" s="9">
        <v>352.86</v>
      </c>
    </row>
    <row r="263" spans="1:7" ht="15.6" x14ac:dyDescent="0.3">
      <c r="A263" s="16">
        <v>44812</v>
      </c>
      <c r="B263" s="10" t="s">
        <v>13</v>
      </c>
      <c r="C263" s="10" t="s">
        <v>14</v>
      </c>
      <c r="D263" s="10" t="s">
        <v>12</v>
      </c>
      <c r="E263" s="4">
        <v>2</v>
      </c>
      <c r="F263" s="4">
        <v>2314</v>
      </c>
      <c r="G263" s="9">
        <v>312.07</v>
      </c>
    </row>
    <row r="264" spans="1:7" ht="15.6" x14ac:dyDescent="0.3">
      <c r="A264" s="16">
        <v>44583</v>
      </c>
      <c r="B264" s="10" t="s">
        <v>7</v>
      </c>
      <c r="C264" s="10" t="s">
        <v>8</v>
      </c>
      <c r="D264" s="10" t="s">
        <v>15</v>
      </c>
      <c r="E264" s="4">
        <v>4</v>
      </c>
      <c r="F264" s="4">
        <v>1028</v>
      </c>
      <c r="G264" s="9">
        <v>192.13</v>
      </c>
    </row>
    <row r="265" spans="1:7" ht="15.6" x14ac:dyDescent="0.3">
      <c r="A265" s="16">
        <v>45539</v>
      </c>
      <c r="B265" s="10" t="s">
        <v>18</v>
      </c>
      <c r="C265" s="10" t="s">
        <v>11</v>
      </c>
      <c r="D265" s="10" t="s">
        <v>15</v>
      </c>
      <c r="E265" s="4">
        <v>9</v>
      </c>
      <c r="F265" s="4">
        <v>8307</v>
      </c>
      <c r="G265" s="9">
        <v>1326.23</v>
      </c>
    </row>
    <row r="266" spans="1:7" ht="15.6" x14ac:dyDescent="0.3">
      <c r="A266" s="16">
        <v>45311</v>
      </c>
      <c r="B266" s="10" t="s">
        <v>7</v>
      </c>
      <c r="C266" s="10" t="s">
        <v>8</v>
      </c>
      <c r="D266" s="10" t="s">
        <v>16</v>
      </c>
      <c r="E266" s="4">
        <v>9</v>
      </c>
      <c r="F266" s="4">
        <v>1539</v>
      </c>
      <c r="G266" s="9">
        <v>203.54</v>
      </c>
    </row>
    <row r="267" spans="1:7" ht="15.6" x14ac:dyDescent="0.3">
      <c r="A267" s="16">
        <v>44868</v>
      </c>
      <c r="B267" s="10" t="s">
        <v>13</v>
      </c>
      <c r="C267" s="10" t="s">
        <v>14</v>
      </c>
      <c r="D267" s="10" t="s">
        <v>16</v>
      </c>
      <c r="E267" s="4">
        <v>7</v>
      </c>
      <c r="F267" s="4">
        <v>2506</v>
      </c>
      <c r="G267" s="9">
        <v>537.98</v>
      </c>
    </row>
    <row r="268" spans="1:7" ht="15.6" x14ac:dyDescent="0.3">
      <c r="A268" s="16">
        <v>45110</v>
      </c>
      <c r="B268" s="10" t="s">
        <v>21</v>
      </c>
      <c r="C268" s="10" t="s">
        <v>14</v>
      </c>
      <c r="D268" s="10" t="s">
        <v>16</v>
      </c>
      <c r="E268" s="4">
        <v>6</v>
      </c>
      <c r="F268" s="4">
        <v>5778</v>
      </c>
      <c r="G268" s="9">
        <v>1232.54</v>
      </c>
    </row>
    <row r="269" spans="1:7" ht="15.6" x14ac:dyDescent="0.3">
      <c r="A269" s="16">
        <v>45316</v>
      </c>
      <c r="B269" s="10" t="s">
        <v>13</v>
      </c>
      <c r="C269" s="10" t="s">
        <v>14</v>
      </c>
      <c r="D269" s="10" t="s">
        <v>12</v>
      </c>
      <c r="E269" s="4">
        <v>9</v>
      </c>
      <c r="F269" s="4">
        <v>10188</v>
      </c>
      <c r="G269" s="9">
        <v>2165.7800000000002</v>
      </c>
    </row>
    <row r="270" spans="1:7" ht="15.6" x14ac:dyDescent="0.3">
      <c r="A270" s="16">
        <v>45423</v>
      </c>
      <c r="B270" s="10" t="s">
        <v>20</v>
      </c>
      <c r="C270" s="10" t="s">
        <v>11</v>
      </c>
      <c r="D270" s="10" t="s">
        <v>9</v>
      </c>
      <c r="E270" s="4">
        <v>1</v>
      </c>
      <c r="F270" s="4">
        <v>952</v>
      </c>
      <c r="G270" s="9">
        <v>157.69999999999999</v>
      </c>
    </row>
    <row r="271" spans="1:7" ht="15.6" x14ac:dyDescent="0.3">
      <c r="A271" s="16">
        <v>45293</v>
      </c>
      <c r="B271" s="10" t="s">
        <v>19</v>
      </c>
      <c r="C271" s="10" t="s">
        <v>14</v>
      </c>
      <c r="D271" s="10" t="s">
        <v>16</v>
      </c>
      <c r="E271" s="4">
        <v>8</v>
      </c>
      <c r="F271" s="4">
        <v>3624</v>
      </c>
      <c r="G271" s="9">
        <v>750.86</v>
      </c>
    </row>
    <row r="272" spans="1:7" ht="15.6" x14ac:dyDescent="0.3">
      <c r="A272" s="16">
        <v>44981</v>
      </c>
      <c r="B272" s="10" t="s">
        <v>22</v>
      </c>
      <c r="C272" s="10" t="s">
        <v>11</v>
      </c>
      <c r="D272" s="10" t="s">
        <v>15</v>
      </c>
      <c r="E272" s="4">
        <v>8</v>
      </c>
      <c r="F272" s="4">
        <v>7968</v>
      </c>
      <c r="G272" s="9">
        <v>1551.12</v>
      </c>
    </row>
    <row r="273" spans="1:7" ht="15.6" x14ac:dyDescent="0.3">
      <c r="A273" s="16">
        <v>45493</v>
      </c>
      <c r="B273" s="10" t="s">
        <v>10</v>
      </c>
      <c r="C273" s="10" t="s">
        <v>11</v>
      </c>
      <c r="D273" s="10" t="s">
        <v>15</v>
      </c>
      <c r="E273" s="4">
        <v>2</v>
      </c>
      <c r="F273" s="4">
        <v>1254</v>
      </c>
      <c r="G273" s="9">
        <v>250.09</v>
      </c>
    </row>
    <row r="274" spans="1:7" ht="15.6" x14ac:dyDescent="0.3">
      <c r="A274" s="16">
        <v>45091</v>
      </c>
      <c r="B274" s="10" t="s">
        <v>7</v>
      </c>
      <c r="C274" s="10" t="s">
        <v>8</v>
      </c>
      <c r="D274" s="10" t="s">
        <v>16</v>
      </c>
      <c r="E274" s="4">
        <v>3</v>
      </c>
      <c r="F274" s="4">
        <v>705</v>
      </c>
      <c r="G274" s="9">
        <v>196.05</v>
      </c>
    </row>
    <row r="275" spans="1:7" ht="15.6" x14ac:dyDescent="0.3">
      <c r="A275" s="16">
        <v>44661</v>
      </c>
      <c r="B275" s="10" t="s">
        <v>10</v>
      </c>
      <c r="C275" s="10" t="s">
        <v>11</v>
      </c>
      <c r="D275" s="10" t="s">
        <v>16</v>
      </c>
      <c r="E275" s="4">
        <v>1</v>
      </c>
      <c r="F275" s="4">
        <v>916</v>
      </c>
      <c r="G275" s="9">
        <v>223.5</v>
      </c>
    </row>
    <row r="276" spans="1:7" ht="15.6" x14ac:dyDescent="0.3">
      <c r="A276" s="16">
        <v>45566</v>
      </c>
      <c r="B276" s="10" t="s">
        <v>7</v>
      </c>
      <c r="C276" s="10" t="s">
        <v>8</v>
      </c>
      <c r="D276" s="10" t="s">
        <v>9</v>
      </c>
      <c r="E276" s="4">
        <v>2</v>
      </c>
      <c r="F276" s="4">
        <v>848</v>
      </c>
      <c r="G276" s="9">
        <v>129.96</v>
      </c>
    </row>
    <row r="277" spans="1:7" ht="15.6" x14ac:dyDescent="0.3">
      <c r="A277" s="16">
        <v>44691</v>
      </c>
      <c r="B277" s="10" t="s">
        <v>20</v>
      </c>
      <c r="C277" s="10" t="s">
        <v>11</v>
      </c>
      <c r="D277" s="10" t="s">
        <v>12</v>
      </c>
      <c r="E277" s="4">
        <v>8</v>
      </c>
      <c r="F277" s="4">
        <v>2240</v>
      </c>
      <c r="G277" s="9">
        <v>313.17</v>
      </c>
    </row>
    <row r="278" spans="1:7" ht="15.6" x14ac:dyDescent="0.3">
      <c r="A278" s="16">
        <v>44589</v>
      </c>
      <c r="B278" s="10" t="s">
        <v>20</v>
      </c>
      <c r="C278" s="10" t="s">
        <v>11</v>
      </c>
      <c r="D278" s="10" t="s">
        <v>15</v>
      </c>
      <c r="E278" s="4">
        <v>1</v>
      </c>
      <c r="F278" s="4">
        <v>940</v>
      </c>
      <c r="G278" s="9">
        <v>120.35</v>
      </c>
    </row>
    <row r="279" spans="1:7" ht="15.6" x14ac:dyDescent="0.3">
      <c r="A279" s="16">
        <v>45021</v>
      </c>
      <c r="B279" s="10" t="s">
        <v>18</v>
      </c>
      <c r="C279" s="10" t="s">
        <v>11</v>
      </c>
      <c r="D279" s="10" t="s">
        <v>16</v>
      </c>
      <c r="E279" s="4">
        <v>5</v>
      </c>
      <c r="F279" s="4">
        <v>1550</v>
      </c>
      <c r="G279" s="9">
        <v>203.51</v>
      </c>
    </row>
    <row r="280" spans="1:7" ht="15.6" x14ac:dyDescent="0.3">
      <c r="A280" s="16">
        <v>45191</v>
      </c>
      <c r="B280" s="10" t="s">
        <v>22</v>
      </c>
      <c r="C280" s="10" t="s">
        <v>11</v>
      </c>
      <c r="D280" s="10" t="s">
        <v>15</v>
      </c>
      <c r="E280" s="4">
        <v>7</v>
      </c>
      <c r="F280" s="4">
        <v>2352</v>
      </c>
      <c r="G280" s="9">
        <v>256.39999999999998</v>
      </c>
    </row>
    <row r="281" spans="1:7" ht="15.6" x14ac:dyDescent="0.3">
      <c r="A281" s="16">
        <v>45533</v>
      </c>
      <c r="B281" s="10" t="s">
        <v>19</v>
      </c>
      <c r="C281" s="10" t="s">
        <v>14</v>
      </c>
      <c r="D281" s="10" t="s">
        <v>9</v>
      </c>
      <c r="E281" s="4">
        <v>9</v>
      </c>
      <c r="F281" s="4">
        <v>1638</v>
      </c>
      <c r="G281" s="9">
        <v>183.75</v>
      </c>
    </row>
    <row r="282" spans="1:7" ht="15.6" x14ac:dyDescent="0.3">
      <c r="A282" s="16">
        <v>45248</v>
      </c>
      <c r="B282" s="10" t="s">
        <v>17</v>
      </c>
      <c r="C282" s="10" t="s">
        <v>14</v>
      </c>
      <c r="D282" s="10" t="s">
        <v>9</v>
      </c>
      <c r="E282" s="4">
        <v>6</v>
      </c>
      <c r="F282" s="4">
        <v>7164</v>
      </c>
      <c r="G282" s="9">
        <v>1442.72</v>
      </c>
    </row>
    <row r="283" spans="1:7" ht="15.6" x14ac:dyDescent="0.3">
      <c r="A283" s="16">
        <v>45181</v>
      </c>
      <c r="B283" s="10" t="s">
        <v>10</v>
      </c>
      <c r="C283" s="10" t="s">
        <v>11</v>
      </c>
      <c r="D283" s="10" t="s">
        <v>12</v>
      </c>
      <c r="E283" s="4">
        <v>1</v>
      </c>
      <c r="F283" s="4">
        <v>205</v>
      </c>
      <c r="G283" s="9">
        <v>54.54</v>
      </c>
    </row>
    <row r="284" spans="1:7" ht="15.6" x14ac:dyDescent="0.3">
      <c r="A284" s="16">
        <v>45072</v>
      </c>
      <c r="B284" s="10" t="s">
        <v>22</v>
      </c>
      <c r="C284" s="10" t="s">
        <v>11</v>
      </c>
      <c r="D284" s="10" t="s">
        <v>9</v>
      </c>
      <c r="E284" s="4">
        <v>2</v>
      </c>
      <c r="F284" s="4">
        <v>766</v>
      </c>
      <c r="G284" s="9">
        <v>49.23</v>
      </c>
    </row>
    <row r="285" spans="1:7" ht="15.6" x14ac:dyDescent="0.3">
      <c r="A285" s="16">
        <v>45046</v>
      </c>
      <c r="B285" s="10" t="s">
        <v>22</v>
      </c>
      <c r="C285" s="10" t="s">
        <v>11</v>
      </c>
      <c r="D285" s="10" t="s">
        <v>9</v>
      </c>
      <c r="E285" s="4">
        <v>1</v>
      </c>
      <c r="F285" s="4">
        <v>168</v>
      </c>
      <c r="G285" s="9">
        <v>17.84</v>
      </c>
    </row>
    <row r="286" spans="1:7" ht="15.6" x14ac:dyDescent="0.3">
      <c r="A286" s="16">
        <v>45597</v>
      </c>
      <c r="B286" s="10" t="s">
        <v>10</v>
      </c>
      <c r="C286" s="10" t="s">
        <v>11</v>
      </c>
      <c r="D286" s="10" t="s">
        <v>15</v>
      </c>
      <c r="E286" s="4">
        <v>1</v>
      </c>
      <c r="F286" s="4">
        <v>1058</v>
      </c>
      <c r="G286" s="9">
        <v>207.55</v>
      </c>
    </row>
    <row r="287" spans="1:7" ht="15.6" x14ac:dyDescent="0.3">
      <c r="A287" s="16">
        <v>44687</v>
      </c>
      <c r="B287" s="10" t="s">
        <v>22</v>
      </c>
      <c r="C287" s="10" t="s">
        <v>11</v>
      </c>
      <c r="D287" s="10" t="s">
        <v>15</v>
      </c>
      <c r="E287" s="4">
        <v>5</v>
      </c>
      <c r="F287" s="4">
        <v>1455</v>
      </c>
      <c r="G287" s="9">
        <v>423.81</v>
      </c>
    </row>
    <row r="288" spans="1:7" ht="15.6" x14ac:dyDescent="0.3">
      <c r="A288" s="16">
        <v>45056</v>
      </c>
      <c r="B288" s="10" t="s">
        <v>17</v>
      </c>
      <c r="C288" s="10" t="s">
        <v>14</v>
      </c>
      <c r="D288" s="10" t="s">
        <v>12</v>
      </c>
      <c r="E288" s="4">
        <v>2</v>
      </c>
      <c r="F288" s="4">
        <v>2224</v>
      </c>
      <c r="G288" s="9">
        <v>364.04</v>
      </c>
    </row>
    <row r="289" spans="1:7" ht="15.6" x14ac:dyDescent="0.3">
      <c r="A289" s="16">
        <v>44869</v>
      </c>
      <c r="B289" s="10" t="s">
        <v>21</v>
      </c>
      <c r="C289" s="10" t="s">
        <v>14</v>
      </c>
      <c r="D289" s="10" t="s">
        <v>16</v>
      </c>
      <c r="E289" s="4">
        <v>7</v>
      </c>
      <c r="F289" s="4">
        <v>1400</v>
      </c>
      <c r="G289" s="9">
        <v>80.489999999999995</v>
      </c>
    </row>
    <row r="290" spans="1:7" ht="15.6" x14ac:dyDescent="0.3">
      <c r="A290" s="16">
        <v>44690</v>
      </c>
      <c r="B290" s="10" t="s">
        <v>21</v>
      </c>
      <c r="C290" s="10" t="s">
        <v>14</v>
      </c>
      <c r="D290" s="10" t="s">
        <v>12</v>
      </c>
      <c r="E290" s="4">
        <v>7</v>
      </c>
      <c r="F290" s="4">
        <v>7567</v>
      </c>
      <c r="G290" s="9">
        <v>2213.1799999999998</v>
      </c>
    </row>
    <row r="291" spans="1:7" ht="15.6" x14ac:dyDescent="0.3">
      <c r="A291" s="16">
        <v>44872</v>
      </c>
      <c r="B291" s="10" t="s">
        <v>13</v>
      </c>
      <c r="C291" s="10" t="s">
        <v>14</v>
      </c>
      <c r="D291" s="10" t="s">
        <v>12</v>
      </c>
      <c r="E291" s="4">
        <v>6</v>
      </c>
      <c r="F291" s="4">
        <v>3396</v>
      </c>
      <c r="G291" s="9">
        <v>987.68</v>
      </c>
    </row>
    <row r="292" spans="1:7" ht="15.6" x14ac:dyDescent="0.3">
      <c r="A292" s="16">
        <v>45149</v>
      </c>
      <c r="B292" s="10" t="s">
        <v>19</v>
      </c>
      <c r="C292" s="10" t="s">
        <v>14</v>
      </c>
      <c r="D292" s="10" t="s">
        <v>12</v>
      </c>
      <c r="E292" s="4">
        <v>2</v>
      </c>
      <c r="F292" s="4">
        <v>704</v>
      </c>
      <c r="G292" s="9">
        <v>135.63</v>
      </c>
    </row>
    <row r="293" spans="1:7" ht="15.6" x14ac:dyDescent="0.3">
      <c r="A293" s="16">
        <v>45586</v>
      </c>
      <c r="B293" s="10" t="s">
        <v>13</v>
      </c>
      <c r="C293" s="10" t="s">
        <v>14</v>
      </c>
      <c r="D293" s="10" t="s">
        <v>12</v>
      </c>
      <c r="E293" s="4">
        <v>9</v>
      </c>
      <c r="F293" s="4">
        <v>7767</v>
      </c>
      <c r="G293" s="9">
        <v>2172.19</v>
      </c>
    </row>
    <row r="294" spans="1:7" ht="15.6" x14ac:dyDescent="0.3">
      <c r="A294" s="16">
        <v>45571</v>
      </c>
      <c r="B294" s="10" t="s">
        <v>10</v>
      </c>
      <c r="C294" s="10" t="s">
        <v>11</v>
      </c>
      <c r="D294" s="10" t="s">
        <v>16</v>
      </c>
      <c r="E294" s="4">
        <v>5</v>
      </c>
      <c r="F294" s="4">
        <v>2050</v>
      </c>
      <c r="G294" s="9">
        <v>157.13</v>
      </c>
    </row>
    <row r="295" spans="1:7" ht="15.6" x14ac:dyDescent="0.3">
      <c r="A295" s="16">
        <v>45146</v>
      </c>
      <c r="B295" s="10" t="s">
        <v>20</v>
      </c>
      <c r="C295" s="10" t="s">
        <v>11</v>
      </c>
      <c r="D295" s="10" t="s">
        <v>9</v>
      </c>
      <c r="E295" s="4">
        <v>9</v>
      </c>
      <c r="F295" s="4">
        <v>10458</v>
      </c>
      <c r="G295" s="9">
        <v>2799.48</v>
      </c>
    </row>
    <row r="296" spans="1:7" ht="15.6" x14ac:dyDescent="0.3">
      <c r="A296" s="16">
        <v>44580</v>
      </c>
      <c r="B296" s="10" t="s">
        <v>17</v>
      </c>
      <c r="C296" s="10" t="s">
        <v>14</v>
      </c>
      <c r="D296" s="10" t="s">
        <v>15</v>
      </c>
      <c r="E296" s="4">
        <v>4</v>
      </c>
      <c r="F296" s="4">
        <v>4700</v>
      </c>
      <c r="G296" s="9">
        <v>619.26</v>
      </c>
    </row>
    <row r="297" spans="1:7" ht="15.6" x14ac:dyDescent="0.3">
      <c r="A297" s="16">
        <v>45412</v>
      </c>
      <c r="B297" s="10" t="s">
        <v>21</v>
      </c>
      <c r="C297" s="10" t="s">
        <v>14</v>
      </c>
      <c r="D297" s="10" t="s">
        <v>9</v>
      </c>
      <c r="E297" s="4">
        <v>2</v>
      </c>
      <c r="F297" s="4">
        <v>892</v>
      </c>
      <c r="G297" s="9">
        <v>222.51</v>
      </c>
    </row>
    <row r="298" spans="1:7" ht="15.6" x14ac:dyDescent="0.3">
      <c r="A298" s="16">
        <v>45286</v>
      </c>
      <c r="B298" s="10" t="s">
        <v>23</v>
      </c>
      <c r="C298" s="10" t="s">
        <v>14</v>
      </c>
      <c r="D298" s="10" t="s">
        <v>12</v>
      </c>
      <c r="E298" s="4">
        <v>8</v>
      </c>
      <c r="F298" s="4">
        <v>6968</v>
      </c>
      <c r="G298" s="9">
        <v>1479.09</v>
      </c>
    </row>
    <row r="299" spans="1:7" ht="15.6" x14ac:dyDescent="0.3">
      <c r="A299" s="16">
        <v>45389</v>
      </c>
      <c r="B299" s="10" t="s">
        <v>23</v>
      </c>
      <c r="C299" s="10" t="s">
        <v>14</v>
      </c>
      <c r="D299" s="10" t="s">
        <v>9</v>
      </c>
      <c r="E299" s="4">
        <v>7</v>
      </c>
      <c r="F299" s="4">
        <v>1344</v>
      </c>
      <c r="G299" s="9">
        <v>300.88</v>
      </c>
    </row>
    <row r="300" spans="1:7" ht="15.6" x14ac:dyDescent="0.3">
      <c r="A300" s="16">
        <v>44852</v>
      </c>
      <c r="B300" s="10" t="s">
        <v>17</v>
      </c>
      <c r="C300" s="10" t="s">
        <v>14</v>
      </c>
      <c r="D300" s="10" t="s">
        <v>16</v>
      </c>
      <c r="E300" s="4">
        <v>1</v>
      </c>
      <c r="F300" s="4">
        <v>354</v>
      </c>
      <c r="G300" s="9">
        <v>65.989999999999995</v>
      </c>
    </row>
    <row r="301" spans="1:7" ht="15.6" x14ac:dyDescent="0.3">
      <c r="A301" s="16">
        <v>45403</v>
      </c>
      <c r="B301" s="10" t="s">
        <v>20</v>
      </c>
      <c r="C301" s="10" t="s">
        <v>11</v>
      </c>
      <c r="D301" s="10" t="s">
        <v>15</v>
      </c>
      <c r="E301" s="4">
        <v>3</v>
      </c>
      <c r="F301" s="4">
        <v>3051</v>
      </c>
      <c r="G301" s="9">
        <v>662.23</v>
      </c>
    </row>
    <row r="302" spans="1:7" ht="15.6" x14ac:dyDescent="0.3">
      <c r="A302" s="16">
        <v>45377</v>
      </c>
      <c r="B302" s="10" t="s">
        <v>17</v>
      </c>
      <c r="C302" s="10" t="s">
        <v>14</v>
      </c>
      <c r="D302" s="10" t="s">
        <v>15</v>
      </c>
      <c r="E302" s="4">
        <v>3</v>
      </c>
      <c r="F302" s="4">
        <v>402</v>
      </c>
      <c r="G302" s="9">
        <v>106.87</v>
      </c>
    </row>
    <row r="303" spans="1:7" ht="15.6" x14ac:dyDescent="0.3">
      <c r="A303" s="16">
        <v>44865</v>
      </c>
      <c r="B303" s="10" t="s">
        <v>20</v>
      </c>
      <c r="C303" s="10" t="s">
        <v>11</v>
      </c>
      <c r="D303" s="10" t="s">
        <v>9</v>
      </c>
      <c r="E303" s="4">
        <v>5</v>
      </c>
      <c r="F303" s="4">
        <v>3570</v>
      </c>
      <c r="G303" s="9">
        <v>517.82000000000005</v>
      </c>
    </row>
    <row r="304" spans="1:7" ht="15.6" x14ac:dyDescent="0.3">
      <c r="A304" s="16">
        <v>44988</v>
      </c>
      <c r="B304" s="10" t="s">
        <v>22</v>
      </c>
      <c r="C304" s="10" t="s">
        <v>11</v>
      </c>
      <c r="D304" s="10" t="s">
        <v>9</v>
      </c>
      <c r="E304" s="4">
        <v>7</v>
      </c>
      <c r="F304" s="4">
        <v>3829</v>
      </c>
      <c r="G304" s="9">
        <v>876.35</v>
      </c>
    </row>
    <row r="305" spans="1:7" ht="15.6" x14ac:dyDescent="0.3">
      <c r="A305" s="16">
        <v>44960</v>
      </c>
      <c r="B305" s="10" t="s">
        <v>10</v>
      </c>
      <c r="C305" s="10" t="s">
        <v>11</v>
      </c>
      <c r="D305" s="10" t="s">
        <v>9</v>
      </c>
      <c r="E305" s="4">
        <v>7</v>
      </c>
      <c r="F305" s="4">
        <v>4676</v>
      </c>
      <c r="G305" s="9">
        <v>242.64</v>
      </c>
    </row>
    <row r="306" spans="1:7" ht="15.6" x14ac:dyDescent="0.3">
      <c r="A306" s="16">
        <v>45031</v>
      </c>
      <c r="B306" s="10" t="s">
        <v>22</v>
      </c>
      <c r="C306" s="10" t="s">
        <v>11</v>
      </c>
      <c r="D306" s="10" t="s">
        <v>12</v>
      </c>
      <c r="E306" s="4">
        <v>3</v>
      </c>
      <c r="F306" s="4">
        <v>1119</v>
      </c>
      <c r="G306" s="9">
        <v>317.36</v>
      </c>
    </row>
    <row r="307" spans="1:7" ht="15.6" x14ac:dyDescent="0.3">
      <c r="A307" s="16">
        <v>45055</v>
      </c>
      <c r="B307" s="10" t="s">
        <v>21</v>
      </c>
      <c r="C307" s="10" t="s">
        <v>14</v>
      </c>
      <c r="D307" s="10" t="s">
        <v>12</v>
      </c>
      <c r="E307" s="4">
        <v>4</v>
      </c>
      <c r="F307" s="4">
        <v>4228</v>
      </c>
      <c r="G307" s="9">
        <v>764.3</v>
      </c>
    </row>
    <row r="308" spans="1:7" ht="15.6" x14ac:dyDescent="0.3">
      <c r="A308" s="16">
        <v>44563</v>
      </c>
      <c r="B308" s="10" t="s">
        <v>18</v>
      </c>
      <c r="C308" s="10" t="s">
        <v>11</v>
      </c>
      <c r="D308" s="10" t="s">
        <v>9</v>
      </c>
      <c r="E308" s="4">
        <v>8</v>
      </c>
      <c r="F308" s="4">
        <v>1240</v>
      </c>
      <c r="G308" s="9">
        <v>251.2</v>
      </c>
    </row>
    <row r="309" spans="1:7" ht="15.6" x14ac:dyDescent="0.3">
      <c r="A309" s="16">
        <v>45624</v>
      </c>
      <c r="B309" s="10" t="s">
        <v>22</v>
      </c>
      <c r="C309" s="10" t="s">
        <v>11</v>
      </c>
      <c r="D309" s="10" t="s">
        <v>9</v>
      </c>
      <c r="E309" s="4">
        <v>9</v>
      </c>
      <c r="F309" s="4">
        <v>3591</v>
      </c>
      <c r="G309" s="9">
        <v>342.18</v>
      </c>
    </row>
    <row r="310" spans="1:7" ht="15.6" x14ac:dyDescent="0.3">
      <c r="A310" s="16">
        <v>44597</v>
      </c>
      <c r="B310" s="10" t="s">
        <v>7</v>
      </c>
      <c r="C310" s="10" t="s">
        <v>8</v>
      </c>
      <c r="D310" s="10" t="s">
        <v>16</v>
      </c>
      <c r="E310" s="4">
        <v>8</v>
      </c>
      <c r="F310" s="4">
        <v>3952</v>
      </c>
      <c r="G310" s="9">
        <v>451.08</v>
      </c>
    </row>
    <row r="311" spans="1:7" ht="15.6" x14ac:dyDescent="0.3">
      <c r="A311" s="16">
        <v>45448</v>
      </c>
      <c r="B311" s="10" t="s">
        <v>22</v>
      </c>
      <c r="C311" s="10" t="s">
        <v>11</v>
      </c>
      <c r="D311" s="10" t="s">
        <v>15</v>
      </c>
      <c r="E311" s="4">
        <v>6</v>
      </c>
      <c r="F311" s="4">
        <v>3648</v>
      </c>
      <c r="G311" s="9">
        <v>1050.08</v>
      </c>
    </row>
    <row r="312" spans="1:7" ht="15.6" x14ac:dyDescent="0.3">
      <c r="A312" s="16">
        <v>45611</v>
      </c>
      <c r="B312" s="10" t="s">
        <v>20</v>
      </c>
      <c r="C312" s="10" t="s">
        <v>11</v>
      </c>
      <c r="D312" s="10" t="s">
        <v>9</v>
      </c>
      <c r="E312" s="4">
        <v>5</v>
      </c>
      <c r="F312" s="4">
        <v>3875</v>
      </c>
      <c r="G312" s="9">
        <v>768.74</v>
      </c>
    </row>
    <row r="313" spans="1:7" ht="15.6" x14ac:dyDescent="0.3">
      <c r="A313" s="16">
        <v>45243</v>
      </c>
      <c r="B313" s="10" t="s">
        <v>19</v>
      </c>
      <c r="C313" s="10" t="s">
        <v>14</v>
      </c>
      <c r="D313" s="10" t="s">
        <v>16</v>
      </c>
      <c r="E313" s="4">
        <v>8</v>
      </c>
      <c r="F313" s="4">
        <v>3416</v>
      </c>
      <c r="G313" s="9">
        <v>478.9</v>
      </c>
    </row>
    <row r="314" spans="1:7" ht="15.6" x14ac:dyDescent="0.3">
      <c r="A314" s="16">
        <v>44611</v>
      </c>
      <c r="B314" s="10" t="s">
        <v>13</v>
      </c>
      <c r="C314" s="10" t="s">
        <v>14</v>
      </c>
      <c r="D314" s="10" t="s">
        <v>16</v>
      </c>
      <c r="E314" s="4">
        <v>1</v>
      </c>
      <c r="F314" s="4">
        <v>908</v>
      </c>
      <c r="G314" s="9">
        <v>222.58</v>
      </c>
    </row>
    <row r="315" spans="1:7" ht="15.6" x14ac:dyDescent="0.3">
      <c r="A315" s="16">
        <v>45418</v>
      </c>
      <c r="B315" s="10" t="s">
        <v>18</v>
      </c>
      <c r="C315" s="10" t="s">
        <v>11</v>
      </c>
      <c r="D315" s="10" t="s">
        <v>15</v>
      </c>
      <c r="E315" s="4">
        <v>4</v>
      </c>
      <c r="F315" s="4">
        <v>4532</v>
      </c>
      <c r="G315" s="9">
        <v>987.32</v>
      </c>
    </row>
    <row r="316" spans="1:7" ht="15.6" x14ac:dyDescent="0.3">
      <c r="A316" s="16">
        <v>45142</v>
      </c>
      <c r="B316" s="10" t="s">
        <v>18</v>
      </c>
      <c r="C316" s="10" t="s">
        <v>11</v>
      </c>
      <c r="D316" s="10" t="s">
        <v>12</v>
      </c>
      <c r="E316" s="4">
        <v>4</v>
      </c>
      <c r="F316" s="4">
        <v>4168</v>
      </c>
      <c r="G316" s="9">
        <v>650.15</v>
      </c>
    </row>
    <row r="317" spans="1:7" ht="15.6" x14ac:dyDescent="0.3">
      <c r="A317" s="16">
        <v>45192</v>
      </c>
      <c r="B317" s="10" t="s">
        <v>23</v>
      </c>
      <c r="C317" s="10" t="s">
        <v>14</v>
      </c>
      <c r="D317" s="10" t="s">
        <v>9</v>
      </c>
      <c r="E317" s="4">
        <v>3</v>
      </c>
      <c r="F317" s="4">
        <v>3543</v>
      </c>
      <c r="G317" s="9">
        <v>941.37</v>
      </c>
    </row>
    <row r="318" spans="1:7" ht="15.6" x14ac:dyDescent="0.3">
      <c r="A318" s="16">
        <v>45549</v>
      </c>
      <c r="B318" s="10" t="s">
        <v>23</v>
      </c>
      <c r="C318" s="10" t="s">
        <v>14</v>
      </c>
      <c r="D318" s="10" t="s">
        <v>12</v>
      </c>
      <c r="E318" s="4">
        <v>6</v>
      </c>
      <c r="F318" s="4">
        <v>5124</v>
      </c>
      <c r="G318" s="9">
        <v>1078.57</v>
      </c>
    </row>
    <row r="319" spans="1:7" ht="15.6" x14ac:dyDescent="0.3">
      <c r="A319" s="16">
        <v>45002</v>
      </c>
      <c r="B319" s="10" t="s">
        <v>19</v>
      </c>
      <c r="C319" s="10" t="s">
        <v>14</v>
      </c>
      <c r="D319" s="10" t="s">
        <v>15</v>
      </c>
      <c r="E319" s="4">
        <v>9</v>
      </c>
      <c r="F319" s="4">
        <v>5751</v>
      </c>
      <c r="G319" s="9">
        <v>1196.23</v>
      </c>
    </row>
    <row r="320" spans="1:7" ht="15.6" x14ac:dyDescent="0.3">
      <c r="A320" s="16">
        <v>45198</v>
      </c>
      <c r="B320" s="10" t="s">
        <v>17</v>
      </c>
      <c r="C320" s="10" t="s">
        <v>14</v>
      </c>
      <c r="D320" s="10" t="s">
        <v>12</v>
      </c>
      <c r="E320" s="4">
        <v>2</v>
      </c>
      <c r="F320" s="4">
        <v>624</v>
      </c>
      <c r="G320" s="9">
        <v>139.63999999999999</v>
      </c>
    </row>
    <row r="321" spans="1:7" ht="15.6" x14ac:dyDescent="0.3">
      <c r="A321" s="16">
        <v>45261</v>
      </c>
      <c r="B321" s="10" t="s">
        <v>17</v>
      </c>
      <c r="C321" s="10" t="s">
        <v>14</v>
      </c>
      <c r="D321" s="10" t="s">
        <v>15</v>
      </c>
      <c r="E321" s="4">
        <v>1</v>
      </c>
      <c r="F321" s="4">
        <v>508</v>
      </c>
      <c r="G321" s="9">
        <v>151.29</v>
      </c>
    </row>
    <row r="322" spans="1:7" ht="15.6" x14ac:dyDescent="0.3">
      <c r="A322" s="16">
        <v>45182</v>
      </c>
      <c r="B322" s="10" t="s">
        <v>18</v>
      </c>
      <c r="C322" s="10" t="s">
        <v>11</v>
      </c>
      <c r="D322" s="10" t="s">
        <v>15</v>
      </c>
      <c r="E322" s="4">
        <v>4</v>
      </c>
      <c r="F322" s="4">
        <v>4700</v>
      </c>
      <c r="G322" s="9">
        <v>914.6</v>
      </c>
    </row>
    <row r="323" spans="1:7" ht="15.6" x14ac:dyDescent="0.3">
      <c r="A323" s="16">
        <v>44634</v>
      </c>
      <c r="B323" s="10" t="s">
        <v>22</v>
      </c>
      <c r="C323" s="10" t="s">
        <v>11</v>
      </c>
      <c r="D323" s="10" t="s">
        <v>16</v>
      </c>
      <c r="E323" s="4">
        <v>8</v>
      </c>
      <c r="F323" s="4">
        <v>3216</v>
      </c>
      <c r="G323" s="9">
        <v>639.78</v>
      </c>
    </row>
    <row r="324" spans="1:7" ht="15.6" x14ac:dyDescent="0.3">
      <c r="A324" s="16">
        <v>45122</v>
      </c>
      <c r="B324" s="10" t="s">
        <v>23</v>
      </c>
      <c r="C324" s="10" t="s">
        <v>14</v>
      </c>
      <c r="D324" s="10" t="s">
        <v>16</v>
      </c>
      <c r="E324" s="4">
        <v>6</v>
      </c>
      <c r="F324" s="4">
        <v>2844</v>
      </c>
      <c r="G324" s="9">
        <v>581</v>
      </c>
    </row>
    <row r="325" spans="1:7" ht="15.6" x14ac:dyDescent="0.3">
      <c r="A325" s="16">
        <v>44710</v>
      </c>
      <c r="B325" s="10" t="s">
        <v>21</v>
      </c>
      <c r="C325" s="10" t="s">
        <v>14</v>
      </c>
      <c r="D325" s="10" t="s">
        <v>16</v>
      </c>
      <c r="E325" s="4">
        <v>5</v>
      </c>
      <c r="F325" s="4">
        <v>2385</v>
      </c>
      <c r="G325" s="9">
        <v>258.60000000000002</v>
      </c>
    </row>
    <row r="326" spans="1:7" ht="15.6" x14ac:dyDescent="0.3">
      <c r="A326" s="16">
        <v>44942</v>
      </c>
      <c r="B326" s="10" t="s">
        <v>20</v>
      </c>
      <c r="C326" s="10" t="s">
        <v>11</v>
      </c>
      <c r="D326" s="10" t="s">
        <v>15</v>
      </c>
      <c r="E326" s="4">
        <v>8</v>
      </c>
      <c r="F326" s="4">
        <v>928</v>
      </c>
      <c r="G326" s="9">
        <v>170.05</v>
      </c>
    </row>
    <row r="327" spans="1:7" ht="15.6" x14ac:dyDescent="0.3">
      <c r="A327" s="16">
        <v>45175</v>
      </c>
      <c r="B327" s="10" t="s">
        <v>18</v>
      </c>
      <c r="C327" s="10" t="s">
        <v>11</v>
      </c>
      <c r="D327" s="10" t="s">
        <v>9</v>
      </c>
      <c r="E327" s="4">
        <v>6</v>
      </c>
      <c r="F327" s="4">
        <v>4656</v>
      </c>
      <c r="G327" s="9">
        <v>673.35</v>
      </c>
    </row>
    <row r="328" spans="1:7" ht="15.6" x14ac:dyDescent="0.3">
      <c r="A328" s="16">
        <v>45014</v>
      </c>
      <c r="B328" s="10" t="s">
        <v>18</v>
      </c>
      <c r="C328" s="10" t="s">
        <v>11</v>
      </c>
      <c r="D328" s="10" t="s">
        <v>9</v>
      </c>
      <c r="E328" s="4">
        <v>2</v>
      </c>
      <c r="F328" s="4">
        <v>330</v>
      </c>
      <c r="G328" s="9">
        <v>21.46</v>
      </c>
    </row>
    <row r="329" spans="1:7" ht="15.6" x14ac:dyDescent="0.3">
      <c r="A329" s="16">
        <v>45231</v>
      </c>
      <c r="B329" s="10" t="s">
        <v>17</v>
      </c>
      <c r="C329" s="10" t="s">
        <v>14</v>
      </c>
      <c r="D329" s="10" t="s">
        <v>9</v>
      </c>
      <c r="E329" s="4">
        <v>7</v>
      </c>
      <c r="F329" s="4">
        <v>1799</v>
      </c>
      <c r="G329" s="9">
        <v>274.11</v>
      </c>
    </row>
    <row r="330" spans="1:7" ht="15.6" x14ac:dyDescent="0.3">
      <c r="A330" s="16">
        <v>44798</v>
      </c>
      <c r="B330" s="10" t="s">
        <v>7</v>
      </c>
      <c r="C330" s="10" t="s">
        <v>8</v>
      </c>
      <c r="D330" s="10" t="s">
        <v>12</v>
      </c>
      <c r="E330" s="4">
        <v>1</v>
      </c>
      <c r="F330" s="4">
        <v>1029</v>
      </c>
      <c r="G330" s="9">
        <v>173.61</v>
      </c>
    </row>
    <row r="331" spans="1:7" ht="15.6" x14ac:dyDescent="0.3">
      <c r="A331" s="16">
        <v>44925</v>
      </c>
      <c r="B331" s="10" t="s">
        <v>18</v>
      </c>
      <c r="C331" s="10" t="s">
        <v>11</v>
      </c>
      <c r="D331" s="10" t="s">
        <v>9</v>
      </c>
      <c r="E331" s="4">
        <v>8</v>
      </c>
      <c r="F331" s="4">
        <v>5432</v>
      </c>
      <c r="G331" s="9">
        <v>1619.39</v>
      </c>
    </row>
    <row r="332" spans="1:7" ht="15.6" x14ac:dyDescent="0.3">
      <c r="A332" s="16">
        <v>45539</v>
      </c>
      <c r="B332" s="10" t="s">
        <v>17</v>
      </c>
      <c r="C332" s="10" t="s">
        <v>14</v>
      </c>
      <c r="D332" s="10" t="s">
        <v>16</v>
      </c>
      <c r="E332" s="4">
        <v>5</v>
      </c>
      <c r="F332" s="4">
        <v>5785</v>
      </c>
      <c r="G332" s="9">
        <v>1191.1099999999999</v>
      </c>
    </row>
    <row r="333" spans="1:7" ht="15.6" x14ac:dyDescent="0.3">
      <c r="A333" s="16">
        <v>45299</v>
      </c>
      <c r="B333" s="10" t="s">
        <v>7</v>
      </c>
      <c r="C333" s="10" t="s">
        <v>8</v>
      </c>
      <c r="D333" s="10" t="s">
        <v>9</v>
      </c>
      <c r="E333" s="4">
        <v>1</v>
      </c>
      <c r="F333" s="4">
        <v>1062</v>
      </c>
      <c r="G333" s="9">
        <v>272.42</v>
      </c>
    </row>
    <row r="334" spans="1:7" ht="15.6" x14ac:dyDescent="0.3">
      <c r="A334" s="16">
        <v>44922</v>
      </c>
      <c r="B334" s="10" t="s">
        <v>22</v>
      </c>
      <c r="C334" s="10" t="s">
        <v>11</v>
      </c>
      <c r="D334" s="10" t="s">
        <v>9</v>
      </c>
      <c r="E334" s="4">
        <v>1</v>
      </c>
      <c r="F334" s="4">
        <v>163</v>
      </c>
      <c r="G334" s="9">
        <v>22.07</v>
      </c>
    </row>
    <row r="335" spans="1:7" ht="15.6" x14ac:dyDescent="0.3">
      <c r="A335" s="16">
        <v>45396</v>
      </c>
      <c r="B335" s="10" t="s">
        <v>21</v>
      </c>
      <c r="C335" s="10" t="s">
        <v>14</v>
      </c>
      <c r="D335" s="10" t="s">
        <v>16</v>
      </c>
      <c r="E335" s="4">
        <v>9</v>
      </c>
      <c r="F335" s="4">
        <v>9162</v>
      </c>
      <c r="G335" s="9">
        <v>1625.62</v>
      </c>
    </row>
    <row r="336" spans="1:7" ht="15.6" x14ac:dyDescent="0.3">
      <c r="A336" s="16">
        <v>44967</v>
      </c>
      <c r="B336" s="10" t="s">
        <v>7</v>
      </c>
      <c r="C336" s="10" t="s">
        <v>8</v>
      </c>
      <c r="D336" s="10" t="s">
        <v>12</v>
      </c>
      <c r="E336" s="4">
        <v>4</v>
      </c>
      <c r="F336" s="4">
        <v>1440</v>
      </c>
      <c r="G336" s="9">
        <v>130.24</v>
      </c>
    </row>
    <row r="337" spans="1:7" ht="15.6" x14ac:dyDescent="0.3">
      <c r="A337" s="16">
        <v>45122</v>
      </c>
      <c r="B337" s="10" t="s">
        <v>20</v>
      </c>
      <c r="C337" s="10" t="s">
        <v>11</v>
      </c>
      <c r="D337" s="10" t="s">
        <v>15</v>
      </c>
      <c r="E337" s="4">
        <v>5</v>
      </c>
      <c r="F337" s="4">
        <v>1465</v>
      </c>
      <c r="G337" s="9">
        <v>149.62</v>
      </c>
    </row>
    <row r="338" spans="1:7" ht="15.6" x14ac:dyDescent="0.3">
      <c r="A338" s="16">
        <v>45592</v>
      </c>
      <c r="B338" s="10" t="s">
        <v>20</v>
      </c>
      <c r="C338" s="10" t="s">
        <v>11</v>
      </c>
      <c r="D338" s="10" t="s">
        <v>16</v>
      </c>
      <c r="E338" s="4">
        <v>2</v>
      </c>
      <c r="F338" s="4">
        <v>366</v>
      </c>
      <c r="G338" s="9">
        <v>31.23</v>
      </c>
    </row>
    <row r="339" spans="1:7" ht="15.6" x14ac:dyDescent="0.3">
      <c r="A339" s="16">
        <v>45492</v>
      </c>
      <c r="B339" s="10" t="s">
        <v>17</v>
      </c>
      <c r="C339" s="10" t="s">
        <v>14</v>
      </c>
      <c r="D339" s="10" t="s">
        <v>15</v>
      </c>
      <c r="E339" s="4">
        <v>5</v>
      </c>
      <c r="F339" s="4">
        <v>3135</v>
      </c>
      <c r="G339" s="9">
        <v>277.27999999999997</v>
      </c>
    </row>
    <row r="340" spans="1:7" ht="15.6" x14ac:dyDescent="0.3">
      <c r="A340" s="16">
        <v>45354</v>
      </c>
      <c r="B340" s="10" t="s">
        <v>22</v>
      </c>
      <c r="C340" s="10" t="s">
        <v>11</v>
      </c>
      <c r="D340" s="10" t="s">
        <v>9</v>
      </c>
      <c r="E340" s="4">
        <v>2</v>
      </c>
      <c r="F340" s="4">
        <v>630</v>
      </c>
      <c r="G340" s="9">
        <v>161.04</v>
      </c>
    </row>
    <row r="341" spans="1:7" ht="15.6" x14ac:dyDescent="0.3">
      <c r="A341" s="16">
        <v>45394</v>
      </c>
      <c r="B341" s="10" t="s">
        <v>20</v>
      </c>
      <c r="C341" s="10" t="s">
        <v>11</v>
      </c>
      <c r="D341" s="10" t="s">
        <v>15</v>
      </c>
      <c r="E341" s="4">
        <v>1</v>
      </c>
      <c r="F341" s="4">
        <v>213</v>
      </c>
      <c r="G341" s="9">
        <v>42.94</v>
      </c>
    </row>
    <row r="342" spans="1:7" ht="15.6" x14ac:dyDescent="0.3">
      <c r="A342" s="16">
        <v>45463</v>
      </c>
      <c r="B342" s="10" t="s">
        <v>20</v>
      </c>
      <c r="C342" s="10" t="s">
        <v>11</v>
      </c>
      <c r="D342" s="10" t="s">
        <v>9</v>
      </c>
      <c r="E342" s="4">
        <v>4</v>
      </c>
      <c r="F342" s="4">
        <v>3792</v>
      </c>
      <c r="G342" s="9">
        <v>1092.8499999999999</v>
      </c>
    </row>
    <row r="343" spans="1:7" ht="15.6" x14ac:dyDescent="0.3">
      <c r="A343" s="16">
        <v>45098</v>
      </c>
      <c r="B343" s="10" t="s">
        <v>10</v>
      </c>
      <c r="C343" s="10" t="s">
        <v>11</v>
      </c>
      <c r="D343" s="10" t="s">
        <v>12</v>
      </c>
      <c r="E343" s="4">
        <v>2</v>
      </c>
      <c r="F343" s="4">
        <v>1932</v>
      </c>
      <c r="G343" s="9">
        <v>109.07</v>
      </c>
    </row>
    <row r="344" spans="1:7" ht="15.6" x14ac:dyDescent="0.3">
      <c r="A344" s="16">
        <v>44951</v>
      </c>
      <c r="B344" s="10" t="s">
        <v>22</v>
      </c>
      <c r="C344" s="10" t="s">
        <v>11</v>
      </c>
      <c r="D344" s="10" t="s">
        <v>16</v>
      </c>
      <c r="E344" s="4">
        <v>4</v>
      </c>
      <c r="F344" s="4">
        <v>4152</v>
      </c>
      <c r="G344" s="9">
        <v>317.27999999999997</v>
      </c>
    </row>
    <row r="345" spans="1:7" ht="15.6" x14ac:dyDescent="0.3">
      <c r="A345" s="16">
        <v>45339</v>
      </c>
      <c r="B345" s="10" t="s">
        <v>21</v>
      </c>
      <c r="C345" s="10" t="s">
        <v>14</v>
      </c>
      <c r="D345" s="10" t="s">
        <v>9</v>
      </c>
      <c r="E345" s="4">
        <v>7</v>
      </c>
      <c r="F345" s="4">
        <v>3612</v>
      </c>
      <c r="G345" s="9">
        <v>529.57000000000005</v>
      </c>
    </row>
    <row r="346" spans="1:7" ht="15.6" x14ac:dyDescent="0.3">
      <c r="A346" s="16">
        <v>45544</v>
      </c>
      <c r="B346" s="10" t="s">
        <v>21</v>
      </c>
      <c r="C346" s="10" t="s">
        <v>14</v>
      </c>
      <c r="D346" s="10" t="s">
        <v>12</v>
      </c>
      <c r="E346" s="4">
        <v>2</v>
      </c>
      <c r="F346" s="4">
        <v>2258</v>
      </c>
      <c r="G346" s="9">
        <v>280.76</v>
      </c>
    </row>
    <row r="347" spans="1:7" ht="15.6" x14ac:dyDescent="0.3">
      <c r="A347" s="16">
        <v>44751</v>
      </c>
      <c r="B347" s="10" t="s">
        <v>17</v>
      </c>
      <c r="C347" s="10" t="s">
        <v>14</v>
      </c>
      <c r="D347" s="10" t="s">
        <v>15</v>
      </c>
      <c r="E347" s="4">
        <v>3</v>
      </c>
      <c r="F347" s="4">
        <v>594</v>
      </c>
      <c r="G347" s="9">
        <v>47.73</v>
      </c>
    </row>
    <row r="348" spans="1:7" ht="15.6" x14ac:dyDescent="0.3">
      <c r="A348" s="16">
        <v>45170</v>
      </c>
      <c r="B348" s="10" t="s">
        <v>18</v>
      </c>
      <c r="C348" s="10" t="s">
        <v>11</v>
      </c>
      <c r="D348" s="10" t="s">
        <v>16</v>
      </c>
      <c r="E348" s="4">
        <v>7</v>
      </c>
      <c r="F348" s="4">
        <v>8071</v>
      </c>
      <c r="G348" s="9">
        <v>1799.06</v>
      </c>
    </row>
    <row r="349" spans="1:7" ht="15.6" x14ac:dyDescent="0.3">
      <c r="A349" s="16">
        <v>45381</v>
      </c>
      <c r="B349" s="10" t="s">
        <v>22</v>
      </c>
      <c r="C349" s="10" t="s">
        <v>11</v>
      </c>
      <c r="D349" s="10" t="s">
        <v>9</v>
      </c>
      <c r="E349" s="4">
        <v>7</v>
      </c>
      <c r="F349" s="4">
        <v>5838</v>
      </c>
      <c r="G349" s="9">
        <v>631.45000000000005</v>
      </c>
    </row>
    <row r="350" spans="1:7" ht="15.6" x14ac:dyDescent="0.3">
      <c r="A350" s="16">
        <v>45648</v>
      </c>
      <c r="B350" s="10" t="s">
        <v>22</v>
      </c>
      <c r="C350" s="10" t="s">
        <v>11</v>
      </c>
      <c r="D350" s="10" t="s">
        <v>9</v>
      </c>
      <c r="E350" s="4">
        <v>4</v>
      </c>
      <c r="F350" s="4">
        <v>692</v>
      </c>
      <c r="G350" s="9">
        <v>181.31</v>
      </c>
    </row>
    <row r="351" spans="1:7" ht="15.6" x14ac:dyDescent="0.3">
      <c r="A351" s="16">
        <v>45543</v>
      </c>
      <c r="B351" s="10" t="s">
        <v>22</v>
      </c>
      <c r="C351" s="10" t="s">
        <v>11</v>
      </c>
      <c r="D351" s="10" t="s">
        <v>15</v>
      </c>
      <c r="E351" s="4">
        <v>3</v>
      </c>
      <c r="F351" s="4">
        <v>1704</v>
      </c>
      <c r="G351" s="9">
        <v>309.06</v>
      </c>
    </row>
    <row r="352" spans="1:7" ht="15.6" x14ac:dyDescent="0.3">
      <c r="A352" s="16">
        <v>44947</v>
      </c>
      <c r="B352" s="10" t="s">
        <v>7</v>
      </c>
      <c r="C352" s="10" t="s">
        <v>8</v>
      </c>
      <c r="D352" s="10" t="s">
        <v>15</v>
      </c>
      <c r="E352" s="4">
        <v>5</v>
      </c>
      <c r="F352" s="4">
        <v>3235</v>
      </c>
      <c r="G352" s="9">
        <v>941.24</v>
      </c>
    </row>
    <row r="353" spans="1:7" ht="15.6" x14ac:dyDescent="0.3">
      <c r="A353" s="16">
        <v>45211</v>
      </c>
      <c r="B353" s="10" t="s">
        <v>10</v>
      </c>
      <c r="C353" s="10" t="s">
        <v>11</v>
      </c>
      <c r="D353" s="10" t="s">
        <v>12</v>
      </c>
      <c r="E353" s="4">
        <v>6</v>
      </c>
      <c r="F353" s="4">
        <v>4746</v>
      </c>
      <c r="G353" s="9">
        <v>545.57000000000005</v>
      </c>
    </row>
    <row r="354" spans="1:7" ht="15.6" x14ac:dyDescent="0.3">
      <c r="A354" s="16">
        <v>44774</v>
      </c>
      <c r="B354" s="10" t="s">
        <v>19</v>
      </c>
      <c r="C354" s="10" t="s">
        <v>14</v>
      </c>
      <c r="D354" s="10" t="s">
        <v>15</v>
      </c>
      <c r="E354" s="4">
        <v>8</v>
      </c>
      <c r="F354" s="4">
        <v>7600</v>
      </c>
      <c r="G354" s="9">
        <v>788.88</v>
      </c>
    </row>
    <row r="355" spans="1:7" ht="15.6" x14ac:dyDescent="0.3">
      <c r="A355" s="16">
        <v>45233</v>
      </c>
      <c r="B355" s="10" t="s">
        <v>21</v>
      </c>
      <c r="C355" s="10" t="s">
        <v>14</v>
      </c>
      <c r="D355" s="10" t="s">
        <v>16</v>
      </c>
      <c r="E355" s="4">
        <v>5</v>
      </c>
      <c r="F355" s="4">
        <v>1935</v>
      </c>
      <c r="G355" s="9">
        <v>128.01</v>
      </c>
    </row>
    <row r="356" spans="1:7" ht="15.6" x14ac:dyDescent="0.3">
      <c r="A356" s="16">
        <v>45264</v>
      </c>
      <c r="B356" s="10" t="s">
        <v>23</v>
      </c>
      <c r="C356" s="10" t="s">
        <v>14</v>
      </c>
      <c r="D356" s="10" t="s">
        <v>9</v>
      </c>
      <c r="E356" s="4">
        <v>3</v>
      </c>
      <c r="F356" s="4">
        <v>1638</v>
      </c>
      <c r="G356" s="9">
        <v>306.29000000000002</v>
      </c>
    </row>
    <row r="357" spans="1:7" ht="15.6" x14ac:dyDescent="0.3">
      <c r="A357" s="16">
        <v>45107</v>
      </c>
      <c r="B357" s="10" t="s">
        <v>22</v>
      </c>
      <c r="C357" s="10" t="s">
        <v>11</v>
      </c>
      <c r="D357" s="10" t="s">
        <v>16</v>
      </c>
      <c r="E357" s="4">
        <v>7</v>
      </c>
      <c r="F357" s="4">
        <v>4746</v>
      </c>
      <c r="G357" s="9">
        <v>816.6</v>
      </c>
    </row>
    <row r="358" spans="1:7" ht="15.6" x14ac:dyDescent="0.3">
      <c r="A358" s="16">
        <v>44958</v>
      </c>
      <c r="B358" s="10" t="s">
        <v>21</v>
      </c>
      <c r="C358" s="10" t="s">
        <v>14</v>
      </c>
      <c r="D358" s="10" t="s">
        <v>9</v>
      </c>
      <c r="E358" s="4">
        <v>8</v>
      </c>
      <c r="F358" s="4">
        <v>4824</v>
      </c>
      <c r="G358" s="9">
        <v>1187.93</v>
      </c>
    </row>
    <row r="359" spans="1:7" ht="15.6" x14ac:dyDescent="0.3">
      <c r="A359" s="16">
        <v>44690</v>
      </c>
      <c r="B359" s="10" t="s">
        <v>17</v>
      </c>
      <c r="C359" s="10" t="s">
        <v>14</v>
      </c>
      <c r="D359" s="10" t="s">
        <v>15</v>
      </c>
      <c r="E359" s="4">
        <v>1</v>
      </c>
      <c r="F359" s="4">
        <v>1193</v>
      </c>
      <c r="G359" s="9">
        <v>153.72</v>
      </c>
    </row>
    <row r="360" spans="1:7" ht="15.6" x14ac:dyDescent="0.3">
      <c r="A360" s="16">
        <v>45276</v>
      </c>
      <c r="B360" s="10" t="s">
        <v>23</v>
      </c>
      <c r="C360" s="10" t="s">
        <v>14</v>
      </c>
      <c r="D360" s="10" t="s">
        <v>12</v>
      </c>
      <c r="E360" s="4">
        <v>2</v>
      </c>
      <c r="F360" s="4">
        <v>562</v>
      </c>
      <c r="G360" s="9">
        <v>92.94</v>
      </c>
    </row>
    <row r="361" spans="1:7" ht="15.6" x14ac:dyDescent="0.3">
      <c r="A361" s="16">
        <v>44640</v>
      </c>
      <c r="B361" s="10" t="s">
        <v>21</v>
      </c>
      <c r="C361" s="10" t="s">
        <v>14</v>
      </c>
      <c r="D361" s="10" t="s">
        <v>9</v>
      </c>
      <c r="E361" s="4">
        <v>8</v>
      </c>
      <c r="F361" s="4">
        <v>6200</v>
      </c>
      <c r="G361" s="9">
        <v>1296.8399999999999</v>
      </c>
    </row>
    <row r="362" spans="1:7" ht="15.6" x14ac:dyDescent="0.3">
      <c r="A362" s="16">
        <v>45501</v>
      </c>
      <c r="B362" s="10" t="s">
        <v>7</v>
      </c>
      <c r="C362" s="10" t="s">
        <v>8</v>
      </c>
      <c r="D362" s="10" t="s">
        <v>9</v>
      </c>
      <c r="E362" s="4">
        <v>8</v>
      </c>
      <c r="F362" s="4">
        <v>4128</v>
      </c>
      <c r="G362" s="9">
        <v>315.48</v>
      </c>
    </row>
    <row r="363" spans="1:7" ht="15.6" x14ac:dyDescent="0.3">
      <c r="A363" s="16">
        <v>44648</v>
      </c>
      <c r="B363" s="10" t="s">
        <v>7</v>
      </c>
      <c r="C363" s="10" t="s">
        <v>8</v>
      </c>
      <c r="D363" s="10" t="s">
        <v>12</v>
      </c>
      <c r="E363" s="4">
        <v>5</v>
      </c>
      <c r="F363" s="4">
        <v>5405</v>
      </c>
      <c r="G363" s="9">
        <v>326.56</v>
      </c>
    </row>
    <row r="364" spans="1:7" ht="15.6" x14ac:dyDescent="0.3">
      <c r="A364" s="16">
        <v>45602</v>
      </c>
      <c r="B364" s="10" t="s">
        <v>23</v>
      </c>
      <c r="C364" s="10" t="s">
        <v>14</v>
      </c>
      <c r="D364" s="10" t="s">
        <v>9</v>
      </c>
      <c r="E364" s="4">
        <v>3</v>
      </c>
      <c r="F364" s="4">
        <v>1371</v>
      </c>
      <c r="G364" s="9">
        <v>104.66</v>
      </c>
    </row>
    <row r="365" spans="1:7" ht="15.6" x14ac:dyDescent="0.3">
      <c r="A365" s="16">
        <v>44927</v>
      </c>
      <c r="B365" s="10" t="s">
        <v>22</v>
      </c>
      <c r="C365" s="10" t="s">
        <v>11</v>
      </c>
      <c r="D365" s="10" t="s">
        <v>16</v>
      </c>
      <c r="E365" s="4">
        <v>5</v>
      </c>
      <c r="F365" s="4">
        <v>1405</v>
      </c>
      <c r="G365" s="9">
        <v>194.33</v>
      </c>
    </row>
    <row r="366" spans="1:7" ht="15.6" x14ac:dyDescent="0.3">
      <c r="A366" s="16">
        <v>45003</v>
      </c>
      <c r="B366" s="10" t="s">
        <v>22</v>
      </c>
      <c r="C366" s="10" t="s">
        <v>11</v>
      </c>
      <c r="D366" s="10" t="s">
        <v>9</v>
      </c>
      <c r="E366" s="4">
        <v>3</v>
      </c>
      <c r="F366" s="4">
        <v>1644</v>
      </c>
      <c r="G366" s="9">
        <v>158.32</v>
      </c>
    </row>
    <row r="367" spans="1:7" ht="15.6" x14ac:dyDescent="0.3">
      <c r="A367" s="16">
        <v>45553</v>
      </c>
      <c r="B367" s="10" t="s">
        <v>10</v>
      </c>
      <c r="C367" s="10" t="s">
        <v>11</v>
      </c>
      <c r="D367" s="10" t="s">
        <v>16</v>
      </c>
      <c r="E367" s="4">
        <v>6</v>
      </c>
      <c r="F367" s="4">
        <v>3414</v>
      </c>
      <c r="G367" s="9">
        <v>396.92</v>
      </c>
    </row>
    <row r="368" spans="1:7" ht="15.6" x14ac:dyDescent="0.3">
      <c r="A368" s="16">
        <v>45523</v>
      </c>
      <c r="B368" s="10" t="s">
        <v>23</v>
      </c>
      <c r="C368" s="10" t="s">
        <v>14</v>
      </c>
      <c r="D368" s="10" t="s">
        <v>12</v>
      </c>
      <c r="E368" s="4">
        <v>8</v>
      </c>
      <c r="F368" s="4">
        <v>3272</v>
      </c>
      <c r="G368" s="9">
        <v>674.57</v>
      </c>
    </row>
    <row r="369" spans="1:7" ht="15.6" x14ac:dyDescent="0.3">
      <c r="A369" s="16">
        <v>44730</v>
      </c>
      <c r="B369" s="10" t="s">
        <v>21</v>
      </c>
      <c r="C369" s="10" t="s">
        <v>14</v>
      </c>
      <c r="D369" s="10" t="s">
        <v>9</v>
      </c>
      <c r="E369" s="4">
        <v>3</v>
      </c>
      <c r="F369" s="4">
        <v>2655</v>
      </c>
      <c r="G369" s="9">
        <v>646.91</v>
      </c>
    </row>
    <row r="370" spans="1:7" ht="15.6" x14ac:dyDescent="0.3">
      <c r="A370" s="16">
        <v>44710</v>
      </c>
      <c r="B370" s="10" t="s">
        <v>19</v>
      </c>
      <c r="C370" s="10" t="s">
        <v>14</v>
      </c>
      <c r="D370" s="10" t="s">
        <v>16</v>
      </c>
      <c r="E370" s="4">
        <v>7</v>
      </c>
      <c r="F370" s="4">
        <v>1673</v>
      </c>
      <c r="G370" s="9">
        <v>458.32</v>
      </c>
    </row>
    <row r="371" spans="1:7" ht="15.6" x14ac:dyDescent="0.3">
      <c r="A371" s="16">
        <v>44721</v>
      </c>
      <c r="B371" s="10" t="s">
        <v>13</v>
      </c>
      <c r="C371" s="10" t="s">
        <v>14</v>
      </c>
      <c r="D371" s="10" t="s">
        <v>12</v>
      </c>
      <c r="E371" s="4">
        <v>2</v>
      </c>
      <c r="F371" s="4">
        <v>846</v>
      </c>
      <c r="G371" s="9">
        <v>145.09</v>
      </c>
    </row>
    <row r="372" spans="1:7" ht="15.6" x14ac:dyDescent="0.3">
      <c r="A372" s="16">
        <v>45049</v>
      </c>
      <c r="B372" s="10" t="s">
        <v>21</v>
      </c>
      <c r="C372" s="10" t="s">
        <v>14</v>
      </c>
      <c r="D372" s="10" t="s">
        <v>12</v>
      </c>
      <c r="E372" s="4">
        <v>1</v>
      </c>
      <c r="F372" s="4">
        <v>985</v>
      </c>
      <c r="G372" s="9">
        <v>196.64</v>
      </c>
    </row>
    <row r="373" spans="1:7" ht="15.6" x14ac:dyDescent="0.3">
      <c r="A373" s="16">
        <v>45247</v>
      </c>
      <c r="B373" s="10" t="s">
        <v>19</v>
      </c>
      <c r="C373" s="10" t="s">
        <v>14</v>
      </c>
      <c r="D373" s="10" t="s">
        <v>9</v>
      </c>
      <c r="E373" s="4">
        <v>9</v>
      </c>
      <c r="F373" s="4">
        <v>7551</v>
      </c>
      <c r="G373" s="9">
        <v>894.4</v>
      </c>
    </row>
    <row r="374" spans="1:7" ht="15.6" x14ac:dyDescent="0.3">
      <c r="A374" s="16">
        <v>44600</v>
      </c>
      <c r="B374" s="10" t="s">
        <v>13</v>
      </c>
      <c r="C374" s="10" t="s">
        <v>14</v>
      </c>
      <c r="D374" s="10" t="s">
        <v>9</v>
      </c>
      <c r="E374" s="4">
        <v>5</v>
      </c>
      <c r="F374" s="4">
        <v>855</v>
      </c>
      <c r="G374" s="9">
        <v>217.16</v>
      </c>
    </row>
    <row r="375" spans="1:7" ht="15.6" x14ac:dyDescent="0.3">
      <c r="A375" s="16">
        <v>45222</v>
      </c>
      <c r="B375" s="10" t="s">
        <v>17</v>
      </c>
      <c r="C375" s="10" t="s">
        <v>14</v>
      </c>
      <c r="D375" s="10" t="s">
        <v>15</v>
      </c>
      <c r="E375" s="4">
        <v>2</v>
      </c>
      <c r="F375" s="4">
        <v>396</v>
      </c>
      <c r="G375" s="9">
        <v>94.55</v>
      </c>
    </row>
    <row r="376" spans="1:7" ht="15.6" x14ac:dyDescent="0.3">
      <c r="A376" s="16">
        <v>44797</v>
      </c>
      <c r="B376" s="10" t="s">
        <v>13</v>
      </c>
      <c r="C376" s="10" t="s">
        <v>14</v>
      </c>
      <c r="D376" s="10" t="s">
        <v>16</v>
      </c>
      <c r="E376" s="4">
        <v>8</v>
      </c>
      <c r="F376" s="4">
        <v>2296</v>
      </c>
      <c r="G376" s="9">
        <v>560.48</v>
      </c>
    </row>
    <row r="377" spans="1:7" ht="15.6" x14ac:dyDescent="0.3">
      <c r="A377" s="16">
        <v>45421</v>
      </c>
      <c r="B377" s="10" t="s">
        <v>20</v>
      </c>
      <c r="C377" s="10" t="s">
        <v>11</v>
      </c>
      <c r="D377" s="10" t="s">
        <v>9</v>
      </c>
      <c r="E377" s="4">
        <v>6</v>
      </c>
      <c r="F377" s="4">
        <v>1704</v>
      </c>
      <c r="G377" s="9">
        <v>199.94</v>
      </c>
    </row>
    <row r="378" spans="1:7" ht="15.6" x14ac:dyDescent="0.3">
      <c r="A378" s="16">
        <v>44997</v>
      </c>
      <c r="B378" s="10" t="s">
        <v>21</v>
      </c>
      <c r="C378" s="10" t="s">
        <v>14</v>
      </c>
      <c r="D378" s="10" t="s">
        <v>12</v>
      </c>
      <c r="E378" s="4">
        <v>2</v>
      </c>
      <c r="F378" s="4">
        <v>1180</v>
      </c>
      <c r="G378" s="9">
        <v>261.16000000000003</v>
      </c>
    </row>
    <row r="379" spans="1:7" ht="15.6" x14ac:dyDescent="0.3">
      <c r="A379" s="16">
        <v>44839</v>
      </c>
      <c r="B379" s="10" t="s">
        <v>21</v>
      </c>
      <c r="C379" s="10" t="s">
        <v>14</v>
      </c>
      <c r="D379" s="10" t="s">
        <v>12</v>
      </c>
      <c r="E379" s="4">
        <v>3</v>
      </c>
      <c r="F379" s="4">
        <v>411</v>
      </c>
      <c r="G379" s="9">
        <v>55.73</v>
      </c>
    </row>
    <row r="380" spans="1:7" ht="15.6" x14ac:dyDescent="0.3">
      <c r="A380" s="16">
        <v>44580</v>
      </c>
      <c r="B380" s="10" t="s">
        <v>10</v>
      </c>
      <c r="C380" s="10" t="s">
        <v>11</v>
      </c>
      <c r="D380" s="10" t="s">
        <v>12</v>
      </c>
      <c r="E380" s="4">
        <v>1</v>
      </c>
      <c r="F380" s="4">
        <v>745</v>
      </c>
      <c r="G380" s="9">
        <v>151.22</v>
      </c>
    </row>
    <row r="381" spans="1:7" ht="15.6" x14ac:dyDescent="0.3">
      <c r="A381" s="16">
        <v>44690</v>
      </c>
      <c r="B381" s="10" t="s">
        <v>7</v>
      </c>
      <c r="C381" s="10" t="s">
        <v>8</v>
      </c>
      <c r="D381" s="10" t="s">
        <v>16</v>
      </c>
      <c r="E381" s="4">
        <v>9</v>
      </c>
      <c r="F381" s="4">
        <v>10656</v>
      </c>
      <c r="G381" s="9">
        <v>961.3</v>
      </c>
    </row>
    <row r="382" spans="1:7" ht="15.6" x14ac:dyDescent="0.3">
      <c r="A382" s="16">
        <v>45435</v>
      </c>
      <c r="B382" s="10" t="s">
        <v>10</v>
      </c>
      <c r="C382" s="10" t="s">
        <v>11</v>
      </c>
      <c r="D382" s="10" t="s">
        <v>15</v>
      </c>
      <c r="E382" s="4">
        <v>3</v>
      </c>
      <c r="F382" s="4">
        <v>1494</v>
      </c>
      <c r="G382" s="9">
        <v>178.5</v>
      </c>
    </row>
    <row r="383" spans="1:7" ht="15.6" x14ac:dyDescent="0.3">
      <c r="A383" s="16">
        <v>45484</v>
      </c>
      <c r="B383" s="10" t="s">
        <v>17</v>
      </c>
      <c r="C383" s="10" t="s">
        <v>14</v>
      </c>
      <c r="D383" s="10" t="s">
        <v>15</v>
      </c>
      <c r="E383" s="4">
        <v>5</v>
      </c>
      <c r="F383" s="4">
        <v>1755</v>
      </c>
      <c r="G383" s="9">
        <v>358.01</v>
      </c>
    </row>
    <row r="384" spans="1:7" ht="15.6" x14ac:dyDescent="0.3">
      <c r="A384" s="16">
        <v>44795</v>
      </c>
      <c r="B384" s="10" t="s">
        <v>17</v>
      </c>
      <c r="C384" s="10" t="s">
        <v>14</v>
      </c>
      <c r="D384" s="10" t="s">
        <v>15</v>
      </c>
      <c r="E384" s="4">
        <v>9</v>
      </c>
      <c r="F384" s="4">
        <v>4941</v>
      </c>
      <c r="G384" s="9">
        <v>894.52</v>
      </c>
    </row>
    <row r="385" spans="1:7" ht="15.6" x14ac:dyDescent="0.3">
      <c r="A385" s="16">
        <v>45599</v>
      </c>
      <c r="B385" s="10" t="s">
        <v>19</v>
      </c>
      <c r="C385" s="10" t="s">
        <v>14</v>
      </c>
      <c r="D385" s="10" t="s">
        <v>9</v>
      </c>
      <c r="E385" s="4">
        <v>6</v>
      </c>
      <c r="F385" s="4">
        <v>6510</v>
      </c>
      <c r="G385" s="9">
        <v>1539.18</v>
      </c>
    </row>
    <row r="386" spans="1:7" ht="15.6" x14ac:dyDescent="0.3">
      <c r="A386" s="16">
        <v>45576</v>
      </c>
      <c r="B386" s="10" t="s">
        <v>21</v>
      </c>
      <c r="C386" s="10" t="s">
        <v>14</v>
      </c>
      <c r="D386" s="10" t="s">
        <v>15</v>
      </c>
      <c r="E386" s="4">
        <v>5</v>
      </c>
      <c r="F386" s="4">
        <v>5465</v>
      </c>
      <c r="G386" s="9">
        <v>719.92</v>
      </c>
    </row>
    <row r="387" spans="1:7" ht="15.6" x14ac:dyDescent="0.3">
      <c r="A387" s="16">
        <v>45605</v>
      </c>
      <c r="B387" s="10" t="s">
        <v>13</v>
      </c>
      <c r="C387" s="10" t="s">
        <v>14</v>
      </c>
      <c r="D387" s="10" t="s">
        <v>15</v>
      </c>
      <c r="E387" s="4">
        <v>3</v>
      </c>
      <c r="F387" s="4">
        <v>3522</v>
      </c>
      <c r="G387" s="9">
        <v>285.91000000000003</v>
      </c>
    </row>
    <row r="388" spans="1:7" ht="15.6" x14ac:dyDescent="0.3">
      <c r="A388" s="16">
        <v>45383</v>
      </c>
      <c r="B388" s="10" t="s">
        <v>13</v>
      </c>
      <c r="C388" s="10" t="s">
        <v>14</v>
      </c>
      <c r="D388" s="10" t="s">
        <v>16</v>
      </c>
      <c r="E388" s="4">
        <v>6</v>
      </c>
      <c r="F388" s="4">
        <v>1656</v>
      </c>
      <c r="G388" s="9">
        <v>139.86000000000001</v>
      </c>
    </row>
    <row r="389" spans="1:7" ht="15.6" x14ac:dyDescent="0.3">
      <c r="A389" s="16">
        <v>44749</v>
      </c>
      <c r="B389" s="10" t="s">
        <v>7</v>
      </c>
      <c r="C389" s="10" t="s">
        <v>8</v>
      </c>
      <c r="D389" s="10" t="s">
        <v>9</v>
      </c>
      <c r="E389" s="4">
        <v>5</v>
      </c>
      <c r="F389" s="4">
        <v>1255</v>
      </c>
      <c r="G389" s="9">
        <v>257.14999999999998</v>
      </c>
    </row>
    <row r="390" spans="1:7" ht="15.6" x14ac:dyDescent="0.3">
      <c r="A390" s="16">
        <v>45087</v>
      </c>
      <c r="B390" s="10" t="s">
        <v>22</v>
      </c>
      <c r="C390" s="10" t="s">
        <v>11</v>
      </c>
      <c r="D390" s="10" t="s">
        <v>12</v>
      </c>
      <c r="E390" s="4">
        <v>1</v>
      </c>
      <c r="F390" s="4">
        <v>1192</v>
      </c>
      <c r="G390" s="9">
        <v>320.13</v>
      </c>
    </row>
    <row r="391" spans="1:7" ht="15.6" x14ac:dyDescent="0.3">
      <c r="A391" s="16">
        <v>45061</v>
      </c>
      <c r="B391" s="10" t="s">
        <v>13</v>
      </c>
      <c r="C391" s="10" t="s">
        <v>14</v>
      </c>
      <c r="D391" s="10" t="s">
        <v>16</v>
      </c>
      <c r="E391" s="4">
        <v>5</v>
      </c>
      <c r="F391" s="4">
        <v>1925</v>
      </c>
      <c r="G391" s="9">
        <v>204.74</v>
      </c>
    </row>
    <row r="392" spans="1:7" ht="15.6" x14ac:dyDescent="0.3">
      <c r="A392" s="16">
        <v>44720</v>
      </c>
      <c r="B392" s="10" t="s">
        <v>13</v>
      </c>
      <c r="C392" s="10" t="s">
        <v>14</v>
      </c>
      <c r="D392" s="10" t="s">
        <v>16</v>
      </c>
      <c r="E392" s="4">
        <v>8</v>
      </c>
      <c r="F392" s="4">
        <v>1688</v>
      </c>
      <c r="G392" s="9">
        <v>337.33</v>
      </c>
    </row>
    <row r="393" spans="1:7" ht="15.6" x14ac:dyDescent="0.3">
      <c r="A393" s="16">
        <v>45103</v>
      </c>
      <c r="B393" s="10" t="s">
        <v>18</v>
      </c>
      <c r="C393" s="10" t="s">
        <v>11</v>
      </c>
      <c r="D393" s="10" t="s">
        <v>15</v>
      </c>
      <c r="E393" s="4">
        <v>1</v>
      </c>
      <c r="F393" s="4">
        <v>260</v>
      </c>
      <c r="G393" s="9">
        <v>16.809999999999999</v>
      </c>
    </row>
    <row r="394" spans="1:7" ht="15.6" x14ac:dyDescent="0.3">
      <c r="A394" s="16">
        <v>44580</v>
      </c>
      <c r="B394" s="10" t="s">
        <v>20</v>
      </c>
      <c r="C394" s="10" t="s">
        <v>11</v>
      </c>
      <c r="D394" s="10" t="s">
        <v>16</v>
      </c>
      <c r="E394" s="4">
        <v>5</v>
      </c>
      <c r="F394" s="4">
        <v>4880</v>
      </c>
      <c r="G394" s="9">
        <v>1250.6600000000001</v>
      </c>
    </row>
    <row r="395" spans="1:7" ht="15.6" x14ac:dyDescent="0.3">
      <c r="A395" s="16">
        <v>45392</v>
      </c>
      <c r="B395" s="10" t="s">
        <v>22</v>
      </c>
      <c r="C395" s="10" t="s">
        <v>11</v>
      </c>
      <c r="D395" s="10" t="s">
        <v>16</v>
      </c>
      <c r="E395" s="4">
        <v>7</v>
      </c>
      <c r="F395" s="4">
        <v>1134</v>
      </c>
      <c r="G395" s="9">
        <v>179.74</v>
      </c>
    </row>
    <row r="396" spans="1:7" ht="15.6" x14ac:dyDescent="0.3">
      <c r="A396" s="16">
        <v>44722</v>
      </c>
      <c r="B396" s="10" t="s">
        <v>23</v>
      </c>
      <c r="C396" s="10" t="s">
        <v>14</v>
      </c>
      <c r="D396" s="10" t="s">
        <v>9</v>
      </c>
      <c r="E396" s="4">
        <v>9</v>
      </c>
      <c r="F396" s="4">
        <v>9621</v>
      </c>
      <c r="G396" s="9">
        <v>1201.29</v>
      </c>
    </row>
    <row r="397" spans="1:7" ht="15.6" x14ac:dyDescent="0.3">
      <c r="A397" s="16">
        <v>44960</v>
      </c>
      <c r="B397" s="10" t="s">
        <v>20</v>
      </c>
      <c r="C397" s="10" t="s">
        <v>11</v>
      </c>
      <c r="D397" s="10" t="s">
        <v>15</v>
      </c>
      <c r="E397" s="4">
        <v>4</v>
      </c>
      <c r="F397" s="4">
        <v>2836</v>
      </c>
      <c r="G397" s="9">
        <v>698.83</v>
      </c>
    </row>
    <row r="398" spans="1:7" ht="15.6" x14ac:dyDescent="0.3">
      <c r="A398" s="16">
        <v>45061</v>
      </c>
      <c r="B398" s="10" t="s">
        <v>7</v>
      </c>
      <c r="C398" s="10" t="s">
        <v>8</v>
      </c>
      <c r="D398" s="10" t="s">
        <v>9</v>
      </c>
      <c r="E398" s="4">
        <v>9</v>
      </c>
      <c r="F398" s="4">
        <v>5859</v>
      </c>
      <c r="G398" s="9">
        <v>1153.8900000000001</v>
      </c>
    </row>
    <row r="399" spans="1:7" ht="15.6" x14ac:dyDescent="0.3">
      <c r="A399" s="16">
        <v>44815</v>
      </c>
      <c r="B399" s="10" t="s">
        <v>19</v>
      </c>
      <c r="C399" s="10" t="s">
        <v>14</v>
      </c>
      <c r="D399" s="10" t="s">
        <v>15</v>
      </c>
      <c r="E399" s="4">
        <v>2</v>
      </c>
      <c r="F399" s="4">
        <v>2044</v>
      </c>
      <c r="G399" s="9">
        <v>460.03</v>
      </c>
    </row>
    <row r="400" spans="1:7" ht="15.6" x14ac:dyDescent="0.3">
      <c r="A400" s="16">
        <v>45108</v>
      </c>
      <c r="B400" s="10" t="s">
        <v>20</v>
      </c>
      <c r="C400" s="10" t="s">
        <v>11</v>
      </c>
      <c r="D400" s="10" t="s">
        <v>15</v>
      </c>
      <c r="E400" s="4">
        <v>1</v>
      </c>
      <c r="F400" s="4">
        <v>612</v>
      </c>
      <c r="G400" s="9">
        <v>174.52</v>
      </c>
    </row>
    <row r="401" spans="1:7" ht="15.6" x14ac:dyDescent="0.3">
      <c r="A401" s="16">
        <v>44610</v>
      </c>
      <c r="B401" s="10" t="s">
        <v>19</v>
      </c>
      <c r="C401" s="10" t="s">
        <v>14</v>
      </c>
      <c r="D401" s="10" t="s">
        <v>9</v>
      </c>
      <c r="E401" s="4">
        <v>3</v>
      </c>
      <c r="F401" s="4">
        <v>1890</v>
      </c>
      <c r="G401" s="9">
        <v>492.31</v>
      </c>
    </row>
    <row r="402" spans="1:7" ht="15.6" x14ac:dyDescent="0.3">
      <c r="A402" s="16">
        <v>45199</v>
      </c>
      <c r="B402" s="10" t="s">
        <v>19</v>
      </c>
      <c r="C402" s="10" t="s">
        <v>14</v>
      </c>
      <c r="D402" s="10" t="s">
        <v>12</v>
      </c>
      <c r="E402" s="4">
        <v>5</v>
      </c>
      <c r="F402" s="4">
        <v>2025</v>
      </c>
      <c r="G402" s="9">
        <v>168.82</v>
      </c>
    </row>
    <row r="403" spans="1:7" ht="15.6" x14ac:dyDescent="0.3">
      <c r="A403" s="16">
        <v>45173</v>
      </c>
      <c r="B403" s="10" t="s">
        <v>7</v>
      </c>
      <c r="C403" s="10" t="s">
        <v>8</v>
      </c>
      <c r="D403" s="10" t="s">
        <v>15</v>
      </c>
      <c r="E403" s="4">
        <v>2</v>
      </c>
      <c r="F403" s="4">
        <v>1960</v>
      </c>
      <c r="G403" s="9">
        <v>312.06</v>
      </c>
    </row>
    <row r="404" spans="1:7" ht="15.6" x14ac:dyDescent="0.3">
      <c r="A404" s="16">
        <v>44749</v>
      </c>
      <c r="B404" s="10" t="s">
        <v>17</v>
      </c>
      <c r="C404" s="10" t="s">
        <v>14</v>
      </c>
      <c r="D404" s="10" t="s">
        <v>9</v>
      </c>
      <c r="E404" s="4">
        <v>6</v>
      </c>
      <c r="F404" s="4">
        <v>4410</v>
      </c>
      <c r="G404" s="9">
        <v>893.27</v>
      </c>
    </row>
    <row r="405" spans="1:7" ht="15.6" x14ac:dyDescent="0.3">
      <c r="A405" s="16">
        <v>45487</v>
      </c>
      <c r="B405" s="10" t="s">
        <v>22</v>
      </c>
      <c r="C405" s="10" t="s">
        <v>11</v>
      </c>
      <c r="D405" s="10" t="s">
        <v>16</v>
      </c>
      <c r="E405" s="4">
        <v>8</v>
      </c>
      <c r="F405" s="4">
        <v>8272</v>
      </c>
      <c r="G405" s="9">
        <v>2391.88</v>
      </c>
    </row>
    <row r="406" spans="1:7" ht="15.6" x14ac:dyDescent="0.3">
      <c r="A406" s="16">
        <v>44831</v>
      </c>
      <c r="B406" s="10" t="s">
        <v>19</v>
      </c>
      <c r="C406" s="10" t="s">
        <v>14</v>
      </c>
      <c r="D406" s="10" t="s">
        <v>16</v>
      </c>
      <c r="E406" s="4">
        <v>6</v>
      </c>
      <c r="F406" s="4">
        <v>5712</v>
      </c>
      <c r="G406" s="9">
        <v>638.29</v>
      </c>
    </row>
    <row r="407" spans="1:7" ht="15.6" x14ac:dyDescent="0.3">
      <c r="A407" s="16">
        <v>45402</v>
      </c>
      <c r="B407" s="10" t="s">
        <v>19</v>
      </c>
      <c r="C407" s="10" t="s">
        <v>14</v>
      </c>
      <c r="D407" s="10" t="s">
        <v>9</v>
      </c>
      <c r="E407" s="4">
        <v>6</v>
      </c>
      <c r="F407" s="4">
        <v>1524</v>
      </c>
      <c r="G407" s="9">
        <v>178.36</v>
      </c>
    </row>
    <row r="408" spans="1:7" ht="15.6" x14ac:dyDescent="0.3">
      <c r="A408" s="16">
        <v>45436</v>
      </c>
      <c r="B408" s="10" t="s">
        <v>22</v>
      </c>
      <c r="C408" s="10" t="s">
        <v>11</v>
      </c>
      <c r="D408" s="10" t="s">
        <v>9</v>
      </c>
      <c r="E408" s="4">
        <v>8</v>
      </c>
      <c r="F408" s="4">
        <v>5160</v>
      </c>
      <c r="G408" s="9">
        <v>1057.4100000000001</v>
      </c>
    </row>
    <row r="409" spans="1:7" ht="15.6" x14ac:dyDescent="0.3">
      <c r="A409" s="16">
        <v>45655</v>
      </c>
      <c r="B409" s="10" t="s">
        <v>10</v>
      </c>
      <c r="C409" s="10" t="s">
        <v>11</v>
      </c>
      <c r="D409" s="10" t="s">
        <v>12</v>
      </c>
      <c r="E409" s="4">
        <v>4</v>
      </c>
      <c r="F409" s="4">
        <v>2956</v>
      </c>
      <c r="G409" s="9">
        <v>451.6</v>
      </c>
    </row>
    <row r="410" spans="1:7" ht="15.6" x14ac:dyDescent="0.3">
      <c r="A410" s="16">
        <v>45053</v>
      </c>
      <c r="B410" s="10" t="s">
        <v>21</v>
      </c>
      <c r="C410" s="10" t="s">
        <v>14</v>
      </c>
      <c r="D410" s="10" t="s">
        <v>16</v>
      </c>
      <c r="E410" s="4">
        <v>8</v>
      </c>
      <c r="F410" s="4">
        <v>7944</v>
      </c>
      <c r="G410" s="9">
        <v>2257.73</v>
      </c>
    </row>
    <row r="411" spans="1:7" ht="15.6" x14ac:dyDescent="0.3">
      <c r="A411" s="16">
        <v>45545</v>
      </c>
      <c r="B411" s="10" t="s">
        <v>17</v>
      </c>
      <c r="C411" s="10" t="s">
        <v>14</v>
      </c>
      <c r="D411" s="10" t="s">
        <v>9</v>
      </c>
      <c r="E411" s="4">
        <v>5</v>
      </c>
      <c r="F411" s="4">
        <v>1815</v>
      </c>
      <c r="G411" s="9">
        <v>535.22</v>
      </c>
    </row>
    <row r="412" spans="1:7" ht="15.6" x14ac:dyDescent="0.3">
      <c r="A412" s="16">
        <v>45006</v>
      </c>
      <c r="B412" s="10" t="s">
        <v>18</v>
      </c>
      <c r="C412" s="10" t="s">
        <v>11</v>
      </c>
      <c r="D412" s="10" t="s">
        <v>9</v>
      </c>
      <c r="E412" s="4">
        <v>3</v>
      </c>
      <c r="F412" s="4">
        <v>2706</v>
      </c>
      <c r="G412" s="9">
        <v>546.97</v>
      </c>
    </row>
    <row r="413" spans="1:7" ht="15.6" x14ac:dyDescent="0.3">
      <c r="A413" s="16">
        <v>45051</v>
      </c>
      <c r="B413" s="10" t="s">
        <v>23</v>
      </c>
      <c r="C413" s="10" t="s">
        <v>14</v>
      </c>
      <c r="D413" s="10" t="s">
        <v>9</v>
      </c>
      <c r="E413" s="4">
        <v>2</v>
      </c>
      <c r="F413" s="4">
        <v>1356</v>
      </c>
      <c r="G413" s="9">
        <v>144.18</v>
      </c>
    </row>
    <row r="414" spans="1:7" ht="15.6" x14ac:dyDescent="0.3">
      <c r="A414" s="16">
        <v>45134</v>
      </c>
      <c r="B414" s="10" t="s">
        <v>7</v>
      </c>
      <c r="C414" s="10" t="s">
        <v>8</v>
      </c>
      <c r="D414" s="10" t="s">
        <v>15</v>
      </c>
      <c r="E414" s="4">
        <v>6</v>
      </c>
      <c r="F414" s="4">
        <v>6384</v>
      </c>
      <c r="G414" s="9">
        <v>1189.19</v>
      </c>
    </row>
    <row r="415" spans="1:7" ht="15.6" x14ac:dyDescent="0.3">
      <c r="A415" s="16">
        <v>45090</v>
      </c>
      <c r="B415" s="10" t="s">
        <v>19</v>
      </c>
      <c r="C415" s="10" t="s">
        <v>14</v>
      </c>
      <c r="D415" s="10" t="s">
        <v>15</v>
      </c>
      <c r="E415" s="4">
        <v>9</v>
      </c>
      <c r="F415" s="4">
        <v>4248</v>
      </c>
      <c r="G415" s="9">
        <v>964.12</v>
      </c>
    </row>
    <row r="416" spans="1:7" ht="15.6" x14ac:dyDescent="0.3">
      <c r="A416" s="16">
        <v>45414</v>
      </c>
      <c r="B416" s="10" t="s">
        <v>20</v>
      </c>
      <c r="C416" s="10" t="s">
        <v>11</v>
      </c>
      <c r="D416" s="10" t="s">
        <v>9</v>
      </c>
      <c r="E416" s="4">
        <v>6</v>
      </c>
      <c r="F416" s="4">
        <v>3954</v>
      </c>
      <c r="G416" s="9">
        <v>676.82</v>
      </c>
    </row>
    <row r="417" spans="1:7" ht="15.6" x14ac:dyDescent="0.3">
      <c r="A417" s="16">
        <v>45403</v>
      </c>
      <c r="B417" s="10" t="s">
        <v>21</v>
      </c>
      <c r="C417" s="10" t="s">
        <v>14</v>
      </c>
      <c r="D417" s="10" t="s">
        <v>15</v>
      </c>
      <c r="E417" s="4">
        <v>6</v>
      </c>
      <c r="F417" s="4">
        <v>7110</v>
      </c>
      <c r="G417" s="9">
        <v>739.6</v>
      </c>
    </row>
    <row r="418" spans="1:7" ht="15.6" x14ac:dyDescent="0.3">
      <c r="A418" s="16">
        <v>45132</v>
      </c>
      <c r="B418" s="10" t="s">
        <v>18</v>
      </c>
      <c r="C418" s="10" t="s">
        <v>11</v>
      </c>
      <c r="D418" s="10" t="s">
        <v>15</v>
      </c>
      <c r="E418" s="4">
        <v>7</v>
      </c>
      <c r="F418" s="4">
        <v>8113</v>
      </c>
      <c r="G418" s="9">
        <v>995.03</v>
      </c>
    </row>
    <row r="419" spans="1:7" ht="15.6" x14ac:dyDescent="0.3">
      <c r="A419" s="16">
        <v>44952</v>
      </c>
      <c r="B419" s="10" t="s">
        <v>18</v>
      </c>
      <c r="C419" s="10" t="s">
        <v>11</v>
      </c>
      <c r="D419" s="10" t="s">
        <v>9</v>
      </c>
      <c r="E419" s="4">
        <v>3</v>
      </c>
      <c r="F419" s="4">
        <v>1830</v>
      </c>
      <c r="G419" s="9">
        <v>183.62</v>
      </c>
    </row>
    <row r="420" spans="1:7" ht="15.6" x14ac:dyDescent="0.3">
      <c r="A420" s="16">
        <v>44937</v>
      </c>
      <c r="B420" s="10" t="s">
        <v>22</v>
      </c>
      <c r="C420" s="10" t="s">
        <v>11</v>
      </c>
      <c r="D420" s="10" t="s">
        <v>16</v>
      </c>
      <c r="E420" s="4">
        <v>4</v>
      </c>
      <c r="F420" s="4">
        <v>3732</v>
      </c>
      <c r="G420" s="9">
        <v>671.19</v>
      </c>
    </row>
    <row r="421" spans="1:7" ht="15.6" x14ac:dyDescent="0.3">
      <c r="A421" s="16">
        <v>45562</v>
      </c>
      <c r="B421" s="10" t="s">
        <v>10</v>
      </c>
      <c r="C421" s="10" t="s">
        <v>11</v>
      </c>
      <c r="D421" s="10" t="s">
        <v>16</v>
      </c>
      <c r="E421" s="4">
        <v>6</v>
      </c>
      <c r="F421" s="4">
        <v>4062</v>
      </c>
      <c r="G421" s="9">
        <v>1087.17</v>
      </c>
    </row>
    <row r="422" spans="1:7" ht="15.6" x14ac:dyDescent="0.3">
      <c r="A422" s="16">
        <v>45629</v>
      </c>
      <c r="B422" s="10" t="s">
        <v>19</v>
      </c>
      <c r="C422" s="10" t="s">
        <v>14</v>
      </c>
      <c r="D422" s="10" t="s">
        <v>9</v>
      </c>
      <c r="E422" s="4">
        <v>1</v>
      </c>
      <c r="F422" s="4">
        <v>496</v>
      </c>
      <c r="G422" s="9">
        <v>93.31</v>
      </c>
    </row>
    <row r="423" spans="1:7" ht="15.6" x14ac:dyDescent="0.3">
      <c r="A423" s="16">
        <v>45162</v>
      </c>
      <c r="B423" s="10" t="s">
        <v>19</v>
      </c>
      <c r="C423" s="10" t="s">
        <v>14</v>
      </c>
      <c r="D423" s="10" t="s">
        <v>12</v>
      </c>
      <c r="E423" s="4">
        <v>4</v>
      </c>
      <c r="F423" s="4">
        <v>1104</v>
      </c>
      <c r="G423" s="9">
        <v>84.31</v>
      </c>
    </row>
    <row r="424" spans="1:7" ht="15.6" x14ac:dyDescent="0.3">
      <c r="A424" s="16">
        <v>45065</v>
      </c>
      <c r="B424" s="10" t="s">
        <v>21</v>
      </c>
      <c r="C424" s="10" t="s">
        <v>14</v>
      </c>
      <c r="D424" s="10" t="s">
        <v>16</v>
      </c>
      <c r="E424" s="4">
        <v>3</v>
      </c>
      <c r="F424" s="4">
        <v>2274</v>
      </c>
      <c r="G424" s="9">
        <v>662</v>
      </c>
    </row>
    <row r="425" spans="1:7" ht="15.6" x14ac:dyDescent="0.3">
      <c r="A425" s="16">
        <v>44725</v>
      </c>
      <c r="B425" s="10" t="s">
        <v>19</v>
      </c>
      <c r="C425" s="10" t="s">
        <v>14</v>
      </c>
      <c r="D425" s="10" t="s">
        <v>9</v>
      </c>
      <c r="E425" s="4">
        <v>8</v>
      </c>
      <c r="F425" s="4">
        <v>4456</v>
      </c>
      <c r="G425" s="9">
        <v>1106.04</v>
      </c>
    </row>
    <row r="426" spans="1:7" ht="15.6" x14ac:dyDescent="0.3">
      <c r="A426" s="16">
        <v>44799</v>
      </c>
      <c r="B426" s="10" t="s">
        <v>10</v>
      </c>
      <c r="C426" s="10" t="s">
        <v>11</v>
      </c>
      <c r="D426" s="10" t="s">
        <v>16</v>
      </c>
      <c r="E426" s="4">
        <v>8</v>
      </c>
      <c r="F426" s="4">
        <v>4928</v>
      </c>
      <c r="G426" s="9">
        <v>1038.18</v>
      </c>
    </row>
    <row r="427" spans="1:7" ht="15.6" x14ac:dyDescent="0.3">
      <c r="A427" s="16">
        <v>44948</v>
      </c>
      <c r="B427" s="10" t="s">
        <v>21</v>
      </c>
      <c r="C427" s="10" t="s">
        <v>14</v>
      </c>
      <c r="D427" s="10" t="s">
        <v>9</v>
      </c>
      <c r="E427" s="4">
        <v>4</v>
      </c>
      <c r="F427" s="4">
        <v>1740</v>
      </c>
      <c r="G427" s="9">
        <v>224.79</v>
      </c>
    </row>
    <row r="428" spans="1:7" ht="15.6" x14ac:dyDescent="0.3">
      <c r="A428" s="16">
        <v>44781</v>
      </c>
      <c r="B428" s="10" t="s">
        <v>18</v>
      </c>
      <c r="C428" s="10" t="s">
        <v>11</v>
      </c>
      <c r="D428" s="10" t="s">
        <v>9</v>
      </c>
      <c r="E428" s="4">
        <v>2</v>
      </c>
      <c r="F428" s="4">
        <v>178</v>
      </c>
      <c r="G428" s="9">
        <v>31.46</v>
      </c>
    </row>
    <row r="429" spans="1:7" ht="15.6" x14ac:dyDescent="0.3">
      <c r="A429" s="16">
        <v>45249</v>
      </c>
      <c r="B429" s="10" t="s">
        <v>7</v>
      </c>
      <c r="C429" s="10" t="s">
        <v>8</v>
      </c>
      <c r="D429" s="10" t="s">
        <v>12</v>
      </c>
      <c r="E429" s="4">
        <v>8</v>
      </c>
      <c r="F429" s="4">
        <v>5296</v>
      </c>
      <c r="G429" s="9">
        <v>1234.81</v>
      </c>
    </row>
    <row r="430" spans="1:7" ht="15.6" x14ac:dyDescent="0.3">
      <c r="A430" s="16">
        <v>45105</v>
      </c>
      <c r="B430" s="10" t="s">
        <v>10</v>
      </c>
      <c r="C430" s="10" t="s">
        <v>11</v>
      </c>
      <c r="D430" s="10" t="s">
        <v>9</v>
      </c>
      <c r="E430" s="4">
        <v>4</v>
      </c>
      <c r="F430" s="4">
        <v>4156</v>
      </c>
      <c r="G430" s="9">
        <v>847.09</v>
      </c>
    </row>
    <row r="431" spans="1:7" ht="15.6" x14ac:dyDescent="0.3">
      <c r="A431" s="16">
        <v>45574</v>
      </c>
      <c r="B431" s="10" t="s">
        <v>7</v>
      </c>
      <c r="C431" s="10" t="s">
        <v>8</v>
      </c>
      <c r="D431" s="10" t="s">
        <v>9</v>
      </c>
      <c r="E431" s="4">
        <v>1</v>
      </c>
      <c r="F431" s="4">
        <v>624</v>
      </c>
      <c r="G431" s="9">
        <v>106.92</v>
      </c>
    </row>
    <row r="432" spans="1:7" ht="15.6" x14ac:dyDescent="0.3">
      <c r="A432" s="16">
        <v>44808</v>
      </c>
      <c r="B432" s="10" t="s">
        <v>21</v>
      </c>
      <c r="C432" s="10" t="s">
        <v>14</v>
      </c>
      <c r="D432" s="10" t="s">
        <v>16</v>
      </c>
      <c r="E432" s="4">
        <v>4</v>
      </c>
      <c r="F432" s="4">
        <v>3892</v>
      </c>
      <c r="G432" s="9">
        <v>1052.72</v>
      </c>
    </row>
    <row r="433" spans="1:7" ht="15.6" x14ac:dyDescent="0.3">
      <c r="A433" s="16">
        <v>45491</v>
      </c>
      <c r="B433" s="10" t="s">
        <v>10</v>
      </c>
      <c r="C433" s="10" t="s">
        <v>11</v>
      </c>
      <c r="D433" s="10" t="s">
        <v>15</v>
      </c>
      <c r="E433" s="4">
        <v>9</v>
      </c>
      <c r="F433" s="4">
        <v>1620</v>
      </c>
      <c r="G433" s="9">
        <v>294.60000000000002</v>
      </c>
    </row>
    <row r="434" spans="1:7" ht="15.6" x14ac:dyDescent="0.3">
      <c r="A434" s="16">
        <v>44826</v>
      </c>
      <c r="B434" s="10" t="s">
        <v>10</v>
      </c>
      <c r="C434" s="10" t="s">
        <v>11</v>
      </c>
      <c r="D434" s="10" t="s">
        <v>16</v>
      </c>
      <c r="E434" s="4">
        <v>3</v>
      </c>
      <c r="F434" s="4">
        <v>2250</v>
      </c>
      <c r="G434" s="9">
        <v>301.97000000000003</v>
      </c>
    </row>
    <row r="435" spans="1:7" ht="15.6" x14ac:dyDescent="0.3">
      <c r="A435" s="16">
        <v>45504</v>
      </c>
      <c r="B435" s="10" t="s">
        <v>20</v>
      </c>
      <c r="C435" s="10" t="s">
        <v>11</v>
      </c>
      <c r="D435" s="10" t="s">
        <v>16</v>
      </c>
      <c r="E435" s="4">
        <v>2</v>
      </c>
      <c r="F435" s="4">
        <v>1390</v>
      </c>
      <c r="G435" s="9">
        <v>316.31</v>
      </c>
    </row>
    <row r="436" spans="1:7" ht="15.6" x14ac:dyDescent="0.3">
      <c r="A436" s="16">
        <v>45037</v>
      </c>
      <c r="B436" s="10" t="s">
        <v>17</v>
      </c>
      <c r="C436" s="10" t="s">
        <v>14</v>
      </c>
      <c r="D436" s="10" t="s">
        <v>15</v>
      </c>
      <c r="E436" s="4">
        <v>5</v>
      </c>
      <c r="F436" s="4">
        <v>5155</v>
      </c>
      <c r="G436" s="9">
        <v>1325.16</v>
      </c>
    </row>
    <row r="437" spans="1:7" ht="15.6" x14ac:dyDescent="0.3">
      <c r="A437" s="16">
        <v>44751</v>
      </c>
      <c r="B437" s="10" t="s">
        <v>19</v>
      </c>
      <c r="C437" s="10" t="s">
        <v>14</v>
      </c>
      <c r="D437" s="10" t="s">
        <v>9</v>
      </c>
      <c r="E437" s="4">
        <v>5</v>
      </c>
      <c r="F437" s="4">
        <v>1025</v>
      </c>
      <c r="G437" s="9">
        <v>262.91000000000003</v>
      </c>
    </row>
    <row r="438" spans="1:7" ht="15.6" x14ac:dyDescent="0.3">
      <c r="A438" s="16">
        <v>45504</v>
      </c>
      <c r="B438" s="10" t="s">
        <v>10</v>
      </c>
      <c r="C438" s="10" t="s">
        <v>11</v>
      </c>
      <c r="D438" s="10" t="s">
        <v>15</v>
      </c>
      <c r="E438" s="4">
        <v>3</v>
      </c>
      <c r="F438" s="4">
        <v>1785</v>
      </c>
      <c r="G438" s="9">
        <v>244.52</v>
      </c>
    </row>
    <row r="439" spans="1:7" ht="15.6" x14ac:dyDescent="0.3">
      <c r="A439" s="16">
        <v>44834</v>
      </c>
      <c r="B439" s="10" t="s">
        <v>19</v>
      </c>
      <c r="C439" s="10" t="s">
        <v>14</v>
      </c>
      <c r="D439" s="10" t="s">
        <v>9</v>
      </c>
      <c r="E439" s="4">
        <v>9</v>
      </c>
      <c r="F439" s="4">
        <v>2952</v>
      </c>
      <c r="G439" s="9">
        <v>605.85</v>
      </c>
    </row>
    <row r="440" spans="1:7" ht="15.6" x14ac:dyDescent="0.3">
      <c r="A440" s="16">
        <v>45651</v>
      </c>
      <c r="B440" s="10" t="s">
        <v>18</v>
      </c>
      <c r="C440" s="10" t="s">
        <v>11</v>
      </c>
      <c r="D440" s="10" t="s">
        <v>12</v>
      </c>
      <c r="E440" s="4">
        <v>1</v>
      </c>
      <c r="F440" s="4">
        <v>773</v>
      </c>
      <c r="G440" s="9">
        <v>181.52</v>
      </c>
    </row>
    <row r="441" spans="1:7" ht="15.6" x14ac:dyDescent="0.3">
      <c r="A441" s="16">
        <v>45015</v>
      </c>
      <c r="B441" s="10" t="s">
        <v>13</v>
      </c>
      <c r="C441" s="10" t="s">
        <v>14</v>
      </c>
      <c r="D441" s="10" t="s">
        <v>9</v>
      </c>
      <c r="E441" s="4">
        <v>8</v>
      </c>
      <c r="F441" s="4">
        <v>1640</v>
      </c>
      <c r="G441" s="9">
        <v>361.48</v>
      </c>
    </row>
    <row r="442" spans="1:7" ht="15.6" x14ac:dyDescent="0.3">
      <c r="A442" s="16">
        <v>45201</v>
      </c>
      <c r="B442" s="10" t="s">
        <v>22</v>
      </c>
      <c r="C442" s="10" t="s">
        <v>11</v>
      </c>
      <c r="D442" s="10" t="s">
        <v>12</v>
      </c>
      <c r="E442" s="4">
        <v>1</v>
      </c>
      <c r="F442" s="4">
        <v>1017</v>
      </c>
      <c r="G442" s="9">
        <v>69.33</v>
      </c>
    </row>
    <row r="443" spans="1:7" ht="15.6" x14ac:dyDescent="0.3">
      <c r="A443" s="16">
        <v>44704</v>
      </c>
      <c r="B443" s="10" t="s">
        <v>18</v>
      </c>
      <c r="C443" s="10" t="s">
        <v>11</v>
      </c>
      <c r="D443" s="10" t="s">
        <v>12</v>
      </c>
      <c r="E443" s="4">
        <v>4</v>
      </c>
      <c r="F443" s="4">
        <v>1964</v>
      </c>
      <c r="G443" s="9">
        <v>349.91</v>
      </c>
    </row>
    <row r="444" spans="1:7" ht="15.6" x14ac:dyDescent="0.3">
      <c r="A444" s="16">
        <v>45021</v>
      </c>
      <c r="B444" s="10" t="s">
        <v>10</v>
      </c>
      <c r="C444" s="10" t="s">
        <v>11</v>
      </c>
      <c r="D444" s="10" t="s">
        <v>9</v>
      </c>
      <c r="E444" s="4">
        <v>3</v>
      </c>
      <c r="F444" s="4">
        <v>2994</v>
      </c>
      <c r="G444" s="9">
        <v>638.59</v>
      </c>
    </row>
    <row r="445" spans="1:7" ht="15.6" x14ac:dyDescent="0.3">
      <c r="A445" s="16">
        <v>45207</v>
      </c>
      <c r="B445" s="10" t="s">
        <v>7</v>
      </c>
      <c r="C445" s="10" t="s">
        <v>8</v>
      </c>
      <c r="D445" s="10" t="s">
        <v>12</v>
      </c>
      <c r="E445" s="4">
        <v>9</v>
      </c>
      <c r="F445" s="4">
        <v>8046</v>
      </c>
      <c r="G445" s="9">
        <v>2210.33</v>
      </c>
    </row>
    <row r="446" spans="1:7" ht="15.6" x14ac:dyDescent="0.3">
      <c r="A446" s="16">
        <v>44703</v>
      </c>
      <c r="B446" s="10" t="s">
        <v>7</v>
      </c>
      <c r="C446" s="10" t="s">
        <v>8</v>
      </c>
      <c r="D446" s="10" t="s">
        <v>16</v>
      </c>
      <c r="E446" s="4">
        <v>2</v>
      </c>
      <c r="F446" s="4">
        <v>1874</v>
      </c>
      <c r="G446" s="9">
        <v>271.5</v>
      </c>
    </row>
    <row r="447" spans="1:7" ht="15.6" x14ac:dyDescent="0.3">
      <c r="A447" s="16">
        <v>45157</v>
      </c>
      <c r="B447" s="10" t="s">
        <v>10</v>
      </c>
      <c r="C447" s="10" t="s">
        <v>11</v>
      </c>
      <c r="D447" s="10" t="s">
        <v>9</v>
      </c>
      <c r="E447" s="4">
        <v>8</v>
      </c>
      <c r="F447" s="4">
        <v>6008</v>
      </c>
      <c r="G447" s="9">
        <v>871.76</v>
      </c>
    </row>
    <row r="448" spans="1:7" ht="15.6" x14ac:dyDescent="0.3">
      <c r="A448" s="16">
        <v>45175</v>
      </c>
      <c r="B448" s="10" t="s">
        <v>17</v>
      </c>
      <c r="C448" s="10" t="s">
        <v>14</v>
      </c>
      <c r="D448" s="10" t="s">
        <v>12</v>
      </c>
      <c r="E448" s="4">
        <v>8</v>
      </c>
      <c r="F448" s="4">
        <v>7240</v>
      </c>
      <c r="G448" s="9">
        <v>411.19</v>
      </c>
    </row>
    <row r="449" spans="1:7" ht="15.6" x14ac:dyDescent="0.3">
      <c r="A449" s="16">
        <v>45460</v>
      </c>
      <c r="B449" s="10" t="s">
        <v>20</v>
      </c>
      <c r="C449" s="10" t="s">
        <v>11</v>
      </c>
      <c r="D449" s="10" t="s">
        <v>15</v>
      </c>
      <c r="E449" s="4">
        <v>9</v>
      </c>
      <c r="F449" s="4">
        <v>1188</v>
      </c>
      <c r="G449" s="9">
        <v>348.31</v>
      </c>
    </row>
    <row r="450" spans="1:7" ht="15.6" x14ac:dyDescent="0.3">
      <c r="A450" s="16">
        <v>45648</v>
      </c>
      <c r="B450" s="10" t="s">
        <v>18</v>
      </c>
      <c r="C450" s="10" t="s">
        <v>11</v>
      </c>
      <c r="D450" s="10" t="s">
        <v>9</v>
      </c>
      <c r="E450" s="4">
        <v>9</v>
      </c>
      <c r="F450" s="4">
        <v>2997</v>
      </c>
      <c r="G450" s="9">
        <v>163.34</v>
      </c>
    </row>
    <row r="451" spans="1:7" ht="15.6" x14ac:dyDescent="0.3">
      <c r="A451" s="16">
        <v>44959</v>
      </c>
      <c r="B451" s="10" t="s">
        <v>7</v>
      </c>
      <c r="C451" s="10" t="s">
        <v>8</v>
      </c>
      <c r="D451" s="10" t="s">
        <v>16</v>
      </c>
      <c r="E451" s="4">
        <v>9</v>
      </c>
      <c r="F451" s="4">
        <v>7524</v>
      </c>
      <c r="G451" s="9">
        <v>2017.85</v>
      </c>
    </row>
    <row r="452" spans="1:7" ht="15.6" x14ac:dyDescent="0.3">
      <c r="A452" s="16">
        <v>44847</v>
      </c>
      <c r="B452" s="10" t="s">
        <v>20</v>
      </c>
      <c r="C452" s="10" t="s">
        <v>11</v>
      </c>
      <c r="D452" s="10" t="s">
        <v>9</v>
      </c>
      <c r="E452" s="4">
        <v>5</v>
      </c>
      <c r="F452" s="4">
        <v>3625</v>
      </c>
      <c r="G452" s="9">
        <v>268.73</v>
      </c>
    </row>
    <row r="453" spans="1:7" ht="15.6" x14ac:dyDescent="0.3">
      <c r="A453" s="16">
        <v>45382</v>
      </c>
      <c r="B453" s="10" t="s">
        <v>23</v>
      </c>
      <c r="C453" s="10" t="s">
        <v>14</v>
      </c>
      <c r="D453" s="10" t="s">
        <v>12</v>
      </c>
      <c r="E453" s="4">
        <v>8</v>
      </c>
      <c r="F453" s="4">
        <v>6952</v>
      </c>
      <c r="G453" s="9">
        <v>871.2</v>
      </c>
    </row>
    <row r="454" spans="1:7" ht="15.6" x14ac:dyDescent="0.3">
      <c r="A454" s="16">
        <v>45075</v>
      </c>
      <c r="B454" s="10" t="s">
        <v>17</v>
      </c>
      <c r="C454" s="10" t="s">
        <v>14</v>
      </c>
      <c r="D454" s="10" t="s">
        <v>9</v>
      </c>
      <c r="E454" s="4">
        <v>9</v>
      </c>
      <c r="F454" s="4">
        <v>1053</v>
      </c>
      <c r="G454" s="9">
        <v>283.58</v>
      </c>
    </row>
    <row r="455" spans="1:7" ht="15.6" x14ac:dyDescent="0.3">
      <c r="A455" s="16">
        <v>45647</v>
      </c>
      <c r="B455" s="10" t="s">
        <v>20</v>
      </c>
      <c r="C455" s="10" t="s">
        <v>11</v>
      </c>
      <c r="D455" s="10" t="s">
        <v>9</v>
      </c>
      <c r="E455" s="4">
        <v>9</v>
      </c>
      <c r="F455" s="4">
        <v>6696</v>
      </c>
      <c r="G455" s="9">
        <v>1224.22</v>
      </c>
    </row>
    <row r="456" spans="1:7" ht="15.6" x14ac:dyDescent="0.3">
      <c r="A456" s="16">
        <v>45574</v>
      </c>
      <c r="B456" s="10" t="s">
        <v>18</v>
      </c>
      <c r="C456" s="10" t="s">
        <v>11</v>
      </c>
      <c r="D456" s="10" t="s">
        <v>9</v>
      </c>
      <c r="E456" s="4">
        <v>2</v>
      </c>
      <c r="F456" s="4">
        <v>1420</v>
      </c>
      <c r="G456" s="9">
        <v>93.59</v>
      </c>
    </row>
    <row r="457" spans="1:7" ht="15.6" x14ac:dyDescent="0.3">
      <c r="A457" s="16">
        <v>45289</v>
      </c>
      <c r="B457" s="10" t="s">
        <v>17</v>
      </c>
      <c r="C457" s="10" t="s">
        <v>14</v>
      </c>
      <c r="D457" s="10" t="s">
        <v>16</v>
      </c>
      <c r="E457" s="4">
        <v>9</v>
      </c>
      <c r="F457" s="4">
        <v>9972</v>
      </c>
      <c r="G457" s="9">
        <v>2566.0100000000002</v>
      </c>
    </row>
    <row r="458" spans="1:7" ht="15.6" x14ac:dyDescent="0.3">
      <c r="A458" s="16">
        <v>44893</v>
      </c>
      <c r="B458" s="10" t="s">
        <v>23</v>
      </c>
      <c r="C458" s="10" t="s">
        <v>14</v>
      </c>
      <c r="D458" s="10" t="s">
        <v>15</v>
      </c>
      <c r="E458" s="4">
        <v>8</v>
      </c>
      <c r="F458" s="4">
        <v>3136</v>
      </c>
      <c r="G458" s="9">
        <v>494.26</v>
      </c>
    </row>
    <row r="459" spans="1:7" ht="15.6" x14ac:dyDescent="0.3">
      <c r="A459" s="16">
        <v>44967</v>
      </c>
      <c r="B459" s="10" t="s">
        <v>17</v>
      </c>
      <c r="C459" s="10" t="s">
        <v>14</v>
      </c>
      <c r="D459" s="10" t="s">
        <v>16</v>
      </c>
      <c r="E459" s="4">
        <v>3</v>
      </c>
      <c r="F459" s="4">
        <v>225</v>
      </c>
      <c r="G459" s="9">
        <v>20.52</v>
      </c>
    </row>
    <row r="460" spans="1:7" ht="15.6" x14ac:dyDescent="0.3">
      <c r="A460" s="16">
        <v>44693</v>
      </c>
      <c r="B460" s="10" t="s">
        <v>10</v>
      </c>
      <c r="C460" s="10" t="s">
        <v>11</v>
      </c>
      <c r="D460" s="10" t="s">
        <v>12</v>
      </c>
      <c r="E460" s="4">
        <v>3</v>
      </c>
      <c r="F460" s="4">
        <v>1662</v>
      </c>
      <c r="G460" s="9">
        <v>375.04</v>
      </c>
    </row>
    <row r="461" spans="1:7" ht="15.6" x14ac:dyDescent="0.3">
      <c r="A461" s="16">
        <v>45415</v>
      </c>
      <c r="B461" s="10" t="s">
        <v>7</v>
      </c>
      <c r="C461" s="10" t="s">
        <v>8</v>
      </c>
      <c r="D461" s="10" t="s">
        <v>16</v>
      </c>
      <c r="E461" s="4">
        <v>4</v>
      </c>
      <c r="F461" s="4">
        <v>500</v>
      </c>
      <c r="G461" s="9">
        <v>85.96</v>
      </c>
    </row>
    <row r="462" spans="1:7" ht="15.6" x14ac:dyDescent="0.3">
      <c r="A462" s="16">
        <v>44775</v>
      </c>
      <c r="B462" s="10" t="s">
        <v>21</v>
      </c>
      <c r="C462" s="10" t="s">
        <v>14</v>
      </c>
      <c r="D462" s="10" t="s">
        <v>9</v>
      </c>
      <c r="E462" s="4">
        <v>8</v>
      </c>
      <c r="F462" s="4">
        <v>3168</v>
      </c>
      <c r="G462" s="9">
        <v>747.33</v>
      </c>
    </row>
    <row r="463" spans="1:7" ht="15.6" x14ac:dyDescent="0.3">
      <c r="A463" s="16">
        <v>45291</v>
      </c>
      <c r="B463" s="10" t="s">
        <v>21</v>
      </c>
      <c r="C463" s="10" t="s">
        <v>14</v>
      </c>
      <c r="D463" s="10" t="s">
        <v>12</v>
      </c>
      <c r="E463" s="4">
        <v>1</v>
      </c>
      <c r="F463" s="4">
        <v>622</v>
      </c>
      <c r="G463" s="9">
        <v>104.57</v>
      </c>
    </row>
    <row r="464" spans="1:7" ht="15.6" x14ac:dyDescent="0.3">
      <c r="A464" s="16">
        <v>44654</v>
      </c>
      <c r="B464" s="10" t="s">
        <v>13</v>
      </c>
      <c r="C464" s="10" t="s">
        <v>14</v>
      </c>
      <c r="D464" s="10" t="s">
        <v>9</v>
      </c>
      <c r="E464" s="4">
        <v>3</v>
      </c>
      <c r="F464" s="4">
        <v>1233</v>
      </c>
      <c r="G464" s="9">
        <v>361.12</v>
      </c>
    </row>
    <row r="465" spans="1:7" ht="15.6" x14ac:dyDescent="0.3">
      <c r="A465" s="16">
        <v>45310</v>
      </c>
      <c r="B465" s="10" t="s">
        <v>23</v>
      </c>
      <c r="C465" s="10" t="s">
        <v>14</v>
      </c>
      <c r="D465" s="10" t="s">
        <v>16</v>
      </c>
      <c r="E465" s="4">
        <v>3</v>
      </c>
      <c r="F465" s="4">
        <v>573</v>
      </c>
      <c r="G465" s="9">
        <v>116.14</v>
      </c>
    </row>
    <row r="466" spans="1:7" ht="15.6" x14ac:dyDescent="0.3">
      <c r="A466" s="16">
        <v>44610</v>
      </c>
      <c r="B466" s="10" t="s">
        <v>13</v>
      </c>
      <c r="C466" s="10" t="s">
        <v>14</v>
      </c>
      <c r="D466" s="10" t="s">
        <v>15</v>
      </c>
      <c r="E466" s="4">
        <v>1</v>
      </c>
      <c r="F466" s="4">
        <v>702</v>
      </c>
      <c r="G466" s="9">
        <v>129.34</v>
      </c>
    </row>
    <row r="467" spans="1:7" ht="15.6" x14ac:dyDescent="0.3">
      <c r="A467" s="16">
        <v>45426</v>
      </c>
      <c r="B467" s="10" t="s">
        <v>23</v>
      </c>
      <c r="C467" s="10" t="s">
        <v>14</v>
      </c>
      <c r="D467" s="10" t="s">
        <v>15</v>
      </c>
      <c r="E467" s="4">
        <v>8</v>
      </c>
      <c r="F467" s="4">
        <v>4832</v>
      </c>
      <c r="G467" s="9">
        <v>1261.06</v>
      </c>
    </row>
    <row r="468" spans="1:7" ht="15.6" x14ac:dyDescent="0.3">
      <c r="A468" s="16">
        <v>44943</v>
      </c>
      <c r="B468" s="10" t="s">
        <v>7</v>
      </c>
      <c r="C468" s="10" t="s">
        <v>8</v>
      </c>
      <c r="D468" s="10" t="s">
        <v>9</v>
      </c>
      <c r="E468" s="4">
        <v>5</v>
      </c>
      <c r="F468" s="4">
        <v>3765</v>
      </c>
      <c r="G468" s="9">
        <v>670.8</v>
      </c>
    </row>
    <row r="469" spans="1:7" ht="15.6" x14ac:dyDescent="0.3">
      <c r="A469" s="16">
        <v>45417</v>
      </c>
      <c r="B469" s="10" t="s">
        <v>17</v>
      </c>
      <c r="C469" s="10" t="s">
        <v>14</v>
      </c>
      <c r="D469" s="10" t="s">
        <v>9</v>
      </c>
      <c r="E469" s="4">
        <v>8</v>
      </c>
      <c r="F469" s="4">
        <v>6928</v>
      </c>
      <c r="G469" s="9">
        <v>1415.16</v>
      </c>
    </row>
    <row r="470" spans="1:7" ht="15.6" x14ac:dyDescent="0.3">
      <c r="A470" s="16">
        <v>44958</v>
      </c>
      <c r="B470" s="10" t="s">
        <v>18</v>
      </c>
      <c r="C470" s="10" t="s">
        <v>11</v>
      </c>
      <c r="D470" s="10" t="s">
        <v>16</v>
      </c>
      <c r="E470" s="4">
        <v>7</v>
      </c>
      <c r="F470" s="4">
        <v>1624</v>
      </c>
      <c r="G470" s="9">
        <v>436.13</v>
      </c>
    </row>
    <row r="471" spans="1:7" ht="15.6" x14ac:dyDescent="0.3">
      <c r="A471" s="16">
        <v>45017</v>
      </c>
      <c r="B471" s="10" t="s">
        <v>18</v>
      </c>
      <c r="C471" s="10" t="s">
        <v>11</v>
      </c>
      <c r="D471" s="10" t="s">
        <v>9</v>
      </c>
      <c r="E471" s="4">
        <v>1</v>
      </c>
      <c r="F471" s="4">
        <v>68</v>
      </c>
      <c r="G471" s="9">
        <v>10.39</v>
      </c>
    </row>
    <row r="472" spans="1:7" ht="15.6" x14ac:dyDescent="0.3">
      <c r="A472" s="16">
        <v>45081</v>
      </c>
      <c r="B472" s="10" t="s">
        <v>10</v>
      </c>
      <c r="C472" s="10" t="s">
        <v>11</v>
      </c>
      <c r="D472" s="10" t="s">
        <v>9</v>
      </c>
      <c r="E472" s="4">
        <v>1</v>
      </c>
      <c r="F472" s="4">
        <v>651</v>
      </c>
      <c r="G472" s="9">
        <v>187.99</v>
      </c>
    </row>
    <row r="473" spans="1:7" ht="15.6" x14ac:dyDescent="0.3">
      <c r="A473" s="16">
        <v>45551</v>
      </c>
      <c r="B473" s="10" t="s">
        <v>7</v>
      </c>
      <c r="C473" s="10" t="s">
        <v>8</v>
      </c>
      <c r="D473" s="10" t="s">
        <v>9</v>
      </c>
      <c r="E473" s="4">
        <v>7</v>
      </c>
      <c r="F473" s="4">
        <v>6293</v>
      </c>
      <c r="G473" s="9">
        <v>718.49</v>
      </c>
    </row>
    <row r="474" spans="1:7" ht="15.6" x14ac:dyDescent="0.3">
      <c r="A474" s="16">
        <v>44973</v>
      </c>
      <c r="B474" s="10" t="s">
        <v>22</v>
      </c>
      <c r="C474" s="10" t="s">
        <v>11</v>
      </c>
      <c r="D474" s="10" t="s">
        <v>16</v>
      </c>
      <c r="E474" s="4">
        <v>2</v>
      </c>
      <c r="F474" s="4">
        <v>1068</v>
      </c>
      <c r="G474" s="9">
        <v>85.71</v>
      </c>
    </row>
    <row r="475" spans="1:7" ht="15.6" x14ac:dyDescent="0.3">
      <c r="A475" s="16">
        <v>45216</v>
      </c>
      <c r="B475" s="10" t="s">
        <v>22</v>
      </c>
      <c r="C475" s="10" t="s">
        <v>11</v>
      </c>
      <c r="D475" s="10" t="s">
        <v>9</v>
      </c>
      <c r="E475" s="4">
        <v>1</v>
      </c>
      <c r="F475" s="4">
        <v>381</v>
      </c>
      <c r="G475" s="9">
        <v>26.69</v>
      </c>
    </row>
    <row r="476" spans="1:7" ht="15.6" x14ac:dyDescent="0.3">
      <c r="A476" s="16">
        <v>44763</v>
      </c>
      <c r="B476" s="10" t="s">
        <v>7</v>
      </c>
      <c r="C476" s="10" t="s">
        <v>8</v>
      </c>
      <c r="D476" s="10" t="s">
        <v>15</v>
      </c>
      <c r="E476" s="4">
        <v>2</v>
      </c>
      <c r="F476" s="4">
        <v>2016</v>
      </c>
      <c r="G476" s="9">
        <v>426.43</v>
      </c>
    </row>
    <row r="477" spans="1:7" ht="15.6" x14ac:dyDescent="0.3">
      <c r="A477" s="16">
        <v>45332</v>
      </c>
      <c r="B477" s="10" t="s">
        <v>18</v>
      </c>
      <c r="C477" s="10" t="s">
        <v>11</v>
      </c>
      <c r="D477" s="10" t="s">
        <v>16</v>
      </c>
      <c r="E477" s="4">
        <v>2</v>
      </c>
      <c r="F477" s="4">
        <v>1224</v>
      </c>
      <c r="G477" s="9">
        <v>340.67</v>
      </c>
    </row>
    <row r="478" spans="1:7" ht="15.6" x14ac:dyDescent="0.3">
      <c r="A478" s="16">
        <v>44857</v>
      </c>
      <c r="B478" s="10" t="s">
        <v>20</v>
      </c>
      <c r="C478" s="10" t="s">
        <v>11</v>
      </c>
      <c r="D478" s="10" t="s">
        <v>15</v>
      </c>
      <c r="E478" s="4">
        <v>5</v>
      </c>
      <c r="F478" s="4">
        <v>2180</v>
      </c>
      <c r="G478" s="9">
        <v>400.01</v>
      </c>
    </row>
    <row r="479" spans="1:7" ht="15.6" x14ac:dyDescent="0.3">
      <c r="A479" s="16">
        <v>45547</v>
      </c>
      <c r="B479" s="10" t="s">
        <v>23</v>
      </c>
      <c r="C479" s="10" t="s">
        <v>14</v>
      </c>
      <c r="D479" s="10" t="s">
        <v>9</v>
      </c>
      <c r="E479" s="4">
        <v>9</v>
      </c>
      <c r="F479" s="4">
        <v>2853</v>
      </c>
      <c r="G479" s="9">
        <v>353.09</v>
      </c>
    </row>
    <row r="480" spans="1:7" ht="15.6" x14ac:dyDescent="0.3">
      <c r="A480" s="16">
        <v>44838</v>
      </c>
      <c r="B480" s="10" t="s">
        <v>10</v>
      </c>
      <c r="C480" s="10" t="s">
        <v>11</v>
      </c>
      <c r="D480" s="10" t="s">
        <v>15</v>
      </c>
      <c r="E480" s="4">
        <v>1</v>
      </c>
      <c r="F480" s="4">
        <v>272</v>
      </c>
      <c r="G480" s="9">
        <v>45.33</v>
      </c>
    </row>
    <row r="481" spans="1:7" ht="15.6" x14ac:dyDescent="0.3">
      <c r="A481" s="16">
        <v>44634</v>
      </c>
      <c r="B481" s="10" t="s">
        <v>21</v>
      </c>
      <c r="C481" s="10" t="s">
        <v>14</v>
      </c>
      <c r="D481" s="10" t="s">
        <v>9</v>
      </c>
      <c r="E481" s="4">
        <v>4</v>
      </c>
      <c r="F481" s="4">
        <v>2640</v>
      </c>
      <c r="G481" s="9">
        <v>183.23</v>
      </c>
    </row>
    <row r="482" spans="1:7" ht="15.6" x14ac:dyDescent="0.3">
      <c r="A482" s="16">
        <v>45408</v>
      </c>
      <c r="B482" s="10" t="s">
        <v>20</v>
      </c>
      <c r="C482" s="10" t="s">
        <v>11</v>
      </c>
      <c r="D482" s="10" t="s">
        <v>9</v>
      </c>
      <c r="E482" s="4">
        <v>2</v>
      </c>
      <c r="F482" s="4">
        <v>488</v>
      </c>
      <c r="G482" s="9">
        <v>129.02000000000001</v>
      </c>
    </row>
    <row r="483" spans="1:7" ht="15.6" x14ac:dyDescent="0.3">
      <c r="A483" s="16">
        <v>45240</v>
      </c>
      <c r="B483" s="10" t="s">
        <v>7</v>
      </c>
      <c r="C483" s="10" t="s">
        <v>8</v>
      </c>
      <c r="D483" s="10" t="s">
        <v>15</v>
      </c>
      <c r="E483" s="4">
        <v>8</v>
      </c>
      <c r="F483" s="4">
        <v>9184</v>
      </c>
      <c r="G483" s="9">
        <v>1795.93</v>
      </c>
    </row>
    <row r="484" spans="1:7" ht="15.6" x14ac:dyDescent="0.3">
      <c r="A484" s="16">
        <v>45394</v>
      </c>
      <c r="B484" s="10" t="s">
        <v>13</v>
      </c>
      <c r="C484" s="10" t="s">
        <v>14</v>
      </c>
      <c r="D484" s="10" t="s">
        <v>9</v>
      </c>
      <c r="E484" s="4">
        <v>5</v>
      </c>
      <c r="F484" s="4">
        <v>280</v>
      </c>
      <c r="G484" s="9">
        <v>23.98</v>
      </c>
    </row>
    <row r="485" spans="1:7" ht="15.6" x14ac:dyDescent="0.3">
      <c r="A485" s="16">
        <v>45568</v>
      </c>
      <c r="B485" s="10" t="s">
        <v>22</v>
      </c>
      <c r="C485" s="10" t="s">
        <v>11</v>
      </c>
      <c r="D485" s="10" t="s">
        <v>12</v>
      </c>
      <c r="E485" s="4">
        <v>3</v>
      </c>
      <c r="F485" s="4">
        <v>2889</v>
      </c>
      <c r="G485" s="9">
        <v>604.45000000000005</v>
      </c>
    </row>
    <row r="486" spans="1:7" ht="15.6" x14ac:dyDescent="0.3">
      <c r="A486" s="16">
        <v>45491</v>
      </c>
      <c r="B486" s="10" t="s">
        <v>23</v>
      </c>
      <c r="C486" s="10" t="s">
        <v>14</v>
      </c>
      <c r="D486" s="10" t="s">
        <v>16</v>
      </c>
      <c r="E486" s="4">
        <v>1</v>
      </c>
      <c r="F486" s="4">
        <v>625</v>
      </c>
      <c r="G486" s="9">
        <v>125.9</v>
      </c>
    </row>
    <row r="487" spans="1:7" ht="15.6" x14ac:dyDescent="0.3">
      <c r="A487" s="16">
        <v>45398</v>
      </c>
      <c r="B487" s="10" t="s">
        <v>22</v>
      </c>
      <c r="C487" s="10" t="s">
        <v>11</v>
      </c>
      <c r="D487" s="10" t="s">
        <v>15</v>
      </c>
      <c r="E487" s="4">
        <v>8</v>
      </c>
      <c r="F487" s="4">
        <v>7056</v>
      </c>
      <c r="G487" s="9">
        <v>538.48</v>
      </c>
    </row>
    <row r="488" spans="1:7" ht="15.6" x14ac:dyDescent="0.3">
      <c r="A488" s="16">
        <v>45118</v>
      </c>
      <c r="B488" s="10" t="s">
        <v>13</v>
      </c>
      <c r="C488" s="10" t="s">
        <v>14</v>
      </c>
      <c r="D488" s="10" t="s">
        <v>16</v>
      </c>
      <c r="E488" s="4">
        <v>8</v>
      </c>
      <c r="F488" s="4">
        <v>3936</v>
      </c>
      <c r="G488" s="9">
        <v>720.2</v>
      </c>
    </row>
    <row r="489" spans="1:7" ht="15.6" x14ac:dyDescent="0.3">
      <c r="A489" s="16">
        <v>44823</v>
      </c>
      <c r="B489" s="10" t="s">
        <v>19</v>
      </c>
      <c r="C489" s="10" t="s">
        <v>14</v>
      </c>
      <c r="D489" s="10" t="s">
        <v>12</v>
      </c>
      <c r="E489" s="4">
        <v>6</v>
      </c>
      <c r="F489" s="4">
        <v>2472</v>
      </c>
      <c r="G489" s="9">
        <v>363.38</v>
      </c>
    </row>
    <row r="490" spans="1:7" ht="15.6" x14ac:dyDescent="0.3">
      <c r="A490" s="16">
        <v>44731</v>
      </c>
      <c r="B490" s="10" t="s">
        <v>10</v>
      </c>
      <c r="C490" s="10" t="s">
        <v>11</v>
      </c>
      <c r="D490" s="10" t="s">
        <v>16</v>
      </c>
      <c r="E490" s="4">
        <v>5</v>
      </c>
      <c r="F490" s="4">
        <v>855</v>
      </c>
      <c r="G490" s="9">
        <v>67.569999999999993</v>
      </c>
    </row>
    <row r="491" spans="1:7" ht="15.6" x14ac:dyDescent="0.3">
      <c r="A491" s="16">
        <v>45347</v>
      </c>
      <c r="B491" s="10" t="s">
        <v>10</v>
      </c>
      <c r="C491" s="10" t="s">
        <v>11</v>
      </c>
      <c r="D491" s="10" t="s">
        <v>16</v>
      </c>
      <c r="E491" s="4">
        <v>3</v>
      </c>
      <c r="F491" s="4">
        <v>3480</v>
      </c>
      <c r="G491" s="9">
        <v>560.39</v>
      </c>
    </row>
    <row r="492" spans="1:7" ht="15.6" x14ac:dyDescent="0.3">
      <c r="A492" s="16">
        <v>44992</v>
      </c>
      <c r="B492" s="10" t="s">
        <v>17</v>
      </c>
      <c r="C492" s="10" t="s">
        <v>14</v>
      </c>
      <c r="D492" s="10" t="s">
        <v>15</v>
      </c>
      <c r="E492" s="4">
        <v>1</v>
      </c>
      <c r="F492" s="4">
        <v>846</v>
      </c>
      <c r="G492" s="9">
        <v>103.3</v>
      </c>
    </row>
    <row r="493" spans="1:7" ht="15.6" x14ac:dyDescent="0.3">
      <c r="A493" s="16">
        <v>44629</v>
      </c>
      <c r="B493" s="10" t="s">
        <v>22</v>
      </c>
      <c r="C493" s="10" t="s">
        <v>11</v>
      </c>
      <c r="D493" s="10" t="s">
        <v>9</v>
      </c>
      <c r="E493" s="4">
        <v>1</v>
      </c>
      <c r="F493" s="4">
        <v>158</v>
      </c>
      <c r="G493" s="9">
        <v>46.24</v>
      </c>
    </row>
    <row r="494" spans="1:7" ht="15.6" x14ac:dyDescent="0.3">
      <c r="A494" s="16">
        <v>44926</v>
      </c>
      <c r="B494" s="10" t="s">
        <v>10</v>
      </c>
      <c r="C494" s="10" t="s">
        <v>11</v>
      </c>
      <c r="D494" s="10" t="s">
        <v>15</v>
      </c>
      <c r="E494" s="4">
        <v>9</v>
      </c>
      <c r="F494" s="4">
        <v>3186</v>
      </c>
      <c r="G494" s="9">
        <v>583.24</v>
      </c>
    </row>
    <row r="495" spans="1:7" ht="15.6" x14ac:dyDescent="0.3">
      <c r="A495" s="16">
        <v>45323</v>
      </c>
      <c r="B495" s="10" t="s">
        <v>10</v>
      </c>
      <c r="C495" s="10" t="s">
        <v>11</v>
      </c>
      <c r="D495" s="10" t="s">
        <v>9</v>
      </c>
      <c r="E495" s="4">
        <v>7</v>
      </c>
      <c r="F495" s="4">
        <v>6972</v>
      </c>
      <c r="G495" s="9">
        <v>969.43</v>
      </c>
    </row>
    <row r="496" spans="1:7" ht="15.6" x14ac:dyDescent="0.3">
      <c r="A496" s="16">
        <v>45397</v>
      </c>
      <c r="B496" s="10" t="s">
        <v>10</v>
      </c>
      <c r="C496" s="10" t="s">
        <v>11</v>
      </c>
      <c r="D496" s="10" t="s">
        <v>12</v>
      </c>
      <c r="E496" s="4">
        <v>5</v>
      </c>
      <c r="F496" s="4">
        <v>1745</v>
      </c>
      <c r="G496" s="9">
        <v>449.64</v>
      </c>
    </row>
    <row r="497" spans="1:7" ht="15.6" x14ac:dyDescent="0.3">
      <c r="A497" s="16">
        <v>45427</v>
      </c>
      <c r="B497" s="10" t="s">
        <v>23</v>
      </c>
      <c r="C497" s="10" t="s">
        <v>14</v>
      </c>
      <c r="D497" s="10" t="s">
        <v>12</v>
      </c>
      <c r="E497" s="4">
        <v>8</v>
      </c>
      <c r="F497" s="4">
        <v>4256</v>
      </c>
      <c r="G497" s="9">
        <v>372.95</v>
      </c>
    </row>
    <row r="498" spans="1:7" ht="15.6" x14ac:dyDescent="0.3">
      <c r="A498" s="16">
        <v>44665</v>
      </c>
      <c r="B498" s="10" t="s">
        <v>22</v>
      </c>
      <c r="C498" s="10" t="s">
        <v>11</v>
      </c>
      <c r="D498" s="10" t="s">
        <v>15</v>
      </c>
      <c r="E498" s="4">
        <v>3</v>
      </c>
      <c r="F498" s="4">
        <v>1674</v>
      </c>
      <c r="G498" s="9">
        <v>499.63</v>
      </c>
    </row>
    <row r="499" spans="1:7" ht="15.6" x14ac:dyDescent="0.3">
      <c r="A499" s="16">
        <v>45560</v>
      </c>
      <c r="B499" s="10" t="s">
        <v>17</v>
      </c>
      <c r="C499" s="10" t="s">
        <v>14</v>
      </c>
      <c r="D499" s="10" t="s">
        <v>9</v>
      </c>
      <c r="E499" s="4">
        <v>8</v>
      </c>
      <c r="F499" s="4">
        <v>6488</v>
      </c>
      <c r="G499" s="9">
        <v>1072.8599999999999</v>
      </c>
    </row>
    <row r="500" spans="1:7" ht="15.6" x14ac:dyDescent="0.3">
      <c r="A500" s="16">
        <v>44625</v>
      </c>
      <c r="B500" s="10" t="s">
        <v>13</v>
      </c>
      <c r="C500" s="10" t="s">
        <v>14</v>
      </c>
      <c r="D500" s="10" t="s">
        <v>12</v>
      </c>
      <c r="E500" s="4">
        <v>5</v>
      </c>
      <c r="F500" s="4">
        <v>3530</v>
      </c>
      <c r="G500" s="9">
        <v>803.86</v>
      </c>
    </row>
    <row r="501" spans="1:7" ht="15.6" x14ac:dyDescent="0.3">
      <c r="A501" s="16">
        <v>44807</v>
      </c>
      <c r="B501" s="10" t="s">
        <v>10</v>
      </c>
      <c r="C501" s="10" t="s">
        <v>11</v>
      </c>
      <c r="D501" s="10" t="s">
        <v>9</v>
      </c>
      <c r="E501" s="4">
        <v>2</v>
      </c>
      <c r="F501" s="4">
        <v>632</v>
      </c>
      <c r="G501" s="9">
        <v>87.45</v>
      </c>
    </row>
    <row r="502" spans="1:7" ht="15.6" x14ac:dyDescent="0.3">
      <c r="A502" s="16">
        <v>45605</v>
      </c>
      <c r="B502" s="10" t="s">
        <v>20</v>
      </c>
      <c r="C502" s="10" t="s">
        <v>11</v>
      </c>
      <c r="D502" s="10" t="s">
        <v>9</v>
      </c>
      <c r="E502" s="4">
        <v>7</v>
      </c>
      <c r="F502" s="4">
        <v>3675</v>
      </c>
      <c r="G502" s="9">
        <v>236.8</v>
      </c>
    </row>
    <row r="503" spans="1:7" ht="15.6" x14ac:dyDescent="0.3">
      <c r="A503" s="16">
        <v>45181</v>
      </c>
      <c r="B503" s="10" t="s">
        <v>19</v>
      </c>
      <c r="C503" s="10" t="s">
        <v>14</v>
      </c>
      <c r="D503" s="10" t="s">
        <v>16</v>
      </c>
      <c r="E503" s="4">
        <v>6</v>
      </c>
      <c r="F503" s="4">
        <v>5592</v>
      </c>
      <c r="G503" s="9">
        <v>926.42</v>
      </c>
    </row>
    <row r="504" spans="1:7" ht="15.6" x14ac:dyDescent="0.3">
      <c r="A504" s="16">
        <v>44968</v>
      </c>
      <c r="B504" s="10" t="s">
        <v>22</v>
      </c>
      <c r="C504" s="10" t="s">
        <v>11</v>
      </c>
      <c r="D504" s="10" t="s">
        <v>12</v>
      </c>
      <c r="E504" s="4">
        <v>6</v>
      </c>
      <c r="F504" s="4">
        <v>6432</v>
      </c>
      <c r="G504" s="9">
        <v>807.94</v>
      </c>
    </row>
    <row r="505" spans="1:7" ht="15.6" x14ac:dyDescent="0.3">
      <c r="A505" s="16">
        <v>45165</v>
      </c>
      <c r="B505" s="10" t="s">
        <v>17</v>
      </c>
      <c r="C505" s="10" t="s">
        <v>14</v>
      </c>
      <c r="D505" s="10" t="s">
        <v>12</v>
      </c>
      <c r="E505" s="4">
        <v>3</v>
      </c>
      <c r="F505" s="4">
        <v>3069</v>
      </c>
      <c r="G505" s="9">
        <v>503.3</v>
      </c>
    </row>
    <row r="506" spans="1:7" ht="15.6" x14ac:dyDescent="0.3">
      <c r="A506" s="16">
        <v>45072</v>
      </c>
      <c r="B506" s="10" t="s">
        <v>22</v>
      </c>
      <c r="C506" s="10" t="s">
        <v>11</v>
      </c>
      <c r="D506" s="10" t="s">
        <v>9</v>
      </c>
      <c r="E506" s="4">
        <v>7</v>
      </c>
      <c r="F506" s="4">
        <v>2898</v>
      </c>
      <c r="G506" s="9">
        <v>490.11</v>
      </c>
    </row>
    <row r="507" spans="1:7" ht="15.6" x14ac:dyDescent="0.3">
      <c r="A507" s="16">
        <v>45442</v>
      </c>
      <c r="B507" s="10" t="s">
        <v>13</v>
      </c>
      <c r="C507" s="10" t="s">
        <v>14</v>
      </c>
      <c r="D507" s="10" t="s">
        <v>9</v>
      </c>
      <c r="E507" s="4">
        <v>4</v>
      </c>
      <c r="F507" s="4">
        <v>3960</v>
      </c>
      <c r="G507" s="9">
        <v>632.76</v>
      </c>
    </row>
    <row r="508" spans="1:7" ht="15.6" x14ac:dyDescent="0.3">
      <c r="A508" s="16">
        <v>45504</v>
      </c>
      <c r="B508" s="10" t="s">
        <v>13</v>
      </c>
      <c r="C508" s="10" t="s">
        <v>14</v>
      </c>
      <c r="D508" s="10" t="s">
        <v>15</v>
      </c>
      <c r="E508" s="4">
        <v>3</v>
      </c>
      <c r="F508" s="4">
        <v>1476</v>
      </c>
      <c r="G508" s="9">
        <v>85.16</v>
      </c>
    </row>
    <row r="509" spans="1:7" ht="15.6" x14ac:dyDescent="0.3">
      <c r="A509" s="16">
        <v>45244</v>
      </c>
      <c r="B509" s="10" t="s">
        <v>7</v>
      </c>
      <c r="C509" s="10" t="s">
        <v>8</v>
      </c>
      <c r="D509" s="10" t="s">
        <v>12</v>
      </c>
      <c r="E509" s="4">
        <v>2</v>
      </c>
      <c r="F509" s="4">
        <v>1058</v>
      </c>
      <c r="G509" s="9">
        <v>298.69</v>
      </c>
    </row>
    <row r="510" spans="1:7" ht="15.6" x14ac:dyDescent="0.3">
      <c r="A510" s="16">
        <v>45257</v>
      </c>
      <c r="B510" s="10" t="s">
        <v>20</v>
      </c>
      <c r="C510" s="10" t="s">
        <v>11</v>
      </c>
      <c r="D510" s="10" t="s">
        <v>15</v>
      </c>
      <c r="E510" s="4">
        <v>5</v>
      </c>
      <c r="F510" s="4">
        <v>1215</v>
      </c>
      <c r="G510" s="9">
        <v>162.02000000000001</v>
      </c>
    </row>
    <row r="511" spans="1:7" ht="15.6" x14ac:dyDescent="0.3">
      <c r="A511" s="16">
        <v>45355</v>
      </c>
      <c r="B511" s="10" t="s">
        <v>17</v>
      </c>
      <c r="C511" s="10" t="s">
        <v>14</v>
      </c>
      <c r="D511" s="10" t="s">
        <v>9</v>
      </c>
      <c r="E511" s="4">
        <v>3</v>
      </c>
      <c r="F511" s="4">
        <v>204</v>
      </c>
      <c r="G511" s="9">
        <v>20.43</v>
      </c>
    </row>
    <row r="512" spans="1:7" ht="15.6" x14ac:dyDescent="0.3">
      <c r="A512" s="16">
        <v>45650</v>
      </c>
      <c r="B512" s="10" t="s">
        <v>13</v>
      </c>
      <c r="C512" s="10" t="s">
        <v>14</v>
      </c>
      <c r="D512" s="10" t="s">
        <v>16</v>
      </c>
      <c r="E512" s="4">
        <v>7</v>
      </c>
      <c r="F512" s="4">
        <v>4137</v>
      </c>
      <c r="G512" s="9">
        <v>221.66</v>
      </c>
    </row>
    <row r="513" spans="1:7" ht="15.6" x14ac:dyDescent="0.3">
      <c r="A513" s="16">
        <v>44702</v>
      </c>
      <c r="B513" s="10" t="s">
        <v>17</v>
      </c>
      <c r="C513" s="10" t="s">
        <v>14</v>
      </c>
      <c r="D513" s="10" t="s">
        <v>16</v>
      </c>
      <c r="E513" s="4">
        <v>5</v>
      </c>
      <c r="F513" s="4">
        <v>250</v>
      </c>
      <c r="G513" s="9">
        <v>16.809999999999999</v>
      </c>
    </row>
    <row r="514" spans="1:7" ht="15.6" x14ac:dyDescent="0.3">
      <c r="A514" s="16">
        <v>44818</v>
      </c>
      <c r="B514" s="10" t="s">
        <v>13</v>
      </c>
      <c r="C514" s="10" t="s">
        <v>14</v>
      </c>
      <c r="D514" s="10" t="s">
        <v>16</v>
      </c>
      <c r="E514" s="4">
        <v>5</v>
      </c>
      <c r="F514" s="4">
        <v>1185</v>
      </c>
      <c r="G514" s="9">
        <v>254.34</v>
      </c>
    </row>
    <row r="515" spans="1:7" ht="15.6" x14ac:dyDescent="0.3">
      <c r="A515" s="16">
        <v>45363</v>
      </c>
      <c r="B515" s="10" t="s">
        <v>18</v>
      </c>
      <c r="C515" s="10" t="s">
        <v>11</v>
      </c>
      <c r="D515" s="10" t="s">
        <v>15</v>
      </c>
      <c r="E515" s="4">
        <v>2</v>
      </c>
      <c r="F515" s="4">
        <v>1504</v>
      </c>
      <c r="G515" s="9">
        <v>108.52</v>
      </c>
    </row>
    <row r="516" spans="1:7" ht="15.6" x14ac:dyDescent="0.3">
      <c r="A516" s="16">
        <v>45471</v>
      </c>
      <c r="B516" s="10" t="s">
        <v>22</v>
      </c>
      <c r="C516" s="10" t="s">
        <v>11</v>
      </c>
      <c r="D516" s="10" t="s">
        <v>16</v>
      </c>
      <c r="E516" s="4">
        <v>6</v>
      </c>
      <c r="F516" s="4">
        <v>6888</v>
      </c>
      <c r="G516" s="9">
        <v>945.07</v>
      </c>
    </row>
    <row r="517" spans="1:7" ht="15.6" x14ac:dyDescent="0.3">
      <c r="A517" s="16">
        <v>45651</v>
      </c>
      <c r="B517" s="10" t="s">
        <v>21</v>
      </c>
      <c r="C517" s="10" t="s">
        <v>14</v>
      </c>
      <c r="D517" s="10" t="s">
        <v>16</v>
      </c>
      <c r="E517" s="4">
        <v>3</v>
      </c>
      <c r="F517" s="4">
        <v>3588</v>
      </c>
      <c r="G517" s="9">
        <v>958.84</v>
      </c>
    </row>
    <row r="518" spans="1:7" ht="15.6" x14ac:dyDescent="0.3">
      <c r="A518" s="16">
        <v>44883</v>
      </c>
      <c r="B518" s="10" t="s">
        <v>23</v>
      </c>
      <c r="C518" s="10" t="s">
        <v>14</v>
      </c>
      <c r="D518" s="10" t="s">
        <v>15</v>
      </c>
      <c r="E518" s="4">
        <v>7</v>
      </c>
      <c r="F518" s="4">
        <v>1477</v>
      </c>
      <c r="G518" s="9">
        <v>367.22</v>
      </c>
    </row>
    <row r="519" spans="1:7" ht="15.6" x14ac:dyDescent="0.3">
      <c r="A519" s="16">
        <v>44856</v>
      </c>
      <c r="B519" s="10" t="s">
        <v>19</v>
      </c>
      <c r="C519" s="10" t="s">
        <v>14</v>
      </c>
      <c r="D519" s="10" t="s">
        <v>12</v>
      </c>
      <c r="E519" s="4">
        <v>8</v>
      </c>
      <c r="F519" s="4">
        <v>1280</v>
      </c>
      <c r="G519" s="9">
        <v>131.56</v>
      </c>
    </row>
    <row r="520" spans="1:7" ht="15.6" x14ac:dyDescent="0.3">
      <c r="A520" s="16">
        <v>45612</v>
      </c>
      <c r="B520" s="10" t="s">
        <v>13</v>
      </c>
      <c r="C520" s="10" t="s">
        <v>14</v>
      </c>
      <c r="D520" s="10" t="s">
        <v>15</v>
      </c>
      <c r="E520" s="4">
        <v>7</v>
      </c>
      <c r="F520" s="4">
        <v>7161</v>
      </c>
      <c r="G520" s="9">
        <v>630.76</v>
      </c>
    </row>
    <row r="521" spans="1:7" ht="15.6" x14ac:dyDescent="0.3">
      <c r="A521" s="16">
        <v>44998</v>
      </c>
      <c r="B521" s="10" t="s">
        <v>7</v>
      </c>
      <c r="C521" s="10" t="s">
        <v>8</v>
      </c>
      <c r="D521" s="10" t="s">
        <v>9</v>
      </c>
      <c r="E521" s="4">
        <v>5</v>
      </c>
      <c r="F521" s="4">
        <v>1850</v>
      </c>
      <c r="G521" s="9">
        <v>346.4</v>
      </c>
    </row>
    <row r="522" spans="1:7" ht="15.6" x14ac:dyDescent="0.3">
      <c r="A522" s="16">
        <v>45287</v>
      </c>
      <c r="B522" s="10" t="s">
        <v>10</v>
      </c>
      <c r="C522" s="10" t="s">
        <v>11</v>
      </c>
      <c r="D522" s="10" t="s">
        <v>12</v>
      </c>
      <c r="E522" s="4">
        <v>3</v>
      </c>
      <c r="F522" s="4">
        <v>3378</v>
      </c>
      <c r="G522" s="9">
        <v>520.30999999999995</v>
      </c>
    </row>
    <row r="523" spans="1:7" ht="15.6" x14ac:dyDescent="0.3">
      <c r="A523" s="16">
        <v>45595</v>
      </c>
      <c r="B523" s="10" t="s">
        <v>23</v>
      </c>
      <c r="C523" s="10" t="s">
        <v>14</v>
      </c>
      <c r="D523" s="10" t="s">
        <v>16</v>
      </c>
      <c r="E523" s="4">
        <v>7</v>
      </c>
      <c r="F523" s="4">
        <v>7672</v>
      </c>
      <c r="G523" s="9">
        <v>2046.38</v>
      </c>
    </row>
    <row r="524" spans="1:7" ht="15.6" x14ac:dyDescent="0.3">
      <c r="A524" s="16">
        <v>45599</v>
      </c>
      <c r="B524" s="10" t="s">
        <v>13</v>
      </c>
      <c r="C524" s="10" t="s">
        <v>14</v>
      </c>
      <c r="D524" s="10" t="s">
        <v>15</v>
      </c>
      <c r="E524" s="4">
        <v>6</v>
      </c>
      <c r="F524" s="4">
        <v>4254</v>
      </c>
      <c r="G524" s="9">
        <v>938.66</v>
      </c>
    </row>
    <row r="525" spans="1:7" ht="15.6" x14ac:dyDescent="0.3">
      <c r="A525" s="16">
        <v>45615</v>
      </c>
      <c r="B525" s="10" t="s">
        <v>22</v>
      </c>
      <c r="C525" s="10" t="s">
        <v>11</v>
      </c>
      <c r="D525" s="10" t="s">
        <v>12</v>
      </c>
      <c r="E525" s="4">
        <v>5</v>
      </c>
      <c r="F525" s="4">
        <v>2285</v>
      </c>
      <c r="G525" s="9">
        <v>279.89999999999998</v>
      </c>
    </row>
    <row r="526" spans="1:7" ht="15.6" x14ac:dyDescent="0.3">
      <c r="A526" s="16">
        <v>45411</v>
      </c>
      <c r="B526" s="10" t="s">
        <v>22</v>
      </c>
      <c r="C526" s="10" t="s">
        <v>11</v>
      </c>
      <c r="D526" s="10" t="s">
        <v>16</v>
      </c>
      <c r="E526" s="4">
        <v>7</v>
      </c>
      <c r="F526" s="4">
        <v>5775</v>
      </c>
      <c r="G526" s="9">
        <v>680.6</v>
      </c>
    </row>
    <row r="527" spans="1:7" ht="15.6" x14ac:dyDescent="0.3">
      <c r="A527" s="16">
        <v>44855</v>
      </c>
      <c r="B527" s="10" t="s">
        <v>21</v>
      </c>
      <c r="C527" s="10" t="s">
        <v>14</v>
      </c>
      <c r="D527" s="10" t="s">
        <v>9</v>
      </c>
      <c r="E527" s="4">
        <v>9</v>
      </c>
      <c r="F527" s="4">
        <v>9360</v>
      </c>
      <c r="G527" s="9">
        <v>910.35</v>
      </c>
    </row>
    <row r="528" spans="1:7" ht="15.6" x14ac:dyDescent="0.3">
      <c r="A528" s="16">
        <v>44951</v>
      </c>
      <c r="B528" s="10" t="s">
        <v>7</v>
      </c>
      <c r="C528" s="10" t="s">
        <v>8</v>
      </c>
      <c r="D528" s="10" t="s">
        <v>9</v>
      </c>
      <c r="E528" s="4">
        <v>8</v>
      </c>
      <c r="F528" s="4">
        <v>6936</v>
      </c>
      <c r="G528" s="9">
        <v>1156.52</v>
      </c>
    </row>
    <row r="529" spans="1:7" ht="15.6" x14ac:dyDescent="0.3">
      <c r="A529" s="16">
        <v>44698</v>
      </c>
      <c r="B529" s="10" t="s">
        <v>17</v>
      </c>
      <c r="C529" s="10" t="s">
        <v>14</v>
      </c>
      <c r="D529" s="10" t="s">
        <v>12</v>
      </c>
      <c r="E529" s="4">
        <v>9</v>
      </c>
      <c r="F529" s="4">
        <v>5634</v>
      </c>
      <c r="G529" s="9">
        <v>464.71</v>
      </c>
    </row>
    <row r="530" spans="1:7" ht="15.6" x14ac:dyDescent="0.3">
      <c r="A530" s="16">
        <v>45380</v>
      </c>
      <c r="B530" s="10" t="s">
        <v>21</v>
      </c>
      <c r="C530" s="10" t="s">
        <v>14</v>
      </c>
      <c r="D530" s="10" t="s">
        <v>9</v>
      </c>
      <c r="E530" s="4">
        <v>4</v>
      </c>
      <c r="F530" s="4">
        <v>2644</v>
      </c>
      <c r="G530" s="9">
        <v>731.86</v>
      </c>
    </row>
    <row r="531" spans="1:7" ht="15.6" x14ac:dyDescent="0.3">
      <c r="A531" s="16">
        <v>45252</v>
      </c>
      <c r="B531" s="10" t="s">
        <v>18</v>
      </c>
      <c r="C531" s="10" t="s">
        <v>11</v>
      </c>
      <c r="D531" s="10" t="s">
        <v>9</v>
      </c>
      <c r="E531" s="4">
        <v>1</v>
      </c>
      <c r="F531" s="4">
        <v>247</v>
      </c>
      <c r="G531" s="9">
        <v>35.65</v>
      </c>
    </row>
    <row r="532" spans="1:7" ht="15.6" x14ac:dyDescent="0.3">
      <c r="A532" s="16">
        <v>45193</v>
      </c>
      <c r="B532" s="10" t="s">
        <v>23</v>
      </c>
      <c r="C532" s="10" t="s">
        <v>14</v>
      </c>
      <c r="D532" s="10" t="s">
        <v>12</v>
      </c>
      <c r="E532" s="4">
        <v>7</v>
      </c>
      <c r="F532" s="4">
        <v>1869</v>
      </c>
      <c r="G532" s="9">
        <v>357.27</v>
      </c>
    </row>
    <row r="533" spans="1:7" ht="15.6" x14ac:dyDescent="0.3">
      <c r="A533" s="16">
        <v>45490</v>
      </c>
      <c r="B533" s="10" t="s">
        <v>19</v>
      </c>
      <c r="C533" s="10" t="s">
        <v>14</v>
      </c>
      <c r="D533" s="10" t="s">
        <v>16</v>
      </c>
      <c r="E533" s="4">
        <v>7</v>
      </c>
      <c r="F533" s="4">
        <v>1988</v>
      </c>
      <c r="G533" s="9">
        <v>430.59</v>
      </c>
    </row>
    <row r="534" spans="1:7" ht="15.6" x14ac:dyDescent="0.3">
      <c r="A534" s="16">
        <v>45094</v>
      </c>
      <c r="B534" s="10" t="s">
        <v>23</v>
      </c>
      <c r="C534" s="10" t="s">
        <v>14</v>
      </c>
      <c r="D534" s="10" t="s">
        <v>16</v>
      </c>
      <c r="E534" s="4">
        <v>4</v>
      </c>
      <c r="F534" s="4">
        <v>1920</v>
      </c>
      <c r="G534" s="9">
        <v>549.11</v>
      </c>
    </row>
    <row r="535" spans="1:7" ht="15.6" x14ac:dyDescent="0.3">
      <c r="A535" s="16">
        <v>45432</v>
      </c>
      <c r="B535" s="10" t="s">
        <v>18</v>
      </c>
      <c r="C535" s="10" t="s">
        <v>11</v>
      </c>
      <c r="D535" s="10" t="s">
        <v>16</v>
      </c>
      <c r="E535" s="4">
        <v>3</v>
      </c>
      <c r="F535" s="4">
        <v>2577</v>
      </c>
      <c r="G535" s="9">
        <v>196.37</v>
      </c>
    </row>
    <row r="536" spans="1:7" ht="15.6" x14ac:dyDescent="0.3">
      <c r="A536" s="16">
        <v>45453</v>
      </c>
      <c r="B536" s="10" t="s">
        <v>17</v>
      </c>
      <c r="C536" s="10" t="s">
        <v>14</v>
      </c>
      <c r="D536" s="10" t="s">
        <v>12</v>
      </c>
      <c r="E536" s="4">
        <v>3</v>
      </c>
      <c r="F536" s="4">
        <v>828</v>
      </c>
      <c r="G536" s="9">
        <v>117.95</v>
      </c>
    </row>
    <row r="537" spans="1:7" ht="15.6" x14ac:dyDescent="0.3">
      <c r="A537" s="16">
        <v>44592</v>
      </c>
      <c r="B537" s="10" t="s">
        <v>17</v>
      </c>
      <c r="C537" s="10" t="s">
        <v>14</v>
      </c>
      <c r="D537" s="10" t="s">
        <v>15</v>
      </c>
      <c r="E537" s="4">
        <v>2</v>
      </c>
      <c r="F537" s="4">
        <v>1580</v>
      </c>
      <c r="G537" s="9">
        <v>403.76</v>
      </c>
    </row>
    <row r="538" spans="1:7" ht="15.6" x14ac:dyDescent="0.3">
      <c r="A538" s="16">
        <v>45182</v>
      </c>
      <c r="B538" s="10" t="s">
        <v>17</v>
      </c>
      <c r="C538" s="10" t="s">
        <v>14</v>
      </c>
      <c r="D538" s="10" t="s">
        <v>12</v>
      </c>
      <c r="E538" s="4">
        <v>9</v>
      </c>
      <c r="F538" s="4">
        <v>9009</v>
      </c>
      <c r="G538" s="9">
        <v>1909.26</v>
      </c>
    </row>
    <row r="539" spans="1:7" ht="15.6" x14ac:dyDescent="0.3">
      <c r="A539" s="16">
        <v>44835</v>
      </c>
      <c r="B539" s="10" t="s">
        <v>21</v>
      </c>
      <c r="C539" s="10" t="s">
        <v>14</v>
      </c>
      <c r="D539" s="10" t="s">
        <v>12</v>
      </c>
      <c r="E539" s="4">
        <v>9</v>
      </c>
      <c r="F539" s="4">
        <v>7425</v>
      </c>
      <c r="G539" s="9">
        <v>1580.86</v>
      </c>
    </row>
    <row r="540" spans="1:7" ht="15.6" x14ac:dyDescent="0.3">
      <c r="A540" s="16">
        <v>45650</v>
      </c>
      <c r="B540" s="10" t="s">
        <v>20</v>
      </c>
      <c r="C540" s="10" t="s">
        <v>11</v>
      </c>
      <c r="D540" s="10" t="s">
        <v>16</v>
      </c>
      <c r="E540" s="4">
        <v>5</v>
      </c>
      <c r="F540" s="4">
        <v>2945</v>
      </c>
      <c r="G540" s="9">
        <v>672.35</v>
      </c>
    </row>
    <row r="541" spans="1:7" ht="15.6" x14ac:dyDescent="0.3">
      <c r="A541" s="16">
        <v>45126</v>
      </c>
      <c r="B541" s="10" t="s">
        <v>10</v>
      </c>
      <c r="C541" s="10" t="s">
        <v>11</v>
      </c>
      <c r="D541" s="10" t="s">
        <v>16</v>
      </c>
      <c r="E541" s="4">
        <v>3</v>
      </c>
      <c r="F541" s="4">
        <v>294</v>
      </c>
      <c r="G541" s="9">
        <v>22.9</v>
      </c>
    </row>
    <row r="542" spans="1:7" ht="15.6" x14ac:dyDescent="0.3">
      <c r="A542" s="16">
        <v>45429</v>
      </c>
      <c r="B542" s="10" t="s">
        <v>10</v>
      </c>
      <c r="C542" s="10" t="s">
        <v>11</v>
      </c>
      <c r="D542" s="10" t="s">
        <v>15</v>
      </c>
      <c r="E542" s="4">
        <v>5</v>
      </c>
      <c r="F542" s="4">
        <v>5875</v>
      </c>
      <c r="G542" s="9">
        <v>789.23</v>
      </c>
    </row>
    <row r="543" spans="1:7" ht="15.6" x14ac:dyDescent="0.3">
      <c r="A543" s="16">
        <v>44578</v>
      </c>
      <c r="B543" s="10" t="s">
        <v>19</v>
      </c>
      <c r="C543" s="10" t="s">
        <v>14</v>
      </c>
      <c r="D543" s="10" t="s">
        <v>16</v>
      </c>
      <c r="E543" s="4">
        <v>3</v>
      </c>
      <c r="F543" s="4">
        <v>1308</v>
      </c>
      <c r="G543" s="9">
        <v>197.6</v>
      </c>
    </row>
    <row r="544" spans="1:7" ht="15.6" x14ac:dyDescent="0.3">
      <c r="A544" s="16">
        <v>45301</v>
      </c>
      <c r="B544" s="10" t="s">
        <v>20</v>
      </c>
      <c r="C544" s="10" t="s">
        <v>11</v>
      </c>
      <c r="D544" s="10" t="s">
        <v>15</v>
      </c>
      <c r="E544" s="4">
        <v>4</v>
      </c>
      <c r="F544" s="4">
        <v>2360</v>
      </c>
      <c r="G544" s="9">
        <v>391.82</v>
      </c>
    </row>
    <row r="545" spans="1:7" ht="15.6" x14ac:dyDescent="0.3">
      <c r="A545" s="16">
        <v>45026</v>
      </c>
      <c r="B545" s="10" t="s">
        <v>19</v>
      </c>
      <c r="C545" s="10" t="s">
        <v>14</v>
      </c>
      <c r="D545" s="10" t="s">
        <v>16</v>
      </c>
      <c r="E545" s="4">
        <v>6</v>
      </c>
      <c r="F545" s="4">
        <v>1008</v>
      </c>
      <c r="G545" s="9">
        <v>245.45</v>
      </c>
    </row>
    <row r="546" spans="1:7" ht="15.6" x14ac:dyDescent="0.3">
      <c r="A546" s="16">
        <v>45226</v>
      </c>
      <c r="B546" s="10" t="s">
        <v>19</v>
      </c>
      <c r="C546" s="10" t="s">
        <v>14</v>
      </c>
      <c r="D546" s="10" t="s">
        <v>9</v>
      </c>
      <c r="E546" s="4">
        <v>6</v>
      </c>
      <c r="F546" s="4">
        <v>1344</v>
      </c>
      <c r="G546" s="9">
        <v>338.4</v>
      </c>
    </row>
    <row r="547" spans="1:7" ht="15.6" x14ac:dyDescent="0.3">
      <c r="A547" s="16">
        <v>44573</v>
      </c>
      <c r="B547" s="10" t="s">
        <v>7</v>
      </c>
      <c r="C547" s="10" t="s">
        <v>8</v>
      </c>
      <c r="D547" s="10" t="s">
        <v>16</v>
      </c>
      <c r="E547" s="4">
        <v>7</v>
      </c>
      <c r="F547" s="4">
        <v>5635</v>
      </c>
      <c r="G547" s="9">
        <v>1185.97</v>
      </c>
    </row>
    <row r="548" spans="1:7" ht="15.6" x14ac:dyDescent="0.3">
      <c r="A548" s="16">
        <v>45184</v>
      </c>
      <c r="B548" s="10" t="s">
        <v>10</v>
      </c>
      <c r="C548" s="10" t="s">
        <v>11</v>
      </c>
      <c r="D548" s="10" t="s">
        <v>12</v>
      </c>
      <c r="E548" s="4">
        <v>4</v>
      </c>
      <c r="F548" s="4">
        <v>4088</v>
      </c>
      <c r="G548" s="9">
        <v>1200.03</v>
      </c>
    </row>
    <row r="549" spans="1:7" ht="15.6" x14ac:dyDescent="0.3">
      <c r="A549" s="16">
        <v>45630</v>
      </c>
      <c r="B549" s="10" t="s">
        <v>17</v>
      </c>
      <c r="C549" s="10" t="s">
        <v>14</v>
      </c>
      <c r="D549" s="10" t="s">
        <v>15</v>
      </c>
      <c r="E549" s="4">
        <v>8</v>
      </c>
      <c r="F549" s="4">
        <v>2192</v>
      </c>
      <c r="G549" s="9">
        <v>441.77</v>
      </c>
    </row>
    <row r="550" spans="1:7" ht="15.6" x14ac:dyDescent="0.3">
      <c r="A550" s="16">
        <v>44718</v>
      </c>
      <c r="B550" s="10" t="s">
        <v>22</v>
      </c>
      <c r="C550" s="10" t="s">
        <v>11</v>
      </c>
      <c r="D550" s="10" t="s">
        <v>15</v>
      </c>
      <c r="E550" s="4">
        <v>8</v>
      </c>
      <c r="F550" s="4">
        <v>1952</v>
      </c>
      <c r="G550" s="9">
        <v>444.15</v>
      </c>
    </row>
    <row r="551" spans="1:7" ht="15.6" x14ac:dyDescent="0.3">
      <c r="A551" s="16">
        <v>44954</v>
      </c>
      <c r="B551" s="10" t="s">
        <v>21</v>
      </c>
      <c r="C551" s="10" t="s">
        <v>14</v>
      </c>
      <c r="D551" s="10" t="s">
        <v>12</v>
      </c>
      <c r="E551" s="4">
        <v>7</v>
      </c>
      <c r="F551" s="4">
        <v>3955</v>
      </c>
      <c r="G551" s="9">
        <v>1144.76</v>
      </c>
    </row>
    <row r="552" spans="1:7" ht="15.6" x14ac:dyDescent="0.3">
      <c r="A552" s="16">
        <v>45101</v>
      </c>
      <c r="B552" s="10" t="s">
        <v>10</v>
      </c>
      <c r="C552" s="10" t="s">
        <v>11</v>
      </c>
      <c r="D552" s="10" t="s">
        <v>15</v>
      </c>
      <c r="E552" s="4">
        <v>8</v>
      </c>
      <c r="F552" s="4">
        <v>5256</v>
      </c>
      <c r="G552" s="9">
        <v>1118.1600000000001</v>
      </c>
    </row>
    <row r="553" spans="1:7" ht="15.6" x14ac:dyDescent="0.3">
      <c r="A553" s="16">
        <v>44923</v>
      </c>
      <c r="B553" s="10" t="s">
        <v>17</v>
      </c>
      <c r="C553" s="10" t="s">
        <v>14</v>
      </c>
      <c r="D553" s="10" t="s">
        <v>9</v>
      </c>
      <c r="E553" s="4">
        <v>1</v>
      </c>
      <c r="F553" s="4">
        <v>1163</v>
      </c>
      <c r="G553" s="9">
        <v>115.09</v>
      </c>
    </row>
    <row r="554" spans="1:7" ht="15.6" x14ac:dyDescent="0.3">
      <c r="A554" s="16">
        <v>44828</v>
      </c>
      <c r="B554" s="10" t="s">
        <v>19</v>
      </c>
      <c r="C554" s="10" t="s">
        <v>14</v>
      </c>
      <c r="D554" s="10" t="s">
        <v>9</v>
      </c>
      <c r="E554" s="4">
        <v>9</v>
      </c>
      <c r="F554" s="4">
        <v>5004</v>
      </c>
      <c r="G554" s="9">
        <v>973.65</v>
      </c>
    </row>
    <row r="555" spans="1:7" ht="15.6" x14ac:dyDescent="0.3">
      <c r="A555" s="16">
        <v>45052</v>
      </c>
      <c r="B555" s="10" t="s">
        <v>10</v>
      </c>
      <c r="C555" s="10" t="s">
        <v>11</v>
      </c>
      <c r="D555" s="10" t="s">
        <v>9</v>
      </c>
      <c r="E555" s="4">
        <v>8</v>
      </c>
      <c r="F555" s="4">
        <v>9128</v>
      </c>
      <c r="G555" s="9">
        <v>1342.19</v>
      </c>
    </row>
    <row r="556" spans="1:7" ht="15.6" x14ac:dyDescent="0.3">
      <c r="A556" s="16">
        <v>45120</v>
      </c>
      <c r="B556" s="10" t="s">
        <v>23</v>
      </c>
      <c r="C556" s="10" t="s">
        <v>14</v>
      </c>
      <c r="D556" s="10" t="s">
        <v>12</v>
      </c>
      <c r="E556" s="4">
        <v>4</v>
      </c>
      <c r="F556" s="4">
        <v>4700</v>
      </c>
      <c r="G556" s="9">
        <v>576.34</v>
      </c>
    </row>
    <row r="557" spans="1:7" ht="15.6" x14ac:dyDescent="0.3">
      <c r="A557" s="16">
        <v>44566</v>
      </c>
      <c r="B557" s="10" t="s">
        <v>17</v>
      </c>
      <c r="C557" s="10" t="s">
        <v>14</v>
      </c>
      <c r="D557" s="10" t="s">
        <v>16</v>
      </c>
      <c r="E557" s="4">
        <v>2</v>
      </c>
      <c r="F557" s="4">
        <v>1686</v>
      </c>
      <c r="G557" s="9">
        <v>146.38999999999999</v>
      </c>
    </row>
    <row r="558" spans="1:7" ht="15.6" x14ac:dyDescent="0.3">
      <c r="A558" s="16">
        <v>45507</v>
      </c>
      <c r="B558" s="10" t="s">
        <v>22</v>
      </c>
      <c r="C558" s="10" t="s">
        <v>11</v>
      </c>
      <c r="D558" s="10" t="s">
        <v>15</v>
      </c>
      <c r="E558" s="4">
        <v>9</v>
      </c>
      <c r="F558" s="4">
        <v>4572</v>
      </c>
      <c r="G558" s="9">
        <v>279.54000000000002</v>
      </c>
    </row>
    <row r="559" spans="1:7" ht="15.6" x14ac:dyDescent="0.3">
      <c r="A559" s="16">
        <v>45159</v>
      </c>
      <c r="B559" s="10" t="s">
        <v>21</v>
      </c>
      <c r="C559" s="10" t="s">
        <v>14</v>
      </c>
      <c r="D559" s="10" t="s">
        <v>15</v>
      </c>
      <c r="E559" s="4">
        <v>5</v>
      </c>
      <c r="F559" s="4">
        <v>2510</v>
      </c>
      <c r="G559" s="9">
        <v>515.12</v>
      </c>
    </row>
    <row r="560" spans="1:7" ht="15.6" x14ac:dyDescent="0.3">
      <c r="A560" s="16">
        <v>45081</v>
      </c>
      <c r="B560" s="10" t="s">
        <v>21</v>
      </c>
      <c r="C560" s="10" t="s">
        <v>14</v>
      </c>
      <c r="D560" s="10" t="s">
        <v>16</v>
      </c>
      <c r="E560" s="4">
        <v>3</v>
      </c>
      <c r="F560" s="4">
        <v>3117</v>
      </c>
      <c r="G560" s="9">
        <v>829.09</v>
      </c>
    </row>
    <row r="561" spans="1:7" ht="15.6" x14ac:dyDescent="0.3">
      <c r="A561" s="16">
        <v>45424</v>
      </c>
      <c r="B561" s="10" t="s">
        <v>23</v>
      </c>
      <c r="C561" s="10" t="s">
        <v>14</v>
      </c>
      <c r="D561" s="10" t="s">
        <v>16</v>
      </c>
      <c r="E561" s="4">
        <v>1</v>
      </c>
      <c r="F561" s="4">
        <v>380</v>
      </c>
      <c r="G561" s="9">
        <v>94.35</v>
      </c>
    </row>
    <row r="562" spans="1:7" ht="15.6" x14ac:dyDescent="0.3">
      <c r="A562" s="16">
        <v>45121</v>
      </c>
      <c r="B562" s="10" t="s">
        <v>20</v>
      </c>
      <c r="C562" s="10" t="s">
        <v>11</v>
      </c>
      <c r="D562" s="10" t="s">
        <v>16</v>
      </c>
      <c r="E562" s="4">
        <v>9</v>
      </c>
      <c r="F562" s="4">
        <v>2889</v>
      </c>
      <c r="G562" s="9">
        <v>604.19000000000005</v>
      </c>
    </row>
    <row r="563" spans="1:7" ht="15.6" x14ac:dyDescent="0.3">
      <c r="A563" s="16">
        <v>45604</v>
      </c>
      <c r="B563" s="10" t="s">
        <v>19</v>
      </c>
      <c r="C563" s="10" t="s">
        <v>14</v>
      </c>
      <c r="D563" s="10" t="s">
        <v>12</v>
      </c>
      <c r="E563" s="4">
        <v>9</v>
      </c>
      <c r="F563" s="4">
        <v>3654</v>
      </c>
      <c r="G563" s="9">
        <v>581.9</v>
      </c>
    </row>
    <row r="564" spans="1:7" ht="15.6" x14ac:dyDescent="0.3">
      <c r="A564" s="16">
        <v>45181</v>
      </c>
      <c r="B564" s="10" t="s">
        <v>7</v>
      </c>
      <c r="C564" s="10" t="s">
        <v>8</v>
      </c>
      <c r="D564" s="10" t="s">
        <v>12</v>
      </c>
      <c r="E564" s="4">
        <v>6</v>
      </c>
      <c r="F564" s="4">
        <v>5610</v>
      </c>
      <c r="G564" s="9">
        <v>298.77</v>
      </c>
    </row>
    <row r="565" spans="1:7" ht="15.6" x14ac:dyDescent="0.3">
      <c r="A565" s="16">
        <v>45409</v>
      </c>
      <c r="B565" s="10" t="s">
        <v>21</v>
      </c>
      <c r="C565" s="10" t="s">
        <v>14</v>
      </c>
      <c r="D565" s="10" t="s">
        <v>15</v>
      </c>
      <c r="E565" s="4">
        <v>1</v>
      </c>
      <c r="F565" s="4">
        <v>668</v>
      </c>
      <c r="G565" s="9">
        <v>99.4</v>
      </c>
    </row>
    <row r="566" spans="1:7" ht="15.6" x14ac:dyDescent="0.3">
      <c r="A566" s="16">
        <v>44569</v>
      </c>
      <c r="B566" s="10" t="s">
        <v>21</v>
      </c>
      <c r="C566" s="10" t="s">
        <v>14</v>
      </c>
      <c r="D566" s="10" t="s">
        <v>15</v>
      </c>
      <c r="E566" s="4">
        <v>7</v>
      </c>
      <c r="F566" s="4">
        <v>3983</v>
      </c>
      <c r="G566" s="9">
        <v>360.13</v>
      </c>
    </row>
    <row r="567" spans="1:7" ht="15.6" x14ac:dyDescent="0.3">
      <c r="A567" s="16">
        <v>45315</v>
      </c>
      <c r="B567" s="10" t="s">
        <v>22</v>
      </c>
      <c r="C567" s="10" t="s">
        <v>11</v>
      </c>
      <c r="D567" s="10" t="s">
        <v>15</v>
      </c>
      <c r="E567" s="4">
        <v>1</v>
      </c>
      <c r="F567" s="4">
        <v>1112</v>
      </c>
      <c r="G567" s="9">
        <v>272.81</v>
      </c>
    </row>
    <row r="568" spans="1:7" ht="15.6" x14ac:dyDescent="0.3">
      <c r="A568" s="16">
        <v>44732</v>
      </c>
      <c r="B568" s="10" t="s">
        <v>20</v>
      </c>
      <c r="C568" s="10" t="s">
        <v>11</v>
      </c>
      <c r="D568" s="10" t="s">
        <v>9</v>
      </c>
      <c r="E568" s="4">
        <v>9</v>
      </c>
      <c r="F568" s="4">
        <v>4230</v>
      </c>
      <c r="G568" s="9">
        <v>221.06</v>
      </c>
    </row>
    <row r="569" spans="1:7" ht="15.6" x14ac:dyDescent="0.3">
      <c r="A569" s="16">
        <v>45505</v>
      </c>
      <c r="B569" s="10" t="s">
        <v>13</v>
      </c>
      <c r="C569" s="10" t="s">
        <v>14</v>
      </c>
      <c r="D569" s="10" t="s">
        <v>12</v>
      </c>
      <c r="E569" s="4">
        <v>8</v>
      </c>
      <c r="F569" s="4">
        <v>2968</v>
      </c>
      <c r="G569" s="9">
        <v>530.29999999999995</v>
      </c>
    </row>
    <row r="570" spans="1:7" ht="15.6" x14ac:dyDescent="0.3">
      <c r="A570" s="16">
        <v>44571</v>
      </c>
      <c r="B570" s="10" t="s">
        <v>20</v>
      </c>
      <c r="C570" s="10" t="s">
        <v>11</v>
      </c>
      <c r="D570" s="10" t="s">
        <v>16</v>
      </c>
      <c r="E570" s="4">
        <v>5</v>
      </c>
      <c r="F570" s="4">
        <v>4690</v>
      </c>
      <c r="G570" s="9">
        <v>706.74</v>
      </c>
    </row>
    <row r="571" spans="1:7" ht="15.6" x14ac:dyDescent="0.3">
      <c r="A571" s="16">
        <v>44690</v>
      </c>
      <c r="B571" s="10" t="s">
        <v>17</v>
      </c>
      <c r="C571" s="10" t="s">
        <v>14</v>
      </c>
      <c r="D571" s="10" t="s">
        <v>16</v>
      </c>
      <c r="E571" s="4">
        <v>6</v>
      </c>
      <c r="F571" s="4">
        <v>4296</v>
      </c>
      <c r="G571" s="9">
        <v>1240.31</v>
      </c>
    </row>
    <row r="572" spans="1:7" ht="15.6" x14ac:dyDescent="0.3">
      <c r="A572" s="16">
        <v>45279</v>
      </c>
      <c r="B572" s="10" t="s">
        <v>17</v>
      </c>
      <c r="C572" s="10" t="s">
        <v>14</v>
      </c>
      <c r="D572" s="10" t="s">
        <v>9</v>
      </c>
      <c r="E572" s="4">
        <v>7</v>
      </c>
      <c r="F572" s="4">
        <v>7203</v>
      </c>
      <c r="G572" s="9">
        <v>523.52</v>
      </c>
    </row>
    <row r="573" spans="1:7" ht="15.6" x14ac:dyDescent="0.3">
      <c r="A573" s="16">
        <v>44885</v>
      </c>
      <c r="B573" s="10" t="s">
        <v>21</v>
      </c>
      <c r="C573" s="10" t="s">
        <v>14</v>
      </c>
      <c r="D573" s="10" t="s">
        <v>9</v>
      </c>
      <c r="E573" s="4">
        <v>4</v>
      </c>
      <c r="F573" s="4">
        <v>3640</v>
      </c>
      <c r="G573" s="9">
        <v>695.31</v>
      </c>
    </row>
    <row r="574" spans="1:7" ht="15.6" x14ac:dyDescent="0.3">
      <c r="A574" s="16">
        <v>44876</v>
      </c>
      <c r="B574" s="10" t="s">
        <v>21</v>
      </c>
      <c r="C574" s="10" t="s">
        <v>14</v>
      </c>
      <c r="D574" s="10" t="s">
        <v>12</v>
      </c>
      <c r="E574" s="4">
        <v>1</v>
      </c>
      <c r="F574" s="4">
        <v>1131</v>
      </c>
      <c r="G574" s="9">
        <v>304.62</v>
      </c>
    </row>
    <row r="575" spans="1:7" ht="15.6" x14ac:dyDescent="0.3">
      <c r="A575" s="16">
        <v>45294</v>
      </c>
      <c r="B575" s="10" t="s">
        <v>17</v>
      </c>
      <c r="C575" s="10" t="s">
        <v>14</v>
      </c>
      <c r="D575" s="10" t="s">
        <v>16</v>
      </c>
      <c r="E575" s="4">
        <v>9</v>
      </c>
      <c r="F575" s="4">
        <v>3627</v>
      </c>
      <c r="G575" s="9">
        <v>797.53</v>
      </c>
    </row>
    <row r="576" spans="1:7" ht="15.6" x14ac:dyDescent="0.3">
      <c r="A576" s="16">
        <v>45149</v>
      </c>
      <c r="B576" s="10" t="s">
        <v>10</v>
      </c>
      <c r="C576" s="10" t="s">
        <v>11</v>
      </c>
      <c r="D576" s="10" t="s">
        <v>15</v>
      </c>
      <c r="E576" s="4">
        <v>8</v>
      </c>
      <c r="F576" s="4">
        <v>7968</v>
      </c>
      <c r="G576" s="9">
        <v>1249.98</v>
      </c>
    </row>
    <row r="577" spans="1:7" ht="15.6" x14ac:dyDescent="0.3">
      <c r="A577" s="16">
        <v>44888</v>
      </c>
      <c r="B577" s="10" t="s">
        <v>18</v>
      </c>
      <c r="C577" s="10" t="s">
        <v>11</v>
      </c>
      <c r="D577" s="10" t="s">
        <v>15</v>
      </c>
      <c r="E577" s="4">
        <v>3</v>
      </c>
      <c r="F577" s="4">
        <v>3546</v>
      </c>
      <c r="G577" s="9">
        <v>490.28</v>
      </c>
    </row>
    <row r="578" spans="1:7" ht="15.6" x14ac:dyDescent="0.3">
      <c r="A578" s="16">
        <v>45352</v>
      </c>
      <c r="B578" s="10" t="s">
        <v>13</v>
      </c>
      <c r="C578" s="10" t="s">
        <v>14</v>
      </c>
      <c r="D578" s="10" t="s">
        <v>15</v>
      </c>
      <c r="E578" s="4">
        <v>5</v>
      </c>
      <c r="F578" s="4">
        <v>2270</v>
      </c>
      <c r="G578" s="9">
        <v>546.55999999999995</v>
      </c>
    </row>
    <row r="579" spans="1:7" ht="15.6" x14ac:dyDescent="0.3">
      <c r="A579" s="16">
        <v>45114</v>
      </c>
      <c r="B579" s="10" t="s">
        <v>22</v>
      </c>
      <c r="C579" s="10" t="s">
        <v>11</v>
      </c>
      <c r="D579" s="10" t="s">
        <v>16</v>
      </c>
      <c r="E579" s="4">
        <v>2</v>
      </c>
      <c r="F579" s="4">
        <v>1354</v>
      </c>
      <c r="G579" s="9">
        <v>136.91</v>
      </c>
    </row>
    <row r="580" spans="1:7" ht="15.6" x14ac:dyDescent="0.3">
      <c r="A580" s="16">
        <v>45036</v>
      </c>
      <c r="B580" s="10" t="s">
        <v>18</v>
      </c>
      <c r="C580" s="10" t="s">
        <v>11</v>
      </c>
      <c r="D580" s="10" t="s">
        <v>16</v>
      </c>
      <c r="E580" s="4">
        <v>7</v>
      </c>
      <c r="F580" s="4">
        <v>6811</v>
      </c>
      <c r="G580" s="9">
        <v>1423.57</v>
      </c>
    </row>
    <row r="581" spans="1:7" ht="15.6" x14ac:dyDescent="0.3">
      <c r="A581" s="16">
        <v>44601</v>
      </c>
      <c r="B581" s="10" t="s">
        <v>19</v>
      </c>
      <c r="C581" s="10" t="s">
        <v>14</v>
      </c>
      <c r="D581" s="10" t="s">
        <v>12</v>
      </c>
      <c r="E581" s="4">
        <v>3</v>
      </c>
      <c r="F581" s="4">
        <v>1410</v>
      </c>
      <c r="G581" s="9">
        <v>232.65</v>
      </c>
    </row>
    <row r="582" spans="1:7" ht="15.6" x14ac:dyDescent="0.3">
      <c r="A582" s="16">
        <v>44851</v>
      </c>
      <c r="B582" s="10" t="s">
        <v>22</v>
      </c>
      <c r="C582" s="10" t="s">
        <v>11</v>
      </c>
      <c r="D582" s="10" t="s">
        <v>9</v>
      </c>
      <c r="E582" s="4">
        <v>2</v>
      </c>
      <c r="F582" s="4">
        <v>1170</v>
      </c>
      <c r="G582" s="9">
        <v>249.99</v>
      </c>
    </row>
    <row r="583" spans="1:7" ht="15.6" x14ac:dyDescent="0.3">
      <c r="A583" s="16">
        <v>45142</v>
      </c>
      <c r="B583" s="10" t="s">
        <v>23</v>
      </c>
      <c r="C583" s="10" t="s">
        <v>14</v>
      </c>
      <c r="D583" s="10" t="s">
        <v>12</v>
      </c>
      <c r="E583" s="4">
        <v>7</v>
      </c>
      <c r="F583" s="4">
        <v>4739</v>
      </c>
      <c r="G583" s="9">
        <v>740.74</v>
      </c>
    </row>
    <row r="584" spans="1:7" ht="15.6" x14ac:dyDescent="0.3">
      <c r="A584" s="16">
        <v>45261</v>
      </c>
      <c r="B584" s="10" t="s">
        <v>10</v>
      </c>
      <c r="C584" s="10" t="s">
        <v>11</v>
      </c>
      <c r="D584" s="10" t="s">
        <v>15</v>
      </c>
      <c r="E584" s="4">
        <v>9</v>
      </c>
      <c r="F584" s="4">
        <v>7866</v>
      </c>
      <c r="G584" s="9">
        <v>1554.38</v>
      </c>
    </row>
    <row r="585" spans="1:7" ht="15.6" x14ac:dyDescent="0.3">
      <c r="A585" s="16">
        <v>44773</v>
      </c>
      <c r="B585" s="10" t="s">
        <v>20</v>
      </c>
      <c r="C585" s="10" t="s">
        <v>11</v>
      </c>
      <c r="D585" s="10" t="s">
        <v>12</v>
      </c>
      <c r="E585" s="4">
        <v>5</v>
      </c>
      <c r="F585" s="4">
        <v>3645</v>
      </c>
      <c r="G585" s="9">
        <v>388.31</v>
      </c>
    </row>
    <row r="586" spans="1:7" ht="15.6" x14ac:dyDescent="0.3">
      <c r="A586" s="16">
        <v>44981</v>
      </c>
      <c r="B586" s="10" t="s">
        <v>18</v>
      </c>
      <c r="C586" s="10" t="s">
        <v>11</v>
      </c>
      <c r="D586" s="10" t="s">
        <v>12</v>
      </c>
      <c r="E586" s="4">
        <v>6</v>
      </c>
      <c r="F586" s="4">
        <v>5358</v>
      </c>
      <c r="G586" s="9">
        <v>568.34</v>
      </c>
    </row>
    <row r="587" spans="1:7" ht="15.6" x14ac:dyDescent="0.3">
      <c r="A587" s="16">
        <v>45430</v>
      </c>
      <c r="B587" s="10" t="s">
        <v>17</v>
      </c>
      <c r="C587" s="10" t="s">
        <v>14</v>
      </c>
      <c r="D587" s="10" t="s">
        <v>9</v>
      </c>
      <c r="E587" s="4">
        <v>5</v>
      </c>
      <c r="F587" s="4">
        <v>1775</v>
      </c>
      <c r="G587" s="9">
        <v>486.37</v>
      </c>
    </row>
    <row r="588" spans="1:7" ht="15.6" x14ac:dyDescent="0.3">
      <c r="A588" s="16">
        <v>45065</v>
      </c>
      <c r="B588" s="10" t="s">
        <v>18</v>
      </c>
      <c r="C588" s="10" t="s">
        <v>11</v>
      </c>
      <c r="D588" s="10" t="s">
        <v>15</v>
      </c>
      <c r="E588" s="4">
        <v>9</v>
      </c>
      <c r="F588" s="4">
        <v>4905</v>
      </c>
      <c r="G588" s="9">
        <v>1351.25</v>
      </c>
    </row>
    <row r="589" spans="1:7" ht="15.6" x14ac:dyDescent="0.3">
      <c r="A589" s="16">
        <v>44833</v>
      </c>
      <c r="B589" s="10" t="s">
        <v>10</v>
      </c>
      <c r="C589" s="10" t="s">
        <v>11</v>
      </c>
      <c r="D589" s="10" t="s">
        <v>12</v>
      </c>
      <c r="E589" s="4">
        <v>6</v>
      </c>
      <c r="F589" s="4">
        <v>4260</v>
      </c>
      <c r="G589" s="9">
        <v>372.33</v>
      </c>
    </row>
    <row r="590" spans="1:7" ht="15.6" x14ac:dyDescent="0.3">
      <c r="A590" s="16">
        <v>45538</v>
      </c>
      <c r="B590" s="10" t="s">
        <v>7</v>
      </c>
      <c r="C590" s="10" t="s">
        <v>8</v>
      </c>
      <c r="D590" s="10" t="s">
        <v>12</v>
      </c>
      <c r="E590" s="4">
        <v>2</v>
      </c>
      <c r="F590" s="4">
        <v>1632</v>
      </c>
      <c r="G590" s="9">
        <v>292.77999999999997</v>
      </c>
    </row>
    <row r="591" spans="1:7" ht="15.6" x14ac:dyDescent="0.3">
      <c r="A591" s="16">
        <v>44997</v>
      </c>
      <c r="B591" s="10" t="s">
        <v>19</v>
      </c>
      <c r="C591" s="10" t="s">
        <v>14</v>
      </c>
      <c r="D591" s="10" t="s">
        <v>12</v>
      </c>
      <c r="E591" s="4">
        <v>6</v>
      </c>
      <c r="F591" s="4">
        <v>3324</v>
      </c>
      <c r="G591" s="9">
        <v>466.78</v>
      </c>
    </row>
    <row r="592" spans="1:7" ht="15.6" x14ac:dyDescent="0.3">
      <c r="A592" s="16">
        <v>45124</v>
      </c>
      <c r="B592" s="10" t="s">
        <v>17</v>
      </c>
      <c r="C592" s="10" t="s">
        <v>14</v>
      </c>
      <c r="D592" s="10" t="s">
        <v>16</v>
      </c>
      <c r="E592" s="4">
        <v>5</v>
      </c>
      <c r="F592" s="4">
        <v>4590</v>
      </c>
      <c r="G592" s="9">
        <v>347.14</v>
      </c>
    </row>
    <row r="593" spans="1:7" ht="15.6" x14ac:dyDescent="0.3">
      <c r="A593" s="16">
        <v>44665</v>
      </c>
      <c r="B593" s="10" t="s">
        <v>23</v>
      </c>
      <c r="C593" s="10" t="s">
        <v>14</v>
      </c>
      <c r="D593" s="10" t="s">
        <v>12</v>
      </c>
      <c r="E593" s="4">
        <v>9</v>
      </c>
      <c r="F593" s="4">
        <v>8496</v>
      </c>
      <c r="G593" s="9">
        <v>2182.42</v>
      </c>
    </row>
    <row r="594" spans="1:7" ht="15.6" x14ac:dyDescent="0.3">
      <c r="A594" s="16">
        <v>44728</v>
      </c>
      <c r="B594" s="10" t="s">
        <v>7</v>
      </c>
      <c r="C594" s="10" t="s">
        <v>8</v>
      </c>
      <c r="D594" s="10" t="s">
        <v>9</v>
      </c>
      <c r="E594" s="4">
        <v>6</v>
      </c>
      <c r="F594" s="4">
        <v>6444</v>
      </c>
      <c r="G594" s="9">
        <v>518.79</v>
      </c>
    </row>
    <row r="595" spans="1:7" ht="15.6" x14ac:dyDescent="0.3">
      <c r="A595" s="16">
        <v>44634</v>
      </c>
      <c r="B595" s="10" t="s">
        <v>17</v>
      </c>
      <c r="C595" s="10" t="s">
        <v>14</v>
      </c>
      <c r="D595" s="10" t="s">
        <v>9</v>
      </c>
      <c r="E595" s="4">
        <v>1</v>
      </c>
      <c r="F595" s="4">
        <v>812</v>
      </c>
      <c r="G595" s="9">
        <v>51.13</v>
      </c>
    </row>
    <row r="596" spans="1:7" ht="15.6" x14ac:dyDescent="0.3">
      <c r="A596" s="16">
        <v>45122</v>
      </c>
      <c r="B596" s="10" t="s">
        <v>20</v>
      </c>
      <c r="C596" s="10" t="s">
        <v>11</v>
      </c>
      <c r="D596" s="10" t="s">
        <v>16</v>
      </c>
      <c r="E596" s="4">
        <v>6</v>
      </c>
      <c r="F596" s="4">
        <v>1764</v>
      </c>
      <c r="G596" s="9">
        <v>465.93</v>
      </c>
    </row>
    <row r="597" spans="1:7" ht="15.6" x14ac:dyDescent="0.3">
      <c r="A597" s="16">
        <v>45425</v>
      </c>
      <c r="B597" s="10" t="s">
        <v>7</v>
      </c>
      <c r="C597" s="10" t="s">
        <v>8</v>
      </c>
      <c r="D597" s="10" t="s">
        <v>16</v>
      </c>
      <c r="E597" s="4">
        <v>1</v>
      </c>
      <c r="F597" s="4">
        <v>1012</v>
      </c>
      <c r="G597" s="9">
        <v>172.67</v>
      </c>
    </row>
    <row r="598" spans="1:7" ht="15.6" x14ac:dyDescent="0.3">
      <c r="A598" s="16">
        <v>45049</v>
      </c>
      <c r="B598" s="10" t="s">
        <v>22</v>
      </c>
      <c r="C598" s="10" t="s">
        <v>11</v>
      </c>
      <c r="D598" s="10" t="s">
        <v>15</v>
      </c>
      <c r="E598" s="4">
        <v>2</v>
      </c>
      <c r="F598" s="4">
        <v>836</v>
      </c>
      <c r="G598" s="9">
        <v>47.07</v>
      </c>
    </row>
    <row r="599" spans="1:7" ht="15.6" x14ac:dyDescent="0.3">
      <c r="A599" s="16">
        <v>45289</v>
      </c>
      <c r="B599" s="10" t="s">
        <v>19</v>
      </c>
      <c r="C599" s="10" t="s">
        <v>14</v>
      </c>
      <c r="D599" s="10" t="s">
        <v>12</v>
      </c>
      <c r="E599" s="4">
        <v>1</v>
      </c>
      <c r="F599" s="4">
        <v>723</v>
      </c>
      <c r="G599" s="9">
        <v>115.26</v>
      </c>
    </row>
    <row r="600" spans="1:7" ht="15.6" x14ac:dyDescent="0.3">
      <c r="A600" s="16">
        <v>44900</v>
      </c>
      <c r="B600" s="10" t="s">
        <v>18</v>
      </c>
      <c r="C600" s="10" t="s">
        <v>11</v>
      </c>
      <c r="D600" s="10" t="s">
        <v>9</v>
      </c>
      <c r="E600" s="4">
        <v>6</v>
      </c>
      <c r="F600" s="4">
        <v>5628</v>
      </c>
      <c r="G600" s="9">
        <v>1033.1500000000001</v>
      </c>
    </row>
    <row r="601" spans="1:7" ht="15.6" x14ac:dyDescent="0.3">
      <c r="A601" s="16">
        <v>45561</v>
      </c>
      <c r="B601" s="10" t="s">
        <v>23</v>
      </c>
      <c r="C601" s="10" t="s">
        <v>14</v>
      </c>
      <c r="D601" s="10" t="s">
        <v>9</v>
      </c>
      <c r="E601" s="4">
        <v>5</v>
      </c>
      <c r="F601" s="4">
        <v>1660</v>
      </c>
      <c r="G601" s="9">
        <v>283.14</v>
      </c>
    </row>
    <row r="602" spans="1:7" ht="15.6" x14ac:dyDescent="0.3">
      <c r="A602" s="16">
        <v>45013</v>
      </c>
      <c r="B602" s="10" t="s">
        <v>18</v>
      </c>
      <c r="C602" s="10" t="s">
        <v>11</v>
      </c>
      <c r="D602" s="10" t="s">
        <v>16</v>
      </c>
      <c r="E602" s="4">
        <v>3</v>
      </c>
      <c r="F602" s="4">
        <v>2295</v>
      </c>
      <c r="G602" s="9">
        <v>244.83</v>
      </c>
    </row>
    <row r="603" spans="1:7" ht="15.6" x14ac:dyDescent="0.3">
      <c r="A603" s="16">
        <v>45401</v>
      </c>
      <c r="B603" s="10" t="s">
        <v>7</v>
      </c>
      <c r="C603" s="10" t="s">
        <v>8</v>
      </c>
      <c r="D603" s="10" t="s">
        <v>12</v>
      </c>
      <c r="E603" s="4">
        <v>2</v>
      </c>
      <c r="F603" s="4">
        <v>2190</v>
      </c>
      <c r="G603" s="9">
        <v>477.8</v>
      </c>
    </row>
    <row r="604" spans="1:7" ht="15.6" x14ac:dyDescent="0.3">
      <c r="A604" s="16">
        <v>45576</v>
      </c>
      <c r="B604" s="10" t="s">
        <v>13</v>
      </c>
      <c r="C604" s="10" t="s">
        <v>14</v>
      </c>
      <c r="D604" s="10" t="s">
        <v>12</v>
      </c>
      <c r="E604" s="4">
        <v>7</v>
      </c>
      <c r="F604" s="4">
        <v>3500</v>
      </c>
      <c r="G604" s="9">
        <v>919.35</v>
      </c>
    </row>
    <row r="605" spans="1:7" ht="15.6" x14ac:dyDescent="0.3">
      <c r="A605" s="16">
        <v>44674</v>
      </c>
      <c r="B605" s="10" t="s">
        <v>18</v>
      </c>
      <c r="C605" s="10" t="s">
        <v>11</v>
      </c>
      <c r="D605" s="10" t="s">
        <v>16</v>
      </c>
      <c r="E605" s="4">
        <v>2</v>
      </c>
      <c r="F605" s="4">
        <v>1098</v>
      </c>
      <c r="G605" s="9">
        <v>239.92</v>
      </c>
    </row>
    <row r="606" spans="1:7" ht="15.6" x14ac:dyDescent="0.3">
      <c r="A606" s="16">
        <v>45078</v>
      </c>
      <c r="B606" s="10" t="s">
        <v>10</v>
      </c>
      <c r="C606" s="10" t="s">
        <v>11</v>
      </c>
      <c r="D606" s="10" t="s">
        <v>9</v>
      </c>
      <c r="E606" s="4">
        <v>5</v>
      </c>
      <c r="F606" s="4">
        <v>945</v>
      </c>
      <c r="G606" s="9">
        <v>194.03</v>
      </c>
    </row>
    <row r="607" spans="1:7" ht="15.6" x14ac:dyDescent="0.3">
      <c r="A607" s="16">
        <v>44611</v>
      </c>
      <c r="B607" s="10" t="s">
        <v>10</v>
      </c>
      <c r="C607" s="10" t="s">
        <v>11</v>
      </c>
      <c r="D607" s="10" t="s">
        <v>16</v>
      </c>
      <c r="E607" s="4">
        <v>6</v>
      </c>
      <c r="F607" s="4">
        <v>5622</v>
      </c>
      <c r="G607" s="9">
        <v>1382.67</v>
      </c>
    </row>
    <row r="608" spans="1:7" ht="15.6" x14ac:dyDescent="0.3">
      <c r="A608" s="16">
        <v>45120</v>
      </c>
      <c r="B608" s="10" t="s">
        <v>17</v>
      </c>
      <c r="C608" s="10" t="s">
        <v>14</v>
      </c>
      <c r="D608" s="10" t="s">
        <v>12</v>
      </c>
      <c r="E608" s="4">
        <v>3</v>
      </c>
      <c r="F608" s="4">
        <v>2325</v>
      </c>
      <c r="G608" s="9">
        <v>309.49</v>
      </c>
    </row>
    <row r="609" spans="1:7" ht="15.6" x14ac:dyDescent="0.3">
      <c r="A609" s="16">
        <v>44776</v>
      </c>
      <c r="B609" s="10" t="s">
        <v>22</v>
      </c>
      <c r="C609" s="10" t="s">
        <v>11</v>
      </c>
      <c r="D609" s="10" t="s">
        <v>15</v>
      </c>
      <c r="E609" s="4">
        <v>1</v>
      </c>
      <c r="F609" s="4">
        <v>1157</v>
      </c>
      <c r="G609" s="9">
        <v>252.08</v>
      </c>
    </row>
    <row r="610" spans="1:7" ht="15.6" x14ac:dyDescent="0.3">
      <c r="A610" s="16">
        <v>45321</v>
      </c>
      <c r="B610" s="10" t="s">
        <v>7</v>
      </c>
      <c r="C610" s="10" t="s">
        <v>8</v>
      </c>
      <c r="D610" s="10" t="s">
        <v>16</v>
      </c>
      <c r="E610" s="4">
        <v>3</v>
      </c>
      <c r="F610" s="4">
        <v>531</v>
      </c>
      <c r="G610" s="9">
        <v>126.24</v>
      </c>
    </row>
    <row r="611" spans="1:7" ht="15.6" x14ac:dyDescent="0.3">
      <c r="A611" s="16">
        <v>45130</v>
      </c>
      <c r="B611" s="10" t="s">
        <v>13</v>
      </c>
      <c r="C611" s="10" t="s">
        <v>14</v>
      </c>
      <c r="D611" s="10" t="s">
        <v>16</v>
      </c>
      <c r="E611" s="4">
        <v>2</v>
      </c>
      <c r="F611" s="4">
        <v>1760</v>
      </c>
      <c r="G611" s="9">
        <v>278.08999999999997</v>
      </c>
    </row>
    <row r="612" spans="1:7" ht="15.6" x14ac:dyDescent="0.3">
      <c r="A612" s="16">
        <v>45242</v>
      </c>
      <c r="B612" s="10" t="s">
        <v>19</v>
      </c>
      <c r="C612" s="10" t="s">
        <v>14</v>
      </c>
      <c r="D612" s="10" t="s">
        <v>9</v>
      </c>
      <c r="E612" s="4">
        <v>1</v>
      </c>
      <c r="F612" s="4">
        <v>371</v>
      </c>
      <c r="G612" s="9">
        <v>108.58</v>
      </c>
    </row>
    <row r="613" spans="1:7" ht="15.6" x14ac:dyDescent="0.3">
      <c r="A613" s="16">
        <v>45580</v>
      </c>
      <c r="B613" s="10" t="s">
        <v>21</v>
      </c>
      <c r="C613" s="10" t="s">
        <v>14</v>
      </c>
      <c r="D613" s="10" t="s">
        <v>12</v>
      </c>
      <c r="E613" s="4">
        <v>4</v>
      </c>
      <c r="F613" s="4">
        <v>1896</v>
      </c>
      <c r="G613" s="9">
        <v>191.7</v>
      </c>
    </row>
    <row r="614" spans="1:7" ht="15.6" x14ac:dyDescent="0.3">
      <c r="A614" s="16">
        <v>45147</v>
      </c>
      <c r="B614" s="10" t="s">
        <v>19</v>
      </c>
      <c r="C614" s="10" t="s">
        <v>14</v>
      </c>
      <c r="D614" s="10" t="s">
        <v>15</v>
      </c>
      <c r="E614" s="4">
        <v>2</v>
      </c>
      <c r="F614" s="4">
        <v>514</v>
      </c>
      <c r="G614" s="9">
        <v>106.75</v>
      </c>
    </row>
    <row r="615" spans="1:7" ht="15.6" x14ac:dyDescent="0.3">
      <c r="A615" s="16">
        <v>44791</v>
      </c>
      <c r="B615" s="10" t="s">
        <v>20</v>
      </c>
      <c r="C615" s="10" t="s">
        <v>11</v>
      </c>
      <c r="D615" s="10" t="s">
        <v>16</v>
      </c>
      <c r="E615" s="4">
        <v>7</v>
      </c>
      <c r="F615" s="4">
        <v>1876</v>
      </c>
      <c r="G615" s="9">
        <v>129.25</v>
      </c>
    </row>
    <row r="616" spans="1:7" ht="15.6" x14ac:dyDescent="0.3">
      <c r="A616" s="16">
        <v>45157</v>
      </c>
      <c r="B616" s="10" t="s">
        <v>17</v>
      </c>
      <c r="C616" s="10" t="s">
        <v>14</v>
      </c>
      <c r="D616" s="10" t="s">
        <v>12</v>
      </c>
      <c r="E616" s="4">
        <v>6</v>
      </c>
      <c r="F616" s="4">
        <v>1182</v>
      </c>
      <c r="G616" s="9">
        <v>236.12</v>
      </c>
    </row>
    <row r="617" spans="1:7" ht="15.6" x14ac:dyDescent="0.3">
      <c r="A617" s="16">
        <v>44634</v>
      </c>
      <c r="B617" s="10" t="s">
        <v>21</v>
      </c>
      <c r="C617" s="10" t="s">
        <v>14</v>
      </c>
      <c r="D617" s="10" t="s">
        <v>9</v>
      </c>
      <c r="E617" s="4">
        <v>5</v>
      </c>
      <c r="F617" s="4">
        <v>4255</v>
      </c>
      <c r="G617" s="9">
        <v>961.41</v>
      </c>
    </row>
    <row r="618" spans="1:7" ht="15.6" x14ac:dyDescent="0.3">
      <c r="A618" s="16">
        <v>44819</v>
      </c>
      <c r="B618" s="10" t="s">
        <v>20</v>
      </c>
      <c r="C618" s="10" t="s">
        <v>11</v>
      </c>
      <c r="D618" s="10" t="s">
        <v>9</v>
      </c>
      <c r="E618" s="4">
        <v>9</v>
      </c>
      <c r="F618" s="4">
        <v>1341</v>
      </c>
      <c r="G618" s="9">
        <v>150.69999999999999</v>
      </c>
    </row>
    <row r="619" spans="1:7" ht="15.6" x14ac:dyDescent="0.3">
      <c r="A619" s="16">
        <v>44827</v>
      </c>
      <c r="B619" s="10" t="s">
        <v>22</v>
      </c>
      <c r="C619" s="10" t="s">
        <v>11</v>
      </c>
      <c r="D619" s="10" t="s">
        <v>9</v>
      </c>
      <c r="E619" s="4">
        <v>1</v>
      </c>
      <c r="F619" s="4">
        <v>644</v>
      </c>
      <c r="G619" s="9">
        <v>49.25</v>
      </c>
    </row>
    <row r="620" spans="1:7" ht="15.6" x14ac:dyDescent="0.3">
      <c r="A620" s="16">
        <v>45429</v>
      </c>
      <c r="B620" s="10" t="s">
        <v>20</v>
      </c>
      <c r="C620" s="10" t="s">
        <v>11</v>
      </c>
      <c r="D620" s="10" t="s">
        <v>15</v>
      </c>
      <c r="E620" s="4">
        <v>3</v>
      </c>
      <c r="F620" s="4">
        <v>1827</v>
      </c>
      <c r="G620" s="9">
        <v>94.4</v>
      </c>
    </row>
    <row r="621" spans="1:7" ht="15.6" x14ac:dyDescent="0.3">
      <c r="A621" s="16">
        <v>45592</v>
      </c>
      <c r="B621" s="10" t="s">
        <v>17</v>
      </c>
      <c r="C621" s="10" t="s">
        <v>14</v>
      </c>
      <c r="D621" s="10" t="s">
        <v>9</v>
      </c>
      <c r="E621" s="4">
        <v>1</v>
      </c>
      <c r="F621" s="4">
        <v>930</v>
      </c>
      <c r="G621" s="9">
        <v>136.16</v>
      </c>
    </row>
    <row r="622" spans="1:7" ht="15.6" x14ac:dyDescent="0.3">
      <c r="A622" s="16">
        <v>44607</v>
      </c>
      <c r="B622" s="10" t="s">
        <v>17</v>
      </c>
      <c r="C622" s="10" t="s">
        <v>14</v>
      </c>
      <c r="D622" s="10" t="s">
        <v>15</v>
      </c>
      <c r="E622" s="4">
        <v>4</v>
      </c>
      <c r="F622" s="4">
        <v>528</v>
      </c>
      <c r="G622" s="9">
        <v>152.80000000000001</v>
      </c>
    </row>
    <row r="623" spans="1:7" ht="15.6" x14ac:dyDescent="0.3">
      <c r="A623" s="16">
        <v>44615</v>
      </c>
      <c r="B623" s="10" t="s">
        <v>20</v>
      </c>
      <c r="C623" s="10" t="s">
        <v>11</v>
      </c>
      <c r="D623" s="10" t="s">
        <v>15</v>
      </c>
      <c r="E623" s="4">
        <v>6</v>
      </c>
      <c r="F623" s="4">
        <v>4236</v>
      </c>
      <c r="G623" s="9">
        <v>739.22</v>
      </c>
    </row>
    <row r="624" spans="1:7" ht="15.6" x14ac:dyDescent="0.3">
      <c r="A624" s="16">
        <v>44940</v>
      </c>
      <c r="B624" s="10" t="s">
        <v>18</v>
      </c>
      <c r="C624" s="10" t="s">
        <v>11</v>
      </c>
      <c r="D624" s="10" t="s">
        <v>9</v>
      </c>
      <c r="E624" s="4">
        <v>4</v>
      </c>
      <c r="F624" s="4">
        <v>1664</v>
      </c>
      <c r="G624" s="9">
        <v>190.82</v>
      </c>
    </row>
    <row r="625" spans="1:7" ht="15.6" x14ac:dyDescent="0.3">
      <c r="A625" s="16">
        <v>44938</v>
      </c>
      <c r="B625" s="10" t="s">
        <v>19</v>
      </c>
      <c r="C625" s="10" t="s">
        <v>14</v>
      </c>
      <c r="D625" s="10" t="s">
        <v>9</v>
      </c>
      <c r="E625" s="4">
        <v>3</v>
      </c>
      <c r="F625" s="4">
        <v>2727</v>
      </c>
      <c r="G625" s="9">
        <v>554.46</v>
      </c>
    </row>
    <row r="626" spans="1:7" ht="15.6" x14ac:dyDescent="0.3">
      <c r="A626" s="16">
        <v>44600</v>
      </c>
      <c r="B626" s="10" t="s">
        <v>19</v>
      </c>
      <c r="C626" s="10" t="s">
        <v>14</v>
      </c>
      <c r="D626" s="10" t="s">
        <v>9</v>
      </c>
      <c r="E626" s="4">
        <v>2</v>
      </c>
      <c r="F626" s="4">
        <v>522</v>
      </c>
      <c r="G626" s="9">
        <v>52.73</v>
      </c>
    </row>
    <row r="627" spans="1:7" ht="15.6" x14ac:dyDescent="0.3">
      <c r="A627" s="16">
        <v>45632</v>
      </c>
      <c r="B627" s="10" t="s">
        <v>10</v>
      </c>
      <c r="C627" s="10" t="s">
        <v>11</v>
      </c>
      <c r="D627" s="10" t="s">
        <v>16</v>
      </c>
      <c r="E627" s="4">
        <v>7</v>
      </c>
      <c r="F627" s="4">
        <v>8288</v>
      </c>
      <c r="G627" s="9">
        <v>1945.03</v>
      </c>
    </row>
    <row r="628" spans="1:7" ht="15.6" x14ac:dyDescent="0.3">
      <c r="A628" s="16">
        <v>45363</v>
      </c>
      <c r="B628" s="10" t="s">
        <v>23</v>
      </c>
      <c r="C628" s="10" t="s">
        <v>14</v>
      </c>
      <c r="D628" s="10" t="s">
        <v>16</v>
      </c>
      <c r="E628" s="4">
        <v>9</v>
      </c>
      <c r="F628" s="4">
        <v>1062</v>
      </c>
      <c r="G628" s="9">
        <v>73.58</v>
      </c>
    </row>
    <row r="629" spans="1:7" ht="15.6" x14ac:dyDescent="0.3">
      <c r="A629" s="16">
        <v>45200</v>
      </c>
      <c r="B629" s="10" t="s">
        <v>21</v>
      </c>
      <c r="C629" s="10" t="s">
        <v>14</v>
      </c>
      <c r="D629" s="10" t="s">
        <v>12</v>
      </c>
      <c r="E629" s="4">
        <v>3</v>
      </c>
      <c r="F629" s="4">
        <v>1140</v>
      </c>
      <c r="G629" s="9">
        <v>226.52</v>
      </c>
    </row>
    <row r="630" spans="1:7" ht="15.6" x14ac:dyDescent="0.3">
      <c r="A630" s="16">
        <v>45394</v>
      </c>
      <c r="B630" s="10" t="s">
        <v>22</v>
      </c>
      <c r="C630" s="10" t="s">
        <v>11</v>
      </c>
      <c r="D630" s="10" t="s">
        <v>12</v>
      </c>
      <c r="E630" s="4">
        <v>8</v>
      </c>
      <c r="F630" s="4">
        <v>3488</v>
      </c>
      <c r="G630" s="9">
        <v>712.24</v>
      </c>
    </row>
    <row r="631" spans="1:7" ht="15.6" x14ac:dyDescent="0.3">
      <c r="A631" s="16">
        <v>45282</v>
      </c>
      <c r="B631" s="10" t="s">
        <v>13</v>
      </c>
      <c r="C631" s="10" t="s">
        <v>14</v>
      </c>
      <c r="D631" s="10" t="s">
        <v>9</v>
      </c>
      <c r="E631" s="4">
        <v>8</v>
      </c>
      <c r="F631" s="4">
        <v>5920</v>
      </c>
      <c r="G631" s="9">
        <v>1436.7</v>
      </c>
    </row>
    <row r="632" spans="1:7" ht="15.6" x14ac:dyDescent="0.3">
      <c r="A632" s="16">
        <v>45357</v>
      </c>
      <c r="B632" s="10" t="s">
        <v>20</v>
      </c>
      <c r="C632" s="10" t="s">
        <v>11</v>
      </c>
      <c r="D632" s="10" t="s">
        <v>9</v>
      </c>
      <c r="E632" s="4">
        <v>9</v>
      </c>
      <c r="F632" s="4">
        <v>3096</v>
      </c>
      <c r="G632" s="9">
        <v>362.89</v>
      </c>
    </row>
    <row r="633" spans="1:7" ht="15.6" x14ac:dyDescent="0.3">
      <c r="A633" s="16">
        <v>45414</v>
      </c>
      <c r="B633" s="10" t="s">
        <v>20</v>
      </c>
      <c r="C633" s="10" t="s">
        <v>11</v>
      </c>
      <c r="D633" s="10" t="s">
        <v>15</v>
      </c>
      <c r="E633" s="4">
        <v>5</v>
      </c>
      <c r="F633" s="4">
        <v>3490</v>
      </c>
      <c r="G633" s="9">
        <v>205.04</v>
      </c>
    </row>
    <row r="634" spans="1:7" ht="15.6" x14ac:dyDescent="0.3">
      <c r="A634" s="16">
        <v>44653</v>
      </c>
      <c r="B634" s="10" t="s">
        <v>19</v>
      </c>
      <c r="C634" s="10" t="s">
        <v>14</v>
      </c>
      <c r="D634" s="10" t="s">
        <v>15</v>
      </c>
      <c r="E634" s="4">
        <v>6</v>
      </c>
      <c r="F634" s="4">
        <v>4374</v>
      </c>
      <c r="G634" s="9">
        <v>702.62</v>
      </c>
    </row>
    <row r="635" spans="1:7" ht="15.6" x14ac:dyDescent="0.3">
      <c r="A635" s="16">
        <v>45333</v>
      </c>
      <c r="B635" s="10" t="s">
        <v>21</v>
      </c>
      <c r="C635" s="10" t="s">
        <v>14</v>
      </c>
      <c r="D635" s="10" t="s">
        <v>15</v>
      </c>
      <c r="E635" s="4">
        <v>6</v>
      </c>
      <c r="F635" s="4">
        <v>3366</v>
      </c>
      <c r="G635" s="9">
        <v>541.86</v>
      </c>
    </row>
    <row r="636" spans="1:7" ht="15.6" x14ac:dyDescent="0.3">
      <c r="A636" s="16">
        <v>45384</v>
      </c>
      <c r="B636" s="10" t="s">
        <v>7</v>
      </c>
      <c r="C636" s="10" t="s">
        <v>8</v>
      </c>
      <c r="D636" s="10" t="s">
        <v>12</v>
      </c>
      <c r="E636" s="4">
        <v>6</v>
      </c>
      <c r="F636" s="4">
        <v>822</v>
      </c>
      <c r="G636" s="9">
        <v>231.62</v>
      </c>
    </row>
    <row r="637" spans="1:7" ht="15.6" x14ac:dyDescent="0.3">
      <c r="A637" s="16">
        <v>45623</v>
      </c>
      <c r="B637" s="10" t="s">
        <v>20</v>
      </c>
      <c r="C637" s="10" t="s">
        <v>11</v>
      </c>
      <c r="D637" s="10" t="s">
        <v>9</v>
      </c>
      <c r="E637" s="4">
        <v>2</v>
      </c>
      <c r="F637" s="4">
        <v>340</v>
      </c>
      <c r="G637" s="9">
        <v>39.119999999999997</v>
      </c>
    </row>
    <row r="638" spans="1:7" ht="15.6" x14ac:dyDescent="0.3">
      <c r="A638" s="16">
        <v>44803</v>
      </c>
      <c r="B638" s="10" t="s">
        <v>10</v>
      </c>
      <c r="C638" s="10" t="s">
        <v>11</v>
      </c>
      <c r="D638" s="10" t="s">
        <v>12</v>
      </c>
      <c r="E638" s="4">
        <v>1</v>
      </c>
      <c r="F638" s="4">
        <v>763</v>
      </c>
      <c r="G638" s="9">
        <v>217.94</v>
      </c>
    </row>
    <row r="639" spans="1:7" ht="15.6" x14ac:dyDescent="0.3">
      <c r="A639" s="16">
        <v>44757</v>
      </c>
      <c r="B639" s="10" t="s">
        <v>18</v>
      </c>
      <c r="C639" s="10" t="s">
        <v>11</v>
      </c>
      <c r="D639" s="10" t="s">
        <v>16</v>
      </c>
      <c r="E639" s="4">
        <v>4</v>
      </c>
      <c r="F639" s="4">
        <v>3408</v>
      </c>
      <c r="G639" s="9">
        <v>856.98</v>
      </c>
    </row>
    <row r="640" spans="1:7" ht="15.6" x14ac:dyDescent="0.3">
      <c r="A640" s="16">
        <v>44613</v>
      </c>
      <c r="B640" s="10" t="s">
        <v>13</v>
      </c>
      <c r="C640" s="10" t="s">
        <v>14</v>
      </c>
      <c r="D640" s="10" t="s">
        <v>16</v>
      </c>
      <c r="E640" s="4">
        <v>7</v>
      </c>
      <c r="F640" s="4">
        <v>2282</v>
      </c>
      <c r="G640" s="9">
        <v>537.71</v>
      </c>
    </row>
    <row r="641" spans="1:7" ht="15.6" x14ac:dyDescent="0.3">
      <c r="A641" s="16">
        <v>45183</v>
      </c>
      <c r="B641" s="10" t="s">
        <v>17</v>
      </c>
      <c r="C641" s="10" t="s">
        <v>14</v>
      </c>
      <c r="D641" s="10" t="s">
        <v>15</v>
      </c>
      <c r="E641" s="4">
        <v>7</v>
      </c>
      <c r="F641" s="4">
        <v>4151</v>
      </c>
      <c r="G641" s="9">
        <v>1047.43</v>
      </c>
    </row>
    <row r="642" spans="1:7" ht="15.6" x14ac:dyDescent="0.3">
      <c r="A642" s="16">
        <v>45390</v>
      </c>
      <c r="B642" s="10" t="s">
        <v>23</v>
      </c>
      <c r="C642" s="10" t="s">
        <v>14</v>
      </c>
      <c r="D642" s="10" t="s">
        <v>9</v>
      </c>
      <c r="E642" s="4">
        <v>7</v>
      </c>
      <c r="F642" s="4">
        <v>6279</v>
      </c>
      <c r="G642" s="9">
        <v>1689.55</v>
      </c>
    </row>
    <row r="643" spans="1:7" ht="15.6" x14ac:dyDescent="0.3">
      <c r="A643" s="16">
        <v>45223</v>
      </c>
      <c r="B643" s="10" t="s">
        <v>20</v>
      </c>
      <c r="C643" s="10" t="s">
        <v>11</v>
      </c>
      <c r="D643" s="10" t="s">
        <v>9</v>
      </c>
      <c r="E643" s="4">
        <v>3</v>
      </c>
      <c r="F643" s="4">
        <v>474</v>
      </c>
      <c r="G643" s="9">
        <v>83.32</v>
      </c>
    </row>
    <row r="644" spans="1:7" ht="15.6" x14ac:dyDescent="0.3">
      <c r="A644" s="16">
        <v>45032</v>
      </c>
      <c r="B644" s="10" t="s">
        <v>20</v>
      </c>
      <c r="C644" s="10" t="s">
        <v>11</v>
      </c>
      <c r="D644" s="10" t="s">
        <v>16</v>
      </c>
      <c r="E644" s="4">
        <v>5</v>
      </c>
      <c r="F644" s="4">
        <v>680</v>
      </c>
      <c r="G644" s="9">
        <v>176.44</v>
      </c>
    </row>
    <row r="645" spans="1:7" ht="15.6" x14ac:dyDescent="0.3">
      <c r="A645" s="16">
        <v>45214</v>
      </c>
      <c r="B645" s="10" t="s">
        <v>18</v>
      </c>
      <c r="C645" s="10" t="s">
        <v>11</v>
      </c>
      <c r="D645" s="10" t="s">
        <v>16</v>
      </c>
      <c r="E645" s="4">
        <v>9</v>
      </c>
      <c r="F645" s="4">
        <v>8496</v>
      </c>
      <c r="G645" s="9">
        <v>1721.6</v>
      </c>
    </row>
    <row r="646" spans="1:7" ht="15.6" x14ac:dyDescent="0.3">
      <c r="A646" s="16">
        <v>45158</v>
      </c>
      <c r="B646" s="10" t="s">
        <v>22</v>
      </c>
      <c r="C646" s="10" t="s">
        <v>11</v>
      </c>
      <c r="D646" s="10" t="s">
        <v>15</v>
      </c>
      <c r="E646" s="4">
        <v>7</v>
      </c>
      <c r="F646" s="4">
        <v>7826</v>
      </c>
      <c r="G646" s="9">
        <v>714.68</v>
      </c>
    </row>
    <row r="647" spans="1:7" ht="15.6" x14ac:dyDescent="0.3">
      <c r="A647" s="16">
        <v>45223</v>
      </c>
      <c r="B647" s="10" t="s">
        <v>10</v>
      </c>
      <c r="C647" s="10" t="s">
        <v>11</v>
      </c>
      <c r="D647" s="10" t="s">
        <v>15</v>
      </c>
      <c r="E647" s="4">
        <v>6</v>
      </c>
      <c r="F647" s="4">
        <v>4014</v>
      </c>
      <c r="G647" s="9">
        <v>717.44</v>
      </c>
    </row>
    <row r="648" spans="1:7" ht="15.6" x14ac:dyDescent="0.3">
      <c r="A648" s="16">
        <v>45499</v>
      </c>
      <c r="B648" s="10" t="s">
        <v>23</v>
      </c>
      <c r="C648" s="10" t="s">
        <v>14</v>
      </c>
      <c r="D648" s="10" t="s">
        <v>12</v>
      </c>
      <c r="E648" s="4">
        <v>1</v>
      </c>
      <c r="F648" s="4">
        <v>687</v>
      </c>
      <c r="G648" s="9">
        <v>62.82</v>
      </c>
    </row>
    <row r="649" spans="1:7" ht="15.6" x14ac:dyDescent="0.3">
      <c r="A649" s="16">
        <v>45596</v>
      </c>
      <c r="B649" s="10" t="s">
        <v>19</v>
      </c>
      <c r="C649" s="10" t="s">
        <v>14</v>
      </c>
      <c r="D649" s="10" t="s">
        <v>15</v>
      </c>
      <c r="E649" s="4">
        <v>3</v>
      </c>
      <c r="F649" s="4">
        <v>2943</v>
      </c>
      <c r="G649" s="9">
        <v>234.27</v>
      </c>
    </row>
    <row r="650" spans="1:7" ht="15.6" x14ac:dyDescent="0.3">
      <c r="A650" s="16">
        <v>44679</v>
      </c>
      <c r="B650" s="10" t="s">
        <v>7</v>
      </c>
      <c r="C650" s="10" t="s">
        <v>8</v>
      </c>
      <c r="D650" s="10" t="s">
        <v>12</v>
      </c>
      <c r="E650" s="4">
        <v>7</v>
      </c>
      <c r="F650" s="4">
        <v>5649</v>
      </c>
      <c r="G650" s="9">
        <v>660.37</v>
      </c>
    </row>
    <row r="651" spans="1:7" ht="15.6" x14ac:dyDescent="0.3">
      <c r="A651" s="16">
        <v>45519</v>
      </c>
      <c r="B651" s="10" t="s">
        <v>13</v>
      </c>
      <c r="C651" s="10" t="s">
        <v>14</v>
      </c>
      <c r="D651" s="10" t="s">
        <v>9</v>
      </c>
      <c r="E651" s="4">
        <v>8</v>
      </c>
      <c r="F651" s="4">
        <v>3296</v>
      </c>
      <c r="G651" s="9">
        <v>623.66999999999996</v>
      </c>
    </row>
    <row r="652" spans="1:7" ht="15.6" x14ac:dyDescent="0.3">
      <c r="A652" s="16">
        <v>45563</v>
      </c>
      <c r="B652" s="10" t="s">
        <v>18</v>
      </c>
      <c r="C652" s="10" t="s">
        <v>11</v>
      </c>
      <c r="D652" s="10" t="s">
        <v>9</v>
      </c>
      <c r="E652" s="4">
        <v>3</v>
      </c>
      <c r="F652" s="4">
        <v>1137</v>
      </c>
      <c r="G652" s="9">
        <v>173.92</v>
      </c>
    </row>
    <row r="653" spans="1:7" ht="15.6" x14ac:dyDescent="0.3">
      <c r="A653" s="16">
        <v>45491</v>
      </c>
      <c r="B653" s="10" t="s">
        <v>21</v>
      </c>
      <c r="C653" s="10" t="s">
        <v>14</v>
      </c>
      <c r="D653" s="10" t="s">
        <v>9</v>
      </c>
      <c r="E653" s="4">
        <v>2</v>
      </c>
      <c r="F653" s="4">
        <v>380</v>
      </c>
      <c r="G653" s="9">
        <v>101.7</v>
      </c>
    </row>
    <row r="654" spans="1:7" ht="15.6" x14ac:dyDescent="0.3">
      <c r="A654" s="16">
        <v>44856</v>
      </c>
      <c r="B654" s="10" t="s">
        <v>23</v>
      </c>
      <c r="C654" s="10" t="s">
        <v>14</v>
      </c>
      <c r="D654" s="10" t="s">
        <v>16</v>
      </c>
      <c r="E654" s="4">
        <v>5</v>
      </c>
      <c r="F654" s="4">
        <v>4405</v>
      </c>
      <c r="G654" s="9">
        <v>1247.8599999999999</v>
      </c>
    </row>
    <row r="655" spans="1:7" ht="15.6" x14ac:dyDescent="0.3">
      <c r="A655" s="16">
        <v>44866</v>
      </c>
      <c r="B655" s="10" t="s">
        <v>13</v>
      </c>
      <c r="C655" s="10" t="s">
        <v>14</v>
      </c>
      <c r="D655" s="10" t="s">
        <v>12</v>
      </c>
      <c r="E655" s="4">
        <v>1</v>
      </c>
      <c r="F655" s="4">
        <v>120</v>
      </c>
      <c r="G655" s="9">
        <v>9.43</v>
      </c>
    </row>
    <row r="656" spans="1:7" ht="15.6" x14ac:dyDescent="0.3">
      <c r="A656" s="16">
        <v>45090</v>
      </c>
      <c r="B656" s="10" t="s">
        <v>7</v>
      </c>
      <c r="C656" s="10" t="s">
        <v>8</v>
      </c>
      <c r="D656" s="10" t="s">
        <v>12</v>
      </c>
      <c r="E656" s="4">
        <v>1</v>
      </c>
      <c r="F656" s="4">
        <v>1176</v>
      </c>
      <c r="G656" s="9">
        <v>182.07</v>
      </c>
    </row>
    <row r="657" spans="1:7" ht="15.6" x14ac:dyDescent="0.3">
      <c r="A657" s="16">
        <v>44977</v>
      </c>
      <c r="B657" s="10" t="s">
        <v>17</v>
      </c>
      <c r="C657" s="10" t="s">
        <v>14</v>
      </c>
      <c r="D657" s="10" t="s">
        <v>15</v>
      </c>
      <c r="E657" s="4">
        <v>3</v>
      </c>
      <c r="F657" s="4">
        <v>1770</v>
      </c>
      <c r="G657" s="9">
        <v>366.58</v>
      </c>
    </row>
    <row r="658" spans="1:7" ht="15.6" x14ac:dyDescent="0.3">
      <c r="A658" s="16">
        <v>45066</v>
      </c>
      <c r="B658" s="10" t="s">
        <v>17</v>
      </c>
      <c r="C658" s="10" t="s">
        <v>14</v>
      </c>
      <c r="D658" s="10" t="s">
        <v>15</v>
      </c>
      <c r="E658" s="4">
        <v>6</v>
      </c>
      <c r="F658" s="4">
        <v>4302</v>
      </c>
      <c r="G658" s="9">
        <v>965.02</v>
      </c>
    </row>
    <row r="659" spans="1:7" ht="15.6" x14ac:dyDescent="0.3">
      <c r="A659" s="16">
        <v>45279</v>
      </c>
      <c r="B659" s="10" t="s">
        <v>17</v>
      </c>
      <c r="C659" s="10" t="s">
        <v>14</v>
      </c>
      <c r="D659" s="10" t="s">
        <v>9</v>
      </c>
      <c r="E659" s="4">
        <v>3</v>
      </c>
      <c r="F659" s="4">
        <v>2988</v>
      </c>
      <c r="G659" s="9">
        <v>362.68</v>
      </c>
    </row>
    <row r="660" spans="1:7" ht="15.6" x14ac:dyDescent="0.3">
      <c r="A660" s="16">
        <v>45460</v>
      </c>
      <c r="B660" s="10" t="s">
        <v>18</v>
      </c>
      <c r="C660" s="10" t="s">
        <v>11</v>
      </c>
      <c r="D660" s="10" t="s">
        <v>12</v>
      </c>
      <c r="E660" s="4">
        <v>3</v>
      </c>
      <c r="F660" s="4">
        <v>3033</v>
      </c>
      <c r="G660" s="9">
        <v>458.41</v>
      </c>
    </row>
    <row r="661" spans="1:7" ht="15.6" x14ac:dyDescent="0.3">
      <c r="A661" s="16">
        <v>45121</v>
      </c>
      <c r="B661" s="10" t="s">
        <v>10</v>
      </c>
      <c r="C661" s="10" t="s">
        <v>11</v>
      </c>
      <c r="D661" s="10" t="s">
        <v>15</v>
      </c>
      <c r="E661" s="4">
        <v>9</v>
      </c>
      <c r="F661" s="4">
        <v>6363</v>
      </c>
      <c r="G661" s="9">
        <v>1752.65</v>
      </c>
    </row>
    <row r="662" spans="1:7" ht="15.6" x14ac:dyDescent="0.3">
      <c r="A662" s="16">
        <v>44746</v>
      </c>
      <c r="B662" s="10" t="s">
        <v>13</v>
      </c>
      <c r="C662" s="10" t="s">
        <v>14</v>
      </c>
      <c r="D662" s="10" t="s">
        <v>16</v>
      </c>
      <c r="E662" s="4">
        <v>6</v>
      </c>
      <c r="F662" s="4">
        <v>3402</v>
      </c>
      <c r="G662" s="9">
        <v>501.29</v>
      </c>
    </row>
    <row r="663" spans="1:7" ht="15.6" x14ac:dyDescent="0.3">
      <c r="A663" s="16">
        <v>44643</v>
      </c>
      <c r="B663" s="10" t="s">
        <v>22</v>
      </c>
      <c r="C663" s="10" t="s">
        <v>11</v>
      </c>
      <c r="D663" s="10" t="s">
        <v>15</v>
      </c>
      <c r="E663" s="4">
        <v>4</v>
      </c>
      <c r="F663" s="4">
        <v>3496</v>
      </c>
      <c r="G663" s="9">
        <v>1032.81</v>
      </c>
    </row>
    <row r="664" spans="1:7" ht="15.6" x14ac:dyDescent="0.3">
      <c r="A664" s="16">
        <v>44884</v>
      </c>
      <c r="B664" s="10" t="s">
        <v>20</v>
      </c>
      <c r="C664" s="10" t="s">
        <v>11</v>
      </c>
      <c r="D664" s="10" t="s">
        <v>12</v>
      </c>
      <c r="E664" s="4">
        <v>4</v>
      </c>
      <c r="F664" s="4">
        <v>1080</v>
      </c>
      <c r="G664" s="9">
        <v>204.95</v>
      </c>
    </row>
    <row r="665" spans="1:7" ht="15.6" x14ac:dyDescent="0.3">
      <c r="A665" s="16">
        <v>44620</v>
      </c>
      <c r="B665" s="10" t="s">
        <v>18</v>
      </c>
      <c r="C665" s="10" t="s">
        <v>11</v>
      </c>
      <c r="D665" s="10" t="s">
        <v>12</v>
      </c>
      <c r="E665" s="4">
        <v>6</v>
      </c>
      <c r="F665" s="4">
        <v>1530</v>
      </c>
      <c r="G665" s="9">
        <v>218.99</v>
      </c>
    </row>
    <row r="666" spans="1:7" ht="15.6" x14ac:dyDescent="0.3">
      <c r="A666" s="16">
        <v>45180</v>
      </c>
      <c r="B666" s="10" t="s">
        <v>22</v>
      </c>
      <c r="C666" s="10" t="s">
        <v>11</v>
      </c>
      <c r="D666" s="10" t="s">
        <v>16</v>
      </c>
      <c r="E666" s="4">
        <v>4</v>
      </c>
      <c r="F666" s="4">
        <v>3568</v>
      </c>
      <c r="G666" s="9">
        <v>764.2</v>
      </c>
    </row>
    <row r="667" spans="1:7" ht="15.6" x14ac:dyDescent="0.3">
      <c r="A667" s="16">
        <v>44878</v>
      </c>
      <c r="B667" s="10" t="s">
        <v>21</v>
      </c>
      <c r="C667" s="10" t="s">
        <v>14</v>
      </c>
      <c r="D667" s="10" t="s">
        <v>16</v>
      </c>
      <c r="E667" s="4">
        <v>1</v>
      </c>
      <c r="F667" s="4">
        <v>954</v>
      </c>
      <c r="G667" s="9">
        <v>48.97</v>
      </c>
    </row>
    <row r="668" spans="1:7" ht="15.6" x14ac:dyDescent="0.3">
      <c r="A668" s="16">
        <v>45368</v>
      </c>
      <c r="B668" s="10" t="s">
        <v>17</v>
      </c>
      <c r="C668" s="10" t="s">
        <v>14</v>
      </c>
      <c r="D668" s="10" t="s">
        <v>16</v>
      </c>
      <c r="E668" s="4">
        <v>4</v>
      </c>
      <c r="F668" s="4">
        <v>1196</v>
      </c>
      <c r="G668" s="9">
        <v>223.66</v>
      </c>
    </row>
    <row r="669" spans="1:7" ht="15.6" x14ac:dyDescent="0.3">
      <c r="A669" s="16">
        <v>44605</v>
      </c>
      <c r="B669" s="10" t="s">
        <v>19</v>
      </c>
      <c r="C669" s="10" t="s">
        <v>14</v>
      </c>
      <c r="D669" s="10" t="s">
        <v>9</v>
      </c>
      <c r="E669" s="4">
        <v>4</v>
      </c>
      <c r="F669" s="4">
        <v>2136</v>
      </c>
      <c r="G669" s="9">
        <v>217.47</v>
      </c>
    </row>
    <row r="670" spans="1:7" ht="15.6" x14ac:dyDescent="0.3">
      <c r="A670" s="16">
        <v>45486</v>
      </c>
      <c r="B670" s="10" t="s">
        <v>7</v>
      </c>
      <c r="C670" s="10" t="s">
        <v>8</v>
      </c>
      <c r="D670" s="10" t="s">
        <v>15</v>
      </c>
      <c r="E670" s="4">
        <v>9</v>
      </c>
      <c r="F670" s="4">
        <v>8496</v>
      </c>
      <c r="G670" s="9">
        <v>2316.0300000000002</v>
      </c>
    </row>
    <row r="671" spans="1:7" ht="15.6" x14ac:dyDescent="0.3">
      <c r="A671" s="16">
        <v>45419</v>
      </c>
      <c r="B671" s="10" t="s">
        <v>23</v>
      </c>
      <c r="C671" s="10" t="s">
        <v>14</v>
      </c>
      <c r="D671" s="10" t="s">
        <v>16</v>
      </c>
      <c r="E671" s="4">
        <v>7</v>
      </c>
      <c r="F671" s="4">
        <v>7280</v>
      </c>
      <c r="G671" s="9">
        <v>1450.82</v>
      </c>
    </row>
    <row r="672" spans="1:7" ht="15.6" x14ac:dyDescent="0.3">
      <c r="A672" s="16">
        <v>44828</v>
      </c>
      <c r="B672" s="10" t="s">
        <v>19</v>
      </c>
      <c r="C672" s="10" t="s">
        <v>14</v>
      </c>
      <c r="D672" s="10" t="s">
        <v>15</v>
      </c>
      <c r="E672" s="4">
        <v>5</v>
      </c>
      <c r="F672" s="4">
        <v>4935</v>
      </c>
      <c r="G672" s="9">
        <v>625.39</v>
      </c>
    </row>
    <row r="673" spans="1:7" ht="15.6" x14ac:dyDescent="0.3">
      <c r="A673" s="16">
        <v>45516</v>
      </c>
      <c r="B673" s="10" t="s">
        <v>13</v>
      </c>
      <c r="C673" s="10" t="s">
        <v>14</v>
      </c>
      <c r="D673" s="10" t="s">
        <v>15</v>
      </c>
      <c r="E673" s="4">
        <v>8</v>
      </c>
      <c r="F673" s="4">
        <v>9056</v>
      </c>
      <c r="G673" s="9">
        <v>872.48</v>
      </c>
    </row>
    <row r="674" spans="1:7" ht="15.6" x14ac:dyDescent="0.3">
      <c r="A674" s="16">
        <v>44932</v>
      </c>
      <c r="B674" s="10" t="s">
        <v>19</v>
      </c>
      <c r="C674" s="10" t="s">
        <v>14</v>
      </c>
      <c r="D674" s="10" t="s">
        <v>15</v>
      </c>
      <c r="E674" s="4">
        <v>1</v>
      </c>
      <c r="F674" s="4">
        <v>563</v>
      </c>
      <c r="G674" s="9">
        <v>46.96</v>
      </c>
    </row>
    <row r="675" spans="1:7" ht="15.6" x14ac:dyDescent="0.3">
      <c r="A675" s="16">
        <v>44623</v>
      </c>
      <c r="B675" s="10" t="s">
        <v>7</v>
      </c>
      <c r="C675" s="10" t="s">
        <v>8</v>
      </c>
      <c r="D675" s="10" t="s">
        <v>15</v>
      </c>
      <c r="E675" s="4">
        <v>2</v>
      </c>
      <c r="F675" s="4">
        <v>1570</v>
      </c>
      <c r="G675" s="9">
        <v>247.7</v>
      </c>
    </row>
    <row r="676" spans="1:7" ht="15.6" x14ac:dyDescent="0.3">
      <c r="A676" s="16">
        <v>44622</v>
      </c>
      <c r="B676" s="10" t="s">
        <v>17</v>
      </c>
      <c r="C676" s="10" t="s">
        <v>14</v>
      </c>
      <c r="D676" s="10" t="s">
        <v>9</v>
      </c>
      <c r="E676" s="4">
        <v>3</v>
      </c>
      <c r="F676" s="4">
        <v>2181</v>
      </c>
      <c r="G676" s="9">
        <v>517.02</v>
      </c>
    </row>
    <row r="677" spans="1:7" ht="15.6" x14ac:dyDescent="0.3">
      <c r="A677" s="16">
        <v>45560</v>
      </c>
      <c r="B677" s="10" t="s">
        <v>10</v>
      </c>
      <c r="C677" s="10" t="s">
        <v>11</v>
      </c>
      <c r="D677" s="10" t="s">
        <v>9</v>
      </c>
      <c r="E677" s="4">
        <v>4</v>
      </c>
      <c r="F677" s="4">
        <v>3808</v>
      </c>
      <c r="G677" s="9">
        <v>442.33</v>
      </c>
    </row>
    <row r="678" spans="1:7" ht="15.6" x14ac:dyDescent="0.3">
      <c r="A678" s="16">
        <v>44901</v>
      </c>
      <c r="B678" s="10" t="s">
        <v>22</v>
      </c>
      <c r="C678" s="10" t="s">
        <v>11</v>
      </c>
      <c r="D678" s="10" t="s">
        <v>16</v>
      </c>
      <c r="E678" s="4">
        <v>7</v>
      </c>
      <c r="F678" s="4">
        <v>6552</v>
      </c>
      <c r="G678" s="9">
        <v>635.09</v>
      </c>
    </row>
    <row r="679" spans="1:7" ht="15.6" x14ac:dyDescent="0.3">
      <c r="A679" s="16">
        <v>45095</v>
      </c>
      <c r="B679" s="10" t="s">
        <v>23</v>
      </c>
      <c r="C679" s="10" t="s">
        <v>14</v>
      </c>
      <c r="D679" s="10" t="s">
        <v>15</v>
      </c>
      <c r="E679" s="4">
        <v>8</v>
      </c>
      <c r="F679" s="4">
        <v>6544</v>
      </c>
      <c r="G679" s="9">
        <v>1086.29</v>
      </c>
    </row>
    <row r="680" spans="1:7" ht="15.6" x14ac:dyDescent="0.3">
      <c r="A680" s="16">
        <v>45251</v>
      </c>
      <c r="B680" s="10" t="s">
        <v>10</v>
      </c>
      <c r="C680" s="10" t="s">
        <v>11</v>
      </c>
      <c r="D680" s="10" t="s">
        <v>16</v>
      </c>
      <c r="E680" s="4">
        <v>3</v>
      </c>
      <c r="F680" s="4">
        <v>2631</v>
      </c>
      <c r="G680" s="9">
        <v>157.19</v>
      </c>
    </row>
    <row r="681" spans="1:7" ht="15.6" x14ac:dyDescent="0.3">
      <c r="A681" s="16">
        <v>45016</v>
      </c>
      <c r="B681" s="10" t="s">
        <v>20</v>
      </c>
      <c r="C681" s="10" t="s">
        <v>11</v>
      </c>
      <c r="D681" s="10" t="s">
        <v>16</v>
      </c>
      <c r="E681" s="4">
        <v>9</v>
      </c>
      <c r="F681" s="4">
        <v>945</v>
      </c>
      <c r="G681" s="9">
        <v>94.75</v>
      </c>
    </row>
    <row r="682" spans="1:7" ht="15.6" x14ac:dyDescent="0.3">
      <c r="A682" s="16">
        <v>45454</v>
      </c>
      <c r="B682" s="10" t="s">
        <v>20</v>
      </c>
      <c r="C682" s="10" t="s">
        <v>11</v>
      </c>
      <c r="D682" s="10" t="s">
        <v>16</v>
      </c>
      <c r="E682" s="4">
        <v>2</v>
      </c>
      <c r="F682" s="4">
        <v>760</v>
      </c>
      <c r="G682" s="9">
        <v>192.42</v>
      </c>
    </row>
    <row r="683" spans="1:7" ht="15.6" x14ac:dyDescent="0.3">
      <c r="A683" s="16">
        <v>45041</v>
      </c>
      <c r="B683" s="10" t="s">
        <v>20</v>
      </c>
      <c r="C683" s="10" t="s">
        <v>11</v>
      </c>
      <c r="D683" s="10" t="s">
        <v>9</v>
      </c>
      <c r="E683" s="4">
        <v>4</v>
      </c>
      <c r="F683" s="4">
        <v>1392</v>
      </c>
      <c r="G683" s="9">
        <v>394.48</v>
      </c>
    </row>
    <row r="684" spans="1:7" ht="15.6" x14ac:dyDescent="0.3">
      <c r="A684" s="16">
        <v>44912</v>
      </c>
      <c r="B684" s="10" t="s">
        <v>19</v>
      </c>
      <c r="C684" s="10" t="s">
        <v>14</v>
      </c>
      <c r="D684" s="10" t="s">
        <v>12</v>
      </c>
      <c r="E684" s="4">
        <v>3</v>
      </c>
      <c r="F684" s="4">
        <v>1242</v>
      </c>
      <c r="G684" s="9">
        <v>206.74</v>
      </c>
    </row>
    <row r="685" spans="1:7" ht="15.6" x14ac:dyDescent="0.3">
      <c r="A685" s="16">
        <v>45478</v>
      </c>
      <c r="B685" s="10" t="s">
        <v>23</v>
      </c>
      <c r="C685" s="10" t="s">
        <v>14</v>
      </c>
      <c r="D685" s="10" t="s">
        <v>12</v>
      </c>
      <c r="E685" s="4">
        <v>3</v>
      </c>
      <c r="F685" s="4">
        <v>3183</v>
      </c>
      <c r="G685" s="9">
        <v>868.73</v>
      </c>
    </row>
    <row r="686" spans="1:7" ht="15.6" x14ac:dyDescent="0.3">
      <c r="A686" s="16">
        <v>45023</v>
      </c>
      <c r="B686" s="10" t="s">
        <v>20</v>
      </c>
      <c r="C686" s="10" t="s">
        <v>11</v>
      </c>
      <c r="D686" s="10" t="s">
        <v>16</v>
      </c>
      <c r="E686" s="4">
        <v>5</v>
      </c>
      <c r="F686" s="4">
        <v>4260</v>
      </c>
      <c r="G686" s="9">
        <v>229.77</v>
      </c>
    </row>
    <row r="687" spans="1:7" ht="15.6" x14ac:dyDescent="0.3">
      <c r="A687" s="16">
        <v>44768</v>
      </c>
      <c r="B687" s="10" t="s">
        <v>21</v>
      </c>
      <c r="C687" s="10" t="s">
        <v>14</v>
      </c>
      <c r="D687" s="10" t="s">
        <v>16</v>
      </c>
      <c r="E687" s="4">
        <v>1</v>
      </c>
      <c r="F687" s="4">
        <v>1041</v>
      </c>
      <c r="G687" s="9">
        <v>132.46</v>
      </c>
    </row>
    <row r="688" spans="1:7" ht="15.6" x14ac:dyDescent="0.3">
      <c r="A688" s="16">
        <v>44699</v>
      </c>
      <c r="B688" s="10" t="s">
        <v>19</v>
      </c>
      <c r="C688" s="10" t="s">
        <v>14</v>
      </c>
      <c r="D688" s="10" t="s">
        <v>12</v>
      </c>
      <c r="E688" s="4">
        <v>3</v>
      </c>
      <c r="F688" s="4">
        <v>1692</v>
      </c>
      <c r="G688" s="9">
        <v>348.81</v>
      </c>
    </row>
    <row r="689" spans="1:7" ht="15.6" x14ac:dyDescent="0.3">
      <c r="A689" s="16">
        <v>44635</v>
      </c>
      <c r="B689" s="10" t="s">
        <v>17</v>
      </c>
      <c r="C689" s="10" t="s">
        <v>14</v>
      </c>
      <c r="D689" s="10" t="s">
        <v>9</v>
      </c>
      <c r="E689" s="4">
        <v>4</v>
      </c>
      <c r="F689" s="4">
        <v>1728</v>
      </c>
      <c r="G689" s="9">
        <v>403.06</v>
      </c>
    </row>
    <row r="690" spans="1:7" ht="15.6" x14ac:dyDescent="0.3">
      <c r="A690" s="16">
        <v>45212</v>
      </c>
      <c r="B690" s="10" t="s">
        <v>17</v>
      </c>
      <c r="C690" s="10" t="s">
        <v>14</v>
      </c>
      <c r="D690" s="10" t="s">
        <v>15</v>
      </c>
      <c r="E690" s="4">
        <v>4</v>
      </c>
      <c r="F690" s="4">
        <v>4484</v>
      </c>
      <c r="G690" s="9">
        <v>893.27</v>
      </c>
    </row>
    <row r="691" spans="1:7" ht="15.6" x14ac:dyDescent="0.3">
      <c r="A691" s="16">
        <v>45462</v>
      </c>
      <c r="B691" s="10" t="s">
        <v>21</v>
      </c>
      <c r="C691" s="10" t="s">
        <v>14</v>
      </c>
      <c r="D691" s="10" t="s">
        <v>12</v>
      </c>
      <c r="E691" s="4">
        <v>7</v>
      </c>
      <c r="F691" s="4">
        <v>4123</v>
      </c>
      <c r="G691" s="9">
        <v>750.05</v>
      </c>
    </row>
    <row r="692" spans="1:7" ht="15.6" x14ac:dyDescent="0.3">
      <c r="A692" s="16">
        <v>45599</v>
      </c>
      <c r="B692" s="10" t="s">
        <v>10</v>
      </c>
      <c r="C692" s="10" t="s">
        <v>11</v>
      </c>
      <c r="D692" s="10" t="s">
        <v>12</v>
      </c>
      <c r="E692" s="4">
        <v>2</v>
      </c>
      <c r="F692" s="4">
        <v>2372</v>
      </c>
      <c r="G692" s="9">
        <v>392.07</v>
      </c>
    </row>
    <row r="693" spans="1:7" ht="15.6" x14ac:dyDescent="0.3">
      <c r="A693" s="16">
        <v>45032</v>
      </c>
      <c r="B693" s="10" t="s">
        <v>21</v>
      </c>
      <c r="C693" s="10" t="s">
        <v>14</v>
      </c>
      <c r="D693" s="10" t="s">
        <v>12</v>
      </c>
      <c r="E693" s="4">
        <v>7</v>
      </c>
      <c r="F693" s="4">
        <v>5201</v>
      </c>
      <c r="G693" s="9">
        <v>745.2</v>
      </c>
    </row>
    <row r="694" spans="1:7" ht="15.6" x14ac:dyDescent="0.3">
      <c r="A694" s="16">
        <v>45562</v>
      </c>
      <c r="B694" s="10" t="s">
        <v>10</v>
      </c>
      <c r="C694" s="10" t="s">
        <v>11</v>
      </c>
      <c r="D694" s="10" t="s">
        <v>15</v>
      </c>
      <c r="E694" s="4">
        <v>5</v>
      </c>
      <c r="F694" s="4">
        <v>3100</v>
      </c>
      <c r="G694" s="9">
        <v>695.28</v>
      </c>
    </row>
    <row r="695" spans="1:7" ht="15.6" x14ac:dyDescent="0.3">
      <c r="A695" s="16">
        <v>44754</v>
      </c>
      <c r="B695" s="10" t="s">
        <v>19</v>
      </c>
      <c r="C695" s="10" t="s">
        <v>14</v>
      </c>
      <c r="D695" s="10" t="s">
        <v>12</v>
      </c>
      <c r="E695" s="4">
        <v>6</v>
      </c>
      <c r="F695" s="4">
        <v>5292</v>
      </c>
      <c r="G695" s="9">
        <v>1105.95</v>
      </c>
    </row>
    <row r="696" spans="1:7" ht="15.6" x14ac:dyDescent="0.3">
      <c r="A696" s="16">
        <v>44991</v>
      </c>
      <c r="B696" s="10" t="s">
        <v>13</v>
      </c>
      <c r="C696" s="10" t="s">
        <v>14</v>
      </c>
      <c r="D696" s="10" t="s">
        <v>15</v>
      </c>
      <c r="E696" s="4">
        <v>6</v>
      </c>
      <c r="F696" s="4">
        <v>5952</v>
      </c>
      <c r="G696" s="9">
        <v>971.53</v>
      </c>
    </row>
    <row r="697" spans="1:7" ht="15.6" x14ac:dyDescent="0.3">
      <c r="A697" s="16">
        <v>44936</v>
      </c>
      <c r="B697" s="10" t="s">
        <v>21</v>
      </c>
      <c r="C697" s="10" t="s">
        <v>14</v>
      </c>
      <c r="D697" s="10" t="s">
        <v>12</v>
      </c>
      <c r="E697" s="4">
        <v>4</v>
      </c>
      <c r="F697" s="4">
        <v>1932</v>
      </c>
      <c r="G697" s="9">
        <v>472.91</v>
      </c>
    </row>
    <row r="698" spans="1:7" ht="15.6" x14ac:dyDescent="0.3">
      <c r="A698" s="16">
        <v>45204</v>
      </c>
      <c r="B698" s="10" t="s">
        <v>13</v>
      </c>
      <c r="C698" s="10" t="s">
        <v>14</v>
      </c>
      <c r="D698" s="10" t="s">
        <v>16</v>
      </c>
      <c r="E698" s="4">
        <v>6</v>
      </c>
      <c r="F698" s="4">
        <v>3486</v>
      </c>
      <c r="G698" s="9">
        <v>1011.74</v>
      </c>
    </row>
    <row r="699" spans="1:7" ht="15.6" x14ac:dyDescent="0.3">
      <c r="A699" s="16">
        <v>45437</v>
      </c>
      <c r="B699" s="10" t="s">
        <v>13</v>
      </c>
      <c r="C699" s="10" t="s">
        <v>14</v>
      </c>
      <c r="D699" s="10" t="s">
        <v>16</v>
      </c>
      <c r="E699" s="4">
        <v>2</v>
      </c>
      <c r="F699" s="4">
        <v>1708</v>
      </c>
      <c r="G699" s="9">
        <v>441.43</v>
      </c>
    </row>
    <row r="700" spans="1:7" ht="15.6" x14ac:dyDescent="0.3">
      <c r="A700" s="16">
        <v>45547</v>
      </c>
      <c r="B700" s="10" t="s">
        <v>20</v>
      </c>
      <c r="C700" s="10" t="s">
        <v>11</v>
      </c>
      <c r="D700" s="10" t="s">
        <v>15</v>
      </c>
      <c r="E700" s="4">
        <v>4</v>
      </c>
      <c r="F700" s="4">
        <v>4324</v>
      </c>
      <c r="G700" s="9">
        <v>288.12</v>
      </c>
    </row>
    <row r="701" spans="1:7" ht="15.6" x14ac:dyDescent="0.3">
      <c r="A701" s="16">
        <v>45503</v>
      </c>
      <c r="B701" s="10" t="s">
        <v>23</v>
      </c>
      <c r="C701" s="10" t="s">
        <v>14</v>
      </c>
      <c r="D701" s="10" t="s">
        <v>15</v>
      </c>
      <c r="E701" s="4">
        <v>4</v>
      </c>
      <c r="F701" s="4">
        <v>2708</v>
      </c>
      <c r="G701" s="9">
        <v>302.14</v>
      </c>
    </row>
    <row r="702" spans="1:7" ht="15.6" x14ac:dyDescent="0.3">
      <c r="A702" s="16">
        <v>44649</v>
      </c>
      <c r="B702" s="10" t="s">
        <v>7</v>
      </c>
      <c r="C702" s="10" t="s">
        <v>8</v>
      </c>
      <c r="D702" s="10" t="s">
        <v>16</v>
      </c>
      <c r="E702" s="4">
        <v>8</v>
      </c>
      <c r="F702" s="4">
        <v>7944</v>
      </c>
      <c r="G702" s="9">
        <v>1142.83</v>
      </c>
    </row>
    <row r="703" spans="1:7" ht="15.6" x14ac:dyDescent="0.3">
      <c r="A703" s="16">
        <v>45026</v>
      </c>
      <c r="B703" s="10" t="s">
        <v>17</v>
      </c>
      <c r="C703" s="10" t="s">
        <v>14</v>
      </c>
      <c r="D703" s="10" t="s">
        <v>12</v>
      </c>
      <c r="E703" s="4">
        <v>3</v>
      </c>
      <c r="F703" s="4">
        <v>684</v>
      </c>
      <c r="G703" s="9">
        <v>39.33</v>
      </c>
    </row>
    <row r="704" spans="1:7" ht="15.6" x14ac:dyDescent="0.3">
      <c r="A704" s="16">
        <v>44927</v>
      </c>
      <c r="B704" s="10" t="s">
        <v>7</v>
      </c>
      <c r="C704" s="10" t="s">
        <v>8</v>
      </c>
      <c r="D704" s="10" t="s">
        <v>16</v>
      </c>
      <c r="E704" s="4">
        <v>9</v>
      </c>
      <c r="F704" s="4">
        <v>5904</v>
      </c>
      <c r="G704" s="9">
        <v>1440.45</v>
      </c>
    </row>
    <row r="705" spans="1:7" ht="15.6" x14ac:dyDescent="0.3">
      <c r="A705" s="16">
        <v>45371</v>
      </c>
      <c r="B705" s="10" t="s">
        <v>7</v>
      </c>
      <c r="C705" s="10" t="s">
        <v>8</v>
      </c>
      <c r="D705" s="10" t="s">
        <v>15</v>
      </c>
      <c r="E705" s="4">
        <v>5</v>
      </c>
      <c r="F705" s="4">
        <v>4970</v>
      </c>
      <c r="G705" s="9">
        <v>1080.1199999999999</v>
      </c>
    </row>
    <row r="706" spans="1:7" ht="15.6" x14ac:dyDescent="0.3">
      <c r="A706" s="16">
        <v>45324</v>
      </c>
      <c r="B706" s="10" t="s">
        <v>18</v>
      </c>
      <c r="C706" s="10" t="s">
        <v>11</v>
      </c>
      <c r="D706" s="10" t="s">
        <v>16</v>
      </c>
      <c r="E706" s="4">
        <v>2</v>
      </c>
      <c r="F706" s="4">
        <v>2288</v>
      </c>
      <c r="G706" s="9">
        <v>234.97</v>
      </c>
    </row>
    <row r="707" spans="1:7" ht="15.6" x14ac:dyDescent="0.3">
      <c r="A707" s="16">
        <v>45125</v>
      </c>
      <c r="B707" s="10" t="s">
        <v>21</v>
      </c>
      <c r="C707" s="10" t="s">
        <v>14</v>
      </c>
      <c r="D707" s="10" t="s">
        <v>12</v>
      </c>
      <c r="E707" s="4">
        <v>6</v>
      </c>
      <c r="F707" s="4">
        <v>4662</v>
      </c>
      <c r="G707" s="9">
        <v>350.79</v>
      </c>
    </row>
    <row r="708" spans="1:7" ht="15.6" x14ac:dyDescent="0.3">
      <c r="A708" s="16">
        <v>44617</v>
      </c>
      <c r="B708" s="10" t="s">
        <v>10</v>
      </c>
      <c r="C708" s="10" t="s">
        <v>11</v>
      </c>
      <c r="D708" s="10" t="s">
        <v>12</v>
      </c>
      <c r="E708" s="4">
        <v>4</v>
      </c>
      <c r="F708" s="4">
        <v>2532</v>
      </c>
      <c r="G708" s="9">
        <v>404.96</v>
      </c>
    </row>
    <row r="709" spans="1:7" ht="15.6" x14ac:dyDescent="0.3">
      <c r="A709" s="16">
        <v>45645</v>
      </c>
      <c r="B709" s="10" t="s">
        <v>13</v>
      </c>
      <c r="C709" s="10" t="s">
        <v>14</v>
      </c>
      <c r="D709" s="10" t="s">
        <v>15</v>
      </c>
      <c r="E709" s="4">
        <v>8</v>
      </c>
      <c r="F709" s="4">
        <v>9328</v>
      </c>
      <c r="G709" s="9">
        <v>1008.6</v>
      </c>
    </row>
    <row r="710" spans="1:7" ht="15.6" x14ac:dyDescent="0.3">
      <c r="A710" s="16">
        <v>44597</v>
      </c>
      <c r="B710" s="10" t="s">
        <v>7</v>
      </c>
      <c r="C710" s="10" t="s">
        <v>8</v>
      </c>
      <c r="D710" s="10" t="s">
        <v>9</v>
      </c>
      <c r="E710" s="4">
        <v>1</v>
      </c>
      <c r="F710" s="4">
        <v>686</v>
      </c>
      <c r="G710" s="9">
        <v>86.18</v>
      </c>
    </row>
    <row r="711" spans="1:7" ht="15.6" x14ac:dyDescent="0.3">
      <c r="A711" s="16">
        <v>45351</v>
      </c>
      <c r="B711" s="10" t="s">
        <v>19</v>
      </c>
      <c r="C711" s="10" t="s">
        <v>14</v>
      </c>
      <c r="D711" s="10" t="s">
        <v>15</v>
      </c>
      <c r="E711" s="4">
        <v>6</v>
      </c>
      <c r="F711" s="4">
        <v>1290</v>
      </c>
      <c r="G711" s="9">
        <v>343.35</v>
      </c>
    </row>
    <row r="712" spans="1:7" ht="15.6" x14ac:dyDescent="0.3">
      <c r="A712" s="16">
        <v>44799</v>
      </c>
      <c r="B712" s="10" t="s">
        <v>7</v>
      </c>
      <c r="C712" s="10" t="s">
        <v>8</v>
      </c>
      <c r="D712" s="10" t="s">
        <v>16</v>
      </c>
      <c r="E712" s="4">
        <v>5</v>
      </c>
      <c r="F712" s="4">
        <v>1205</v>
      </c>
      <c r="G712" s="9">
        <v>235.19</v>
      </c>
    </row>
    <row r="713" spans="1:7" ht="15.6" x14ac:dyDescent="0.3">
      <c r="A713" s="16">
        <v>45552</v>
      </c>
      <c r="B713" s="10" t="s">
        <v>18</v>
      </c>
      <c r="C713" s="10" t="s">
        <v>11</v>
      </c>
      <c r="D713" s="10" t="s">
        <v>15</v>
      </c>
      <c r="E713" s="4">
        <v>7</v>
      </c>
      <c r="F713" s="4">
        <v>7966</v>
      </c>
      <c r="G713" s="9">
        <v>1313.56</v>
      </c>
    </row>
    <row r="714" spans="1:7" ht="15.6" x14ac:dyDescent="0.3">
      <c r="A714" s="16">
        <v>44787</v>
      </c>
      <c r="B714" s="10" t="s">
        <v>17</v>
      </c>
      <c r="C714" s="10" t="s">
        <v>14</v>
      </c>
      <c r="D714" s="10" t="s">
        <v>9</v>
      </c>
      <c r="E714" s="4">
        <v>7</v>
      </c>
      <c r="F714" s="4">
        <v>1085</v>
      </c>
      <c r="G714" s="9">
        <v>130.72</v>
      </c>
    </row>
    <row r="715" spans="1:7" ht="15.6" x14ac:dyDescent="0.3">
      <c r="A715" s="16">
        <v>45533</v>
      </c>
      <c r="B715" s="10" t="s">
        <v>20</v>
      </c>
      <c r="C715" s="10" t="s">
        <v>11</v>
      </c>
      <c r="D715" s="10" t="s">
        <v>16</v>
      </c>
      <c r="E715" s="4">
        <v>9</v>
      </c>
      <c r="F715" s="4">
        <v>6633</v>
      </c>
      <c r="G715" s="9">
        <v>1239.1099999999999</v>
      </c>
    </row>
    <row r="716" spans="1:7" ht="15.6" x14ac:dyDescent="0.3">
      <c r="A716" s="16">
        <v>45617</v>
      </c>
      <c r="B716" s="10" t="s">
        <v>23</v>
      </c>
      <c r="C716" s="10" t="s">
        <v>14</v>
      </c>
      <c r="D716" s="10" t="s">
        <v>9</v>
      </c>
      <c r="E716" s="4">
        <v>7</v>
      </c>
      <c r="F716" s="4">
        <v>5096</v>
      </c>
      <c r="G716" s="9">
        <v>971.5</v>
      </c>
    </row>
    <row r="717" spans="1:7" ht="15.6" x14ac:dyDescent="0.3">
      <c r="A717" s="16">
        <v>44762</v>
      </c>
      <c r="B717" s="10" t="s">
        <v>13</v>
      </c>
      <c r="C717" s="10" t="s">
        <v>14</v>
      </c>
      <c r="D717" s="10" t="s">
        <v>12</v>
      </c>
      <c r="E717" s="4">
        <v>4</v>
      </c>
      <c r="F717" s="4">
        <v>4120</v>
      </c>
      <c r="G717" s="9">
        <v>710.07</v>
      </c>
    </row>
    <row r="718" spans="1:7" ht="15.6" x14ac:dyDescent="0.3">
      <c r="A718" s="16">
        <v>44788</v>
      </c>
      <c r="B718" s="10" t="s">
        <v>20</v>
      </c>
      <c r="C718" s="10" t="s">
        <v>11</v>
      </c>
      <c r="D718" s="10" t="s">
        <v>16</v>
      </c>
      <c r="E718" s="4">
        <v>3</v>
      </c>
      <c r="F718" s="4">
        <v>1479</v>
      </c>
      <c r="G718" s="9">
        <v>207.58</v>
      </c>
    </row>
    <row r="719" spans="1:7" ht="15.6" x14ac:dyDescent="0.3">
      <c r="A719" s="16">
        <v>45391</v>
      </c>
      <c r="B719" s="10" t="s">
        <v>21</v>
      </c>
      <c r="C719" s="10" t="s">
        <v>14</v>
      </c>
      <c r="D719" s="10" t="s">
        <v>16</v>
      </c>
      <c r="E719" s="4">
        <v>7</v>
      </c>
      <c r="F719" s="4">
        <v>1652</v>
      </c>
      <c r="G719" s="9">
        <v>397.49</v>
      </c>
    </row>
    <row r="720" spans="1:7" ht="15.6" x14ac:dyDescent="0.3">
      <c r="A720" s="16">
        <v>44749</v>
      </c>
      <c r="B720" s="10" t="s">
        <v>23</v>
      </c>
      <c r="C720" s="10" t="s">
        <v>14</v>
      </c>
      <c r="D720" s="10" t="s">
        <v>15</v>
      </c>
      <c r="E720" s="4">
        <v>1</v>
      </c>
      <c r="F720" s="4">
        <v>1028</v>
      </c>
      <c r="G720" s="9">
        <v>240.61</v>
      </c>
    </row>
    <row r="721" spans="1:7" ht="15.6" x14ac:dyDescent="0.3">
      <c r="A721" s="16">
        <v>45047</v>
      </c>
      <c r="B721" s="10" t="s">
        <v>20</v>
      </c>
      <c r="C721" s="10" t="s">
        <v>11</v>
      </c>
      <c r="D721" s="10" t="s">
        <v>12</v>
      </c>
      <c r="E721" s="4">
        <v>4</v>
      </c>
      <c r="F721" s="4">
        <v>4580</v>
      </c>
      <c r="G721" s="9">
        <v>655.14</v>
      </c>
    </row>
    <row r="722" spans="1:7" ht="15.6" x14ac:dyDescent="0.3">
      <c r="A722" s="16">
        <v>45319</v>
      </c>
      <c r="B722" s="10" t="s">
        <v>20</v>
      </c>
      <c r="C722" s="10" t="s">
        <v>11</v>
      </c>
      <c r="D722" s="10" t="s">
        <v>15</v>
      </c>
      <c r="E722" s="4">
        <v>8</v>
      </c>
      <c r="F722" s="4">
        <v>2152</v>
      </c>
      <c r="G722" s="9">
        <v>196.53</v>
      </c>
    </row>
    <row r="723" spans="1:7" ht="15.6" x14ac:dyDescent="0.3">
      <c r="A723" s="16">
        <v>44746</v>
      </c>
      <c r="B723" s="10" t="s">
        <v>20</v>
      </c>
      <c r="C723" s="10" t="s">
        <v>11</v>
      </c>
      <c r="D723" s="10" t="s">
        <v>15</v>
      </c>
      <c r="E723" s="4">
        <v>6</v>
      </c>
      <c r="F723" s="4">
        <v>4566</v>
      </c>
      <c r="G723" s="9">
        <v>866.13</v>
      </c>
    </row>
    <row r="724" spans="1:7" ht="15.6" x14ac:dyDescent="0.3">
      <c r="A724" s="16">
        <v>45388</v>
      </c>
      <c r="B724" s="10" t="s">
        <v>18</v>
      </c>
      <c r="C724" s="10" t="s">
        <v>11</v>
      </c>
      <c r="D724" s="10" t="s">
        <v>12</v>
      </c>
      <c r="E724" s="4">
        <v>3</v>
      </c>
      <c r="F724" s="4">
        <v>2244</v>
      </c>
      <c r="G724" s="9">
        <v>301.52999999999997</v>
      </c>
    </row>
    <row r="725" spans="1:7" ht="15.6" x14ac:dyDescent="0.3">
      <c r="A725" s="16">
        <v>45323</v>
      </c>
      <c r="B725" s="10" t="s">
        <v>10</v>
      </c>
      <c r="C725" s="10" t="s">
        <v>11</v>
      </c>
      <c r="D725" s="10" t="s">
        <v>16</v>
      </c>
      <c r="E725" s="4">
        <v>4</v>
      </c>
      <c r="F725" s="4">
        <v>1344</v>
      </c>
      <c r="G725" s="9">
        <v>140.52000000000001</v>
      </c>
    </row>
    <row r="726" spans="1:7" ht="15.6" x14ac:dyDescent="0.3">
      <c r="A726" s="16">
        <v>45200</v>
      </c>
      <c r="B726" s="10" t="s">
        <v>7</v>
      </c>
      <c r="C726" s="10" t="s">
        <v>8</v>
      </c>
      <c r="D726" s="10" t="s">
        <v>15</v>
      </c>
      <c r="E726" s="4">
        <v>6</v>
      </c>
      <c r="F726" s="4">
        <v>2622</v>
      </c>
      <c r="G726" s="9">
        <v>131.53</v>
      </c>
    </row>
    <row r="727" spans="1:7" ht="15.6" x14ac:dyDescent="0.3">
      <c r="A727" s="16">
        <v>44898</v>
      </c>
      <c r="B727" s="10" t="s">
        <v>21</v>
      </c>
      <c r="C727" s="10" t="s">
        <v>14</v>
      </c>
      <c r="D727" s="10" t="s">
        <v>15</v>
      </c>
      <c r="E727" s="4">
        <v>1</v>
      </c>
      <c r="F727" s="4">
        <v>325</v>
      </c>
      <c r="G727" s="9">
        <v>46.84</v>
      </c>
    </row>
    <row r="728" spans="1:7" ht="15.6" x14ac:dyDescent="0.3">
      <c r="A728" s="16">
        <v>45643</v>
      </c>
      <c r="B728" s="10" t="s">
        <v>22</v>
      </c>
      <c r="C728" s="10" t="s">
        <v>11</v>
      </c>
      <c r="D728" s="10" t="s">
        <v>16</v>
      </c>
      <c r="E728" s="4">
        <v>1</v>
      </c>
      <c r="F728" s="4">
        <v>960</v>
      </c>
      <c r="G728" s="9">
        <v>95.88</v>
      </c>
    </row>
    <row r="729" spans="1:7" ht="15.6" x14ac:dyDescent="0.3">
      <c r="A729" s="16">
        <v>45260</v>
      </c>
      <c r="B729" s="10" t="s">
        <v>21</v>
      </c>
      <c r="C729" s="10" t="s">
        <v>14</v>
      </c>
      <c r="D729" s="10" t="s">
        <v>9</v>
      </c>
      <c r="E729" s="4">
        <v>7</v>
      </c>
      <c r="F729" s="4">
        <v>2639</v>
      </c>
      <c r="G729" s="9">
        <v>268.88</v>
      </c>
    </row>
    <row r="730" spans="1:7" ht="15.6" x14ac:dyDescent="0.3">
      <c r="A730" s="16">
        <v>45448</v>
      </c>
      <c r="B730" s="10" t="s">
        <v>7</v>
      </c>
      <c r="C730" s="10" t="s">
        <v>8</v>
      </c>
      <c r="D730" s="10" t="s">
        <v>15</v>
      </c>
      <c r="E730" s="4">
        <v>5</v>
      </c>
      <c r="F730" s="4">
        <v>1025</v>
      </c>
      <c r="G730" s="9">
        <v>246.15</v>
      </c>
    </row>
    <row r="731" spans="1:7" ht="15.6" x14ac:dyDescent="0.3">
      <c r="A731" s="16">
        <v>44574</v>
      </c>
      <c r="B731" s="10" t="s">
        <v>20</v>
      </c>
      <c r="C731" s="10" t="s">
        <v>11</v>
      </c>
      <c r="D731" s="10" t="s">
        <v>16</v>
      </c>
      <c r="E731" s="4">
        <v>2</v>
      </c>
      <c r="F731" s="4">
        <v>1924</v>
      </c>
      <c r="G731" s="9">
        <v>434.86</v>
      </c>
    </row>
    <row r="732" spans="1:7" ht="15.6" x14ac:dyDescent="0.3">
      <c r="A732" s="16">
        <v>45167</v>
      </c>
      <c r="B732" s="10" t="s">
        <v>21</v>
      </c>
      <c r="C732" s="10" t="s">
        <v>14</v>
      </c>
      <c r="D732" s="10" t="s">
        <v>9</v>
      </c>
      <c r="E732" s="4">
        <v>2</v>
      </c>
      <c r="F732" s="4">
        <v>1660</v>
      </c>
      <c r="G732" s="9">
        <v>362.88</v>
      </c>
    </row>
    <row r="733" spans="1:7" ht="15.6" x14ac:dyDescent="0.3">
      <c r="A733" s="16">
        <v>44704</v>
      </c>
      <c r="B733" s="10" t="s">
        <v>7</v>
      </c>
      <c r="C733" s="10" t="s">
        <v>8</v>
      </c>
      <c r="D733" s="10" t="s">
        <v>9</v>
      </c>
      <c r="E733" s="4">
        <v>1</v>
      </c>
      <c r="F733" s="4">
        <v>985</v>
      </c>
      <c r="G733" s="9">
        <v>105.09</v>
      </c>
    </row>
    <row r="734" spans="1:7" ht="15.6" x14ac:dyDescent="0.3">
      <c r="A734" s="16">
        <v>45487</v>
      </c>
      <c r="B734" s="10" t="s">
        <v>22</v>
      </c>
      <c r="C734" s="10" t="s">
        <v>11</v>
      </c>
      <c r="D734" s="10" t="s">
        <v>9</v>
      </c>
      <c r="E734" s="4">
        <v>5</v>
      </c>
      <c r="F734" s="4">
        <v>2600</v>
      </c>
      <c r="G734" s="9">
        <v>537.11</v>
      </c>
    </row>
    <row r="735" spans="1:7" ht="15.6" x14ac:dyDescent="0.3">
      <c r="A735" s="16">
        <v>45586</v>
      </c>
      <c r="B735" s="10" t="s">
        <v>17</v>
      </c>
      <c r="C735" s="10" t="s">
        <v>14</v>
      </c>
      <c r="D735" s="10" t="s">
        <v>16</v>
      </c>
      <c r="E735" s="4">
        <v>4</v>
      </c>
      <c r="F735" s="4">
        <v>2792</v>
      </c>
      <c r="G735" s="9">
        <v>725.35</v>
      </c>
    </row>
    <row r="736" spans="1:7" ht="15.6" x14ac:dyDescent="0.3">
      <c r="A736" s="16">
        <v>45535</v>
      </c>
      <c r="B736" s="10" t="s">
        <v>18</v>
      </c>
      <c r="C736" s="10" t="s">
        <v>11</v>
      </c>
      <c r="D736" s="10" t="s">
        <v>9</v>
      </c>
      <c r="E736" s="4">
        <v>2</v>
      </c>
      <c r="F736" s="4">
        <v>378</v>
      </c>
      <c r="G736" s="9">
        <v>87.37</v>
      </c>
    </row>
    <row r="737" spans="1:7" ht="15.6" x14ac:dyDescent="0.3">
      <c r="A737" s="16">
        <v>44668</v>
      </c>
      <c r="B737" s="10" t="s">
        <v>17</v>
      </c>
      <c r="C737" s="10" t="s">
        <v>14</v>
      </c>
      <c r="D737" s="10" t="s">
        <v>16</v>
      </c>
      <c r="E737" s="4">
        <v>8</v>
      </c>
      <c r="F737" s="4">
        <v>968</v>
      </c>
      <c r="G737" s="9">
        <v>271.61</v>
      </c>
    </row>
    <row r="738" spans="1:7" ht="15.6" x14ac:dyDescent="0.3">
      <c r="A738" s="16">
        <v>45424</v>
      </c>
      <c r="B738" s="10" t="s">
        <v>19</v>
      </c>
      <c r="C738" s="10" t="s">
        <v>14</v>
      </c>
      <c r="D738" s="10" t="s">
        <v>9</v>
      </c>
      <c r="E738" s="4">
        <v>3</v>
      </c>
      <c r="F738" s="4">
        <v>564</v>
      </c>
      <c r="G738" s="9">
        <v>108.35</v>
      </c>
    </row>
    <row r="739" spans="1:7" ht="15.6" x14ac:dyDescent="0.3">
      <c r="A739" s="16">
        <v>44951</v>
      </c>
      <c r="B739" s="10" t="s">
        <v>23</v>
      </c>
      <c r="C739" s="10" t="s">
        <v>14</v>
      </c>
      <c r="D739" s="10" t="s">
        <v>15</v>
      </c>
      <c r="E739" s="4">
        <v>5</v>
      </c>
      <c r="F739" s="4">
        <v>2365</v>
      </c>
      <c r="G739" s="9">
        <v>667.61</v>
      </c>
    </row>
    <row r="740" spans="1:7" ht="15.6" x14ac:dyDescent="0.3">
      <c r="A740" s="16">
        <v>45383</v>
      </c>
      <c r="B740" s="10" t="s">
        <v>21</v>
      </c>
      <c r="C740" s="10" t="s">
        <v>14</v>
      </c>
      <c r="D740" s="10" t="s">
        <v>16</v>
      </c>
      <c r="E740" s="4">
        <v>6</v>
      </c>
      <c r="F740" s="4">
        <v>3252</v>
      </c>
      <c r="G740" s="9">
        <v>834.84</v>
      </c>
    </row>
    <row r="741" spans="1:7" ht="15.6" x14ac:dyDescent="0.3">
      <c r="A741" s="16">
        <v>45417</v>
      </c>
      <c r="B741" s="10" t="s">
        <v>17</v>
      </c>
      <c r="C741" s="10" t="s">
        <v>14</v>
      </c>
      <c r="D741" s="10" t="s">
        <v>9</v>
      </c>
      <c r="E741" s="4">
        <v>1</v>
      </c>
      <c r="F741" s="4">
        <v>276</v>
      </c>
      <c r="G741" s="9">
        <v>42.68</v>
      </c>
    </row>
    <row r="742" spans="1:7" ht="15.6" x14ac:dyDescent="0.3">
      <c r="A742" s="16">
        <v>45432</v>
      </c>
      <c r="B742" s="10" t="s">
        <v>10</v>
      </c>
      <c r="C742" s="10" t="s">
        <v>11</v>
      </c>
      <c r="D742" s="10" t="s">
        <v>16</v>
      </c>
      <c r="E742" s="4">
        <v>3</v>
      </c>
      <c r="F742" s="4">
        <v>3408</v>
      </c>
      <c r="G742" s="9">
        <v>205.76</v>
      </c>
    </row>
    <row r="743" spans="1:7" ht="15.6" x14ac:dyDescent="0.3">
      <c r="A743" s="16">
        <v>44854</v>
      </c>
      <c r="B743" s="10" t="s">
        <v>23</v>
      </c>
      <c r="C743" s="10" t="s">
        <v>14</v>
      </c>
      <c r="D743" s="10" t="s">
        <v>12</v>
      </c>
      <c r="E743" s="4">
        <v>6</v>
      </c>
      <c r="F743" s="4">
        <v>1398</v>
      </c>
      <c r="G743" s="9">
        <v>180.88</v>
      </c>
    </row>
    <row r="744" spans="1:7" ht="15.6" x14ac:dyDescent="0.3">
      <c r="A744" s="16">
        <v>44619</v>
      </c>
      <c r="B744" s="10" t="s">
        <v>22</v>
      </c>
      <c r="C744" s="10" t="s">
        <v>11</v>
      </c>
      <c r="D744" s="10" t="s">
        <v>9</v>
      </c>
      <c r="E744" s="4">
        <v>4</v>
      </c>
      <c r="F744" s="4">
        <v>904</v>
      </c>
      <c r="G744" s="9">
        <v>108.85</v>
      </c>
    </row>
    <row r="745" spans="1:7" ht="15.6" x14ac:dyDescent="0.3">
      <c r="A745" s="16">
        <v>45261</v>
      </c>
      <c r="B745" s="10" t="s">
        <v>22</v>
      </c>
      <c r="C745" s="10" t="s">
        <v>11</v>
      </c>
      <c r="D745" s="10" t="s">
        <v>15</v>
      </c>
      <c r="E745" s="4">
        <v>1</v>
      </c>
      <c r="F745" s="4">
        <v>1178</v>
      </c>
      <c r="G745" s="9">
        <v>161.06</v>
      </c>
    </row>
    <row r="746" spans="1:7" ht="15.6" x14ac:dyDescent="0.3">
      <c r="A746" s="16">
        <v>44771</v>
      </c>
      <c r="B746" s="10" t="s">
        <v>18</v>
      </c>
      <c r="C746" s="10" t="s">
        <v>11</v>
      </c>
      <c r="D746" s="10" t="s">
        <v>16</v>
      </c>
      <c r="E746" s="4">
        <v>3</v>
      </c>
      <c r="F746" s="4">
        <v>2535</v>
      </c>
      <c r="G746" s="9">
        <v>292.19</v>
      </c>
    </row>
    <row r="747" spans="1:7" ht="15.6" x14ac:dyDescent="0.3">
      <c r="A747" s="16">
        <v>45033</v>
      </c>
      <c r="B747" s="10" t="s">
        <v>13</v>
      </c>
      <c r="C747" s="10" t="s">
        <v>14</v>
      </c>
      <c r="D747" s="10" t="s">
        <v>16</v>
      </c>
      <c r="E747" s="4">
        <v>1</v>
      </c>
      <c r="F747" s="4">
        <v>496</v>
      </c>
      <c r="G747" s="9">
        <v>146.91999999999999</v>
      </c>
    </row>
    <row r="748" spans="1:7" ht="15.6" x14ac:dyDescent="0.3">
      <c r="A748" s="16">
        <v>45473</v>
      </c>
      <c r="B748" s="10" t="s">
        <v>21</v>
      </c>
      <c r="C748" s="10" t="s">
        <v>14</v>
      </c>
      <c r="D748" s="10" t="s">
        <v>16</v>
      </c>
      <c r="E748" s="4">
        <v>4</v>
      </c>
      <c r="F748" s="4">
        <v>3888</v>
      </c>
      <c r="G748" s="9">
        <v>284.17</v>
      </c>
    </row>
    <row r="749" spans="1:7" ht="15.6" x14ac:dyDescent="0.3">
      <c r="A749" s="16">
        <v>45363</v>
      </c>
      <c r="B749" s="10" t="s">
        <v>13</v>
      </c>
      <c r="C749" s="10" t="s">
        <v>14</v>
      </c>
      <c r="D749" s="10" t="s">
        <v>12</v>
      </c>
      <c r="E749" s="4">
        <v>7</v>
      </c>
      <c r="F749" s="4">
        <v>4921</v>
      </c>
      <c r="G749" s="9">
        <v>798.16</v>
      </c>
    </row>
    <row r="750" spans="1:7" ht="15.6" x14ac:dyDescent="0.3">
      <c r="A750" s="16">
        <v>45477</v>
      </c>
      <c r="B750" s="10" t="s">
        <v>19</v>
      </c>
      <c r="C750" s="10" t="s">
        <v>14</v>
      </c>
      <c r="D750" s="10" t="s">
        <v>16</v>
      </c>
      <c r="E750" s="4">
        <v>8</v>
      </c>
      <c r="F750" s="4">
        <v>4472</v>
      </c>
      <c r="G750" s="9">
        <v>290.79000000000002</v>
      </c>
    </row>
    <row r="751" spans="1:7" ht="15.6" x14ac:dyDescent="0.3">
      <c r="A751" s="16">
        <v>45025</v>
      </c>
      <c r="B751" s="10" t="s">
        <v>13</v>
      </c>
      <c r="C751" s="10" t="s">
        <v>14</v>
      </c>
      <c r="D751" s="10" t="s">
        <v>9</v>
      </c>
      <c r="E751" s="4">
        <v>3</v>
      </c>
      <c r="F751" s="4">
        <v>603</v>
      </c>
      <c r="G751" s="9">
        <v>153.37</v>
      </c>
    </row>
    <row r="752" spans="1:7" ht="15.6" x14ac:dyDescent="0.3">
      <c r="A752" s="16">
        <v>44995</v>
      </c>
      <c r="B752" s="10" t="s">
        <v>18</v>
      </c>
      <c r="C752" s="10" t="s">
        <v>11</v>
      </c>
      <c r="D752" s="10" t="s">
        <v>16</v>
      </c>
      <c r="E752" s="4">
        <v>9</v>
      </c>
      <c r="F752" s="4">
        <v>1899</v>
      </c>
      <c r="G752" s="9">
        <v>501.4</v>
      </c>
    </row>
    <row r="753" spans="1:7" ht="15.6" x14ac:dyDescent="0.3">
      <c r="A753" s="16">
        <v>44929</v>
      </c>
      <c r="B753" s="10" t="s">
        <v>7</v>
      </c>
      <c r="C753" s="10" t="s">
        <v>8</v>
      </c>
      <c r="D753" s="10" t="s">
        <v>9</v>
      </c>
      <c r="E753" s="4">
        <v>4</v>
      </c>
      <c r="F753" s="4">
        <v>544</v>
      </c>
      <c r="G753" s="9">
        <v>67.84</v>
      </c>
    </row>
    <row r="754" spans="1:7" ht="15.6" x14ac:dyDescent="0.3">
      <c r="A754" s="16">
        <v>44710</v>
      </c>
      <c r="B754" s="10" t="s">
        <v>20</v>
      </c>
      <c r="C754" s="10" t="s">
        <v>11</v>
      </c>
      <c r="D754" s="10" t="s">
        <v>9</v>
      </c>
      <c r="E754" s="4">
        <v>9</v>
      </c>
      <c r="F754" s="4">
        <v>6471</v>
      </c>
      <c r="G754" s="9">
        <v>1844.59</v>
      </c>
    </row>
    <row r="755" spans="1:7" ht="15.6" x14ac:dyDescent="0.3">
      <c r="A755" s="16">
        <v>45007</v>
      </c>
      <c r="B755" s="10" t="s">
        <v>22</v>
      </c>
      <c r="C755" s="10" t="s">
        <v>11</v>
      </c>
      <c r="D755" s="10" t="s">
        <v>9</v>
      </c>
      <c r="E755" s="4">
        <v>1</v>
      </c>
      <c r="F755" s="4">
        <v>677</v>
      </c>
      <c r="G755" s="9">
        <v>54.14</v>
      </c>
    </row>
    <row r="756" spans="1:7" ht="15.6" x14ac:dyDescent="0.3">
      <c r="A756" s="16">
        <v>44811</v>
      </c>
      <c r="B756" s="10" t="s">
        <v>23</v>
      </c>
      <c r="C756" s="10" t="s">
        <v>14</v>
      </c>
      <c r="D756" s="10" t="s">
        <v>15</v>
      </c>
      <c r="E756" s="4">
        <v>4</v>
      </c>
      <c r="F756" s="4">
        <v>1372</v>
      </c>
      <c r="G756" s="9">
        <v>302.58</v>
      </c>
    </row>
    <row r="757" spans="1:7" ht="15.6" x14ac:dyDescent="0.3">
      <c r="A757" s="16">
        <v>45451</v>
      </c>
      <c r="B757" s="10" t="s">
        <v>22</v>
      </c>
      <c r="C757" s="10" t="s">
        <v>11</v>
      </c>
      <c r="D757" s="10" t="s">
        <v>9</v>
      </c>
      <c r="E757" s="4">
        <v>9</v>
      </c>
      <c r="F757" s="4">
        <v>7542</v>
      </c>
      <c r="G757" s="9">
        <v>1477.49</v>
      </c>
    </row>
    <row r="758" spans="1:7" ht="15.6" x14ac:dyDescent="0.3">
      <c r="A758" s="16">
        <v>45032</v>
      </c>
      <c r="B758" s="10" t="s">
        <v>20</v>
      </c>
      <c r="C758" s="10" t="s">
        <v>11</v>
      </c>
      <c r="D758" s="10" t="s">
        <v>16</v>
      </c>
      <c r="E758" s="4">
        <v>1</v>
      </c>
      <c r="F758" s="4">
        <v>924</v>
      </c>
      <c r="G758" s="9">
        <v>125.65</v>
      </c>
    </row>
    <row r="759" spans="1:7" ht="15.6" x14ac:dyDescent="0.3">
      <c r="A759" s="16">
        <v>44753</v>
      </c>
      <c r="B759" s="10" t="s">
        <v>21</v>
      </c>
      <c r="C759" s="10" t="s">
        <v>14</v>
      </c>
      <c r="D759" s="10" t="s">
        <v>12</v>
      </c>
      <c r="E759" s="4">
        <v>5</v>
      </c>
      <c r="F759" s="4">
        <v>3940</v>
      </c>
      <c r="G759" s="9">
        <v>755.11</v>
      </c>
    </row>
    <row r="760" spans="1:7" ht="15.6" x14ac:dyDescent="0.3">
      <c r="A760" s="16">
        <v>45570</v>
      </c>
      <c r="B760" s="10" t="s">
        <v>13</v>
      </c>
      <c r="C760" s="10" t="s">
        <v>14</v>
      </c>
      <c r="D760" s="10" t="s">
        <v>16</v>
      </c>
      <c r="E760" s="4">
        <v>2</v>
      </c>
      <c r="F760" s="4">
        <v>374</v>
      </c>
      <c r="G760" s="9">
        <v>49.26</v>
      </c>
    </row>
    <row r="761" spans="1:7" ht="15.6" x14ac:dyDescent="0.3">
      <c r="A761" s="16">
        <v>45004</v>
      </c>
      <c r="B761" s="10" t="s">
        <v>7</v>
      </c>
      <c r="C761" s="10" t="s">
        <v>8</v>
      </c>
      <c r="D761" s="10" t="s">
        <v>9</v>
      </c>
      <c r="E761" s="4">
        <v>5</v>
      </c>
      <c r="F761" s="4">
        <v>1800</v>
      </c>
      <c r="G761" s="9">
        <v>252.69</v>
      </c>
    </row>
    <row r="762" spans="1:7" ht="15.6" x14ac:dyDescent="0.3">
      <c r="A762" s="16">
        <v>44921</v>
      </c>
      <c r="B762" s="10" t="s">
        <v>20</v>
      </c>
      <c r="C762" s="10" t="s">
        <v>11</v>
      </c>
      <c r="D762" s="10" t="s">
        <v>16</v>
      </c>
      <c r="E762" s="4">
        <v>5</v>
      </c>
      <c r="F762" s="4">
        <v>3170</v>
      </c>
      <c r="G762" s="9">
        <v>868.34</v>
      </c>
    </row>
    <row r="763" spans="1:7" ht="15.6" x14ac:dyDescent="0.3">
      <c r="A763" s="16">
        <v>45521</v>
      </c>
      <c r="B763" s="10" t="s">
        <v>18</v>
      </c>
      <c r="C763" s="10" t="s">
        <v>11</v>
      </c>
      <c r="D763" s="10" t="s">
        <v>9</v>
      </c>
      <c r="E763" s="4">
        <v>7</v>
      </c>
      <c r="F763" s="4">
        <v>5362</v>
      </c>
      <c r="G763" s="9">
        <v>1029.47</v>
      </c>
    </row>
    <row r="764" spans="1:7" ht="15.6" x14ac:dyDescent="0.3">
      <c r="A764" s="16">
        <v>45235</v>
      </c>
      <c r="B764" s="10" t="s">
        <v>20</v>
      </c>
      <c r="C764" s="10" t="s">
        <v>11</v>
      </c>
      <c r="D764" s="10" t="s">
        <v>12</v>
      </c>
      <c r="E764" s="4">
        <v>9</v>
      </c>
      <c r="F764" s="4">
        <v>5976</v>
      </c>
      <c r="G764" s="9">
        <v>1747.57</v>
      </c>
    </row>
    <row r="765" spans="1:7" ht="15.6" x14ac:dyDescent="0.3">
      <c r="A765" s="16">
        <v>45113</v>
      </c>
      <c r="B765" s="10" t="s">
        <v>22</v>
      </c>
      <c r="C765" s="10" t="s">
        <v>11</v>
      </c>
      <c r="D765" s="10" t="s">
        <v>9</v>
      </c>
      <c r="E765" s="4">
        <v>9</v>
      </c>
      <c r="F765" s="4">
        <v>8514</v>
      </c>
      <c r="G765" s="9">
        <v>1400.4</v>
      </c>
    </row>
    <row r="766" spans="1:7" ht="15.6" x14ac:dyDescent="0.3">
      <c r="A766" s="16">
        <v>45255</v>
      </c>
      <c r="B766" s="10" t="s">
        <v>23</v>
      </c>
      <c r="C766" s="10" t="s">
        <v>14</v>
      </c>
      <c r="D766" s="10" t="s">
        <v>15</v>
      </c>
      <c r="E766" s="4">
        <v>1</v>
      </c>
      <c r="F766" s="4">
        <v>810</v>
      </c>
      <c r="G766" s="9">
        <v>157.47</v>
      </c>
    </row>
    <row r="767" spans="1:7" ht="15.6" x14ac:dyDescent="0.3">
      <c r="A767" s="16">
        <v>44569</v>
      </c>
      <c r="B767" s="10" t="s">
        <v>10</v>
      </c>
      <c r="C767" s="10" t="s">
        <v>11</v>
      </c>
      <c r="D767" s="10" t="s">
        <v>15</v>
      </c>
      <c r="E767" s="4">
        <v>1</v>
      </c>
      <c r="F767" s="4">
        <v>71</v>
      </c>
      <c r="G767" s="9">
        <v>12.02</v>
      </c>
    </row>
    <row r="768" spans="1:7" ht="15.6" x14ac:dyDescent="0.3">
      <c r="A768" s="16">
        <v>44727</v>
      </c>
      <c r="B768" s="10" t="s">
        <v>23</v>
      </c>
      <c r="C768" s="10" t="s">
        <v>14</v>
      </c>
      <c r="D768" s="10" t="s">
        <v>9</v>
      </c>
      <c r="E768" s="4">
        <v>1</v>
      </c>
      <c r="F768" s="4">
        <v>651</v>
      </c>
      <c r="G768" s="9">
        <v>57.94</v>
      </c>
    </row>
    <row r="769" spans="1:7" ht="15.6" x14ac:dyDescent="0.3">
      <c r="A769" s="16">
        <v>44633</v>
      </c>
      <c r="B769" s="10" t="s">
        <v>20</v>
      </c>
      <c r="C769" s="10" t="s">
        <v>11</v>
      </c>
      <c r="D769" s="10" t="s">
        <v>9</v>
      </c>
      <c r="E769" s="4">
        <v>3</v>
      </c>
      <c r="F769" s="4">
        <v>1245</v>
      </c>
      <c r="G769" s="9">
        <v>119.11</v>
      </c>
    </row>
    <row r="770" spans="1:7" ht="15.6" x14ac:dyDescent="0.3">
      <c r="A770" s="16">
        <v>45236</v>
      </c>
      <c r="B770" s="10" t="s">
        <v>20</v>
      </c>
      <c r="C770" s="10" t="s">
        <v>11</v>
      </c>
      <c r="D770" s="10" t="s">
        <v>16</v>
      </c>
      <c r="E770" s="4">
        <v>1</v>
      </c>
      <c r="F770" s="4">
        <v>464</v>
      </c>
      <c r="G770" s="9">
        <v>58.38</v>
      </c>
    </row>
    <row r="771" spans="1:7" ht="15.6" x14ac:dyDescent="0.3">
      <c r="A771" s="16">
        <v>44968</v>
      </c>
      <c r="B771" s="10" t="s">
        <v>20</v>
      </c>
      <c r="C771" s="10" t="s">
        <v>11</v>
      </c>
      <c r="D771" s="10" t="s">
        <v>9</v>
      </c>
      <c r="E771" s="4">
        <v>5</v>
      </c>
      <c r="F771" s="4">
        <v>5155</v>
      </c>
      <c r="G771" s="9">
        <v>356.43</v>
      </c>
    </row>
    <row r="772" spans="1:7" ht="15.6" x14ac:dyDescent="0.3">
      <c r="A772" s="16">
        <v>45271</v>
      </c>
      <c r="B772" s="10" t="s">
        <v>21</v>
      </c>
      <c r="C772" s="10" t="s">
        <v>14</v>
      </c>
      <c r="D772" s="10" t="s">
        <v>12</v>
      </c>
      <c r="E772" s="4">
        <v>5</v>
      </c>
      <c r="F772" s="4">
        <v>5175</v>
      </c>
      <c r="G772" s="9">
        <v>786.27</v>
      </c>
    </row>
    <row r="773" spans="1:7" ht="15.6" x14ac:dyDescent="0.3">
      <c r="A773" s="16">
        <v>44574</v>
      </c>
      <c r="B773" s="10" t="s">
        <v>21</v>
      </c>
      <c r="C773" s="10" t="s">
        <v>14</v>
      </c>
      <c r="D773" s="10" t="s">
        <v>12</v>
      </c>
      <c r="E773" s="4">
        <v>2</v>
      </c>
      <c r="F773" s="4">
        <v>1668</v>
      </c>
      <c r="G773" s="9">
        <v>470.42</v>
      </c>
    </row>
    <row r="774" spans="1:7" ht="15.6" x14ac:dyDescent="0.3">
      <c r="A774" s="16">
        <v>45565</v>
      </c>
      <c r="B774" s="10" t="s">
        <v>7</v>
      </c>
      <c r="C774" s="10" t="s">
        <v>8</v>
      </c>
      <c r="D774" s="10" t="s">
        <v>12</v>
      </c>
      <c r="E774" s="4">
        <v>3</v>
      </c>
      <c r="F774" s="4">
        <v>1872</v>
      </c>
      <c r="G774" s="9">
        <v>532.80999999999995</v>
      </c>
    </row>
    <row r="775" spans="1:7" ht="15.6" x14ac:dyDescent="0.3">
      <c r="A775" s="16">
        <v>44942</v>
      </c>
      <c r="B775" s="10" t="s">
        <v>23</v>
      </c>
      <c r="C775" s="10" t="s">
        <v>14</v>
      </c>
      <c r="D775" s="10" t="s">
        <v>9</v>
      </c>
      <c r="E775" s="4">
        <v>3</v>
      </c>
      <c r="F775" s="4">
        <v>513</v>
      </c>
      <c r="G775" s="9">
        <v>132.56</v>
      </c>
    </row>
    <row r="776" spans="1:7" ht="15.6" x14ac:dyDescent="0.3">
      <c r="A776" s="16">
        <v>45387</v>
      </c>
      <c r="B776" s="10" t="s">
        <v>7</v>
      </c>
      <c r="C776" s="10" t="s">
        <v>8</v>
      </c>
      <c r="D776" s="10" t="s">
        <v>16</v>
      </c>
      <c r="E776" s="4">
        <v>2</v>
      </c>
      <c r="F776" s="4">
        <v>2276</v>
      </c>
      <c r="G776" s="9">
        <v>366.5</v>
      </c>
    </row>
    <row r="777" spans="1:7" ht="15.6" x14ac:dyDescent="0.3">
      <c r="A777" s="16">
        <v>45293</v>
      </c>
      <c r="B777" s="10" t="s">
        <v>10</v>
      </c>
      <c r="C777" s="10" t="s">
        <v>11</v>
      </c>
      <c r="D777" s="10" t="s">
        <v>16</v>
      </c>
      <c r="E777" s="4">
        <v>4</v>
      </c>
      <c r="F777" s="4">
        <v>3428</v>
      </c>
      <c r="G777" s="9">
        <v>305.79000000000002</v>
      </c>
    </row>
    <row r="778" spans="1:7" ht="15.6" x14ac:dyDescent="0.3">
      <c r="A778" s="16">
        <v>45353</v>
      </c>
      <c r="B778" s="10" t="s">
        <v>22</v>
      </c>
      <c r="C778" s="10" t="s">
        <v>11</v>
      </c>
      <c r="D778" s="10" t="s">
        <v>12</v>
      </c>
      <c r="E778" s="4">
        <v>2</v>
      </c>
      <c r="F778" s="4">
        <v>1640</v>
      </c>
      <c r="G778" s="9">
        <v>176.87</v>
      </c>
    </row>
    <row r="779" spans="1:7" ht="15.6" x14ac:dyDescent="0.3">
      <c r="A779" s="16">
        <v>45437</v>
      </c>
      <c r="B779" s="10" t="s">
        <v>17</v>
      </c>
      <c r="C779" s="10" t="s">
        <v>14</v>
      </c>
      <c r="D779" s="10" t="s">
        <v>12</v>
      </c>
      <c r="E779" s="4">
        <v>7</v>
      </c>
      <c r="F779" s="4">
        <v>7077</v>
      </c>
      <c r="G779" s="9">
        <v>1921.73</v>
      </c>
    </row>
    <row r="780" spans="1:7" ht="15.6" x14ac:dyDescent="0.3">
      <c r="A780" s="16">
        <v>45219</v>
      </c>
      <c r="B780" s="10" t="s">
        <v>7</v>
      </c>
      <c r="C780" s="10" t="s">
        <v>8</v>
      </c>
      <c r="D780" s="10" t="s">
        <v>15</v>
      </c>
      <c r="E780" s="4">
        <v>9</v>
      </c>
      <c r="F780" s="4">
        <v>9225</v>
      </c>
      <c r="G780" s="9">
        <v>1391.15</v>
      </c>
    </row>
    <row r="781" spans="1:7" ht="15.6" x14ac:dyDescent="0.3">
      <c r="A781" s="16">
        <v>44732</v>
      </c>
      <c r="B781" s="10" t="s">
        <v>10</v>
      </c>
      <c r="C781" s="10" t="s">
        <v>11</v>
      </c>
      <c r="D781" s="10" t="s">
        <v>15</v>
      </c>
      <c r="E781" s="4">
        <v>5</v>
      </c>
      <c r="F781" s="4">
        <v>3910</v>
      </c>
      <c r="G781" s="9">
        <v>584.77</v>
      </c>
    </row>
    <row r="782" spans="1:7" ht="15.6" x14ac:dyDescent="0.3">
      <c r="A782" s="16">
        <v>45055</v>
      </c>
      <c r="B782" s="10" t="s">
        <v>7</v>
      </c>
      <c r="C782" s="10" t="s">
        <v>8</v>
      </c>
      <c r="D782" s="10" t="s">
        <v>16</v>
      </c>
      <c r="E782" s="4">
        <v>5</v>
      </c>
      <c r="F782" s="4">
        <v>1995</v>
      </c>
      <c r="G782" s="9">
        <v>369.22</v>
      </c>
    </row>
    <row r="783" spans="1:7" ht="15.6" x14ac:dyDescent="0.3">
      <c r="A783" s="16">
        <v>45169</v>
      </c>
      <c r="B783" s="10" t="s">
        <v>22</v>
      </c>
      <c r="C783" s="10" t="s">
        <v>11</v>
      </c>
      <c r="D783" s="10" t="s">
        <v>9</v>
      </c>
      <c r="E783" s="4">
        <v>7</v>
      </c>
      <c r="F783" s="4">
        <v>385</v>
      </c>
      <c r="G783" s="9">
        <v>43.43</v>
      </c>
    </row>
    <row r="784" spans="1:7" ht="15.6" x14ac:dyDescent="0.3">
      <c r="A784" s="16">
        <v>45008</v>
      </c>
      <c r="B784" s="10" t="s">
        <v>10</v>
      </c>
      <c r="C784" s="10" t="s">
        <v>11</v>
      </c>
      <c r="D784" s="10" t="s">
        <v>12</v>
      </c>
      <c r="E784" s="4">
        <v>4</v>
      </c>
      <c r="F784" s="4">
        <v>4316</v>
      </c>
      <c r="G784" s="9">
        <v>566.70000000000005</v>
      </c>
    </row>
    <row r="785" spans="1:7" ht="15.6" x14ac:dyDescent="0.3">
      <c r="A785" s="16">
        <v>45410</v>
      </c>
      <c r="B785" s="10" t="s">
        <v>19</v>
      </c>
      <c r="C785" s="10" t="s">
        <v>14</v>
      </c>
      <c r="D785" s="10" t="s">
        <v>9</v>
      </c>
      <c r="E785" s="4">
        <v>1</v>
      </c>
      <c r="F785" s="4">
        <v>1169</v>
      </c>
      <c r="G785" s="9">
        <v>340.69</v>
      </c>
    </row>
    <row r="786" spans="1:7" ht="15.6" x14ac:dyDescent="0.3">
      <c r="A786" s="16">
        <v>45015</v>
      </c>
      <c r="B786" s="10" t="s">
        <v>18</v>
      </c>
      <c r="C786" s="10" t="s">
        <v>11</v>
      </c>
      <c r="D786" s="10" t="s">
        <v>12</v>
      </c>
      <c r="E786" s="4">
        <v>5</v>
      </c>
      <c r="F786" s="4">
        <v>2325</v>
      </c>
      <c r="G786" s="9">
        <v>506.32</v>
      </c>
    </row>
    <row r="787" spans="1:7" ht="15.6" x14ac:dyDescent="0.3">
      <c r="A787" s="16">
        <v>45340</v>
      </c>
      <c r="B787" s="10" t="s">
        <v>20</v>
      </c>
      <c r="C787" s="10" t="s">
        <v>11</v>
      </c>
      <c r="D787" s="10" t="s">
        <v>9</v>
      </c>
      <c r="E787" s="4">
        <v>1</v>
      </c>
      <c r="F787" s="4">
        <v>199</v>
      </c>
      <c r="G787" s="9">
        <v>48.92</v>
      </c>
    </row>
    <row r="788" spans="1:7" ht="15.6" x14ac:dyDescent="0.3">
      <c r="A788" s="16">
        <v>44786</v>
      </c>
      <c r="B788" s="10" t="s">
        <v>19</v>
      </c>
      <c r="C788" s="10" t="s">
        <v>14</v>
      </c>
      <c r="D788" s="10" t="s">
        <v>15</v>
      </c>
      <c r="E788" s="4">
        <v>3</v>
      </c>
      <c r="F788" s="4">
        <v>375</v>
      </c>
      <c r="G788" s="9">
        <v>80.58</v>
      </c>
    </row>
    <row r="789" spans="1:7" ht="15.6" x14ac:dyDescent="0.3">
      <c r="A789" s="16">
        <v>44686</v>
      </c>
      <c r="B789" s="10" t="s">
        <v>23</v>
      </c>
      <c r="C789" s="10" t="s">
        <v>14</v>
      </c>
      <c r="D789" s="10" t="s">
        <v>12</v>
      </c>
      <c r="E789" s="4">
        <v>9</v>
      </c>
      <c r="F789" s="4">
        <v>8010</v>
      </c>
      <c r="G789" s="9">
        <v>763.32</v>
      </c>
    </row>
    <row r="790" spans="1:7" ht="15.6" x14ac:dyDescent="0.3">
      <c r="A790" s="16">
        <v>44929</v>
      </c>
      <c r="B790" s="10" t="s">
        <v>10</v>
      </c>
      <c r="C790" s="10" t="s">
        <v>11</v>
      </c>
      <c r="D790" s="10" t="s">
        <v>12</v>
      </c>
      <c r="E790" s="4">
        <v>4</v>
      </c>
      <c r="F790" s="4">
        <v>316</v>
      </c>
      <c r="G790" s="9">
        <v>77.13</v>
      </c>
    </row>
    <row r="791" spans="1:7" ht="15.6" x14ac:dyDescent="0.3">
      <c r="A791" s="16">
        <v>45610</v>
      </c>
      <c r="B791" s="10" t="s">
        <v>17</v>
      </c>
      <c r="C791" s="10" t="s">
        <v>14</v>
      </c>
      <c r="D791" s="10" t="s">
        <v>15</v>
      </c>
      <c r="E791" s="4">
        <v>9</v>
      </c>
      <c r="F791" s="4">
        <v>5895</v>
      </c>
      <c r="G791" s="9">
        <v>442.49</v>
      </c>
    </row>
    <row r="792" spans="1:7" ht="15.6" x14ac:dyDescent="0.3">
      <c r="A792" s="16">
        <v>44660</v>
      </c>
      <c r="B792" s="10" t="s">
        <v>18</v>
      </c>
      <c r="C792" s="10" t="s">
        <v>11</v>
      </c>
      <c r="D792" s="10" t="s">
        <v>12</v>
      </c>
      <c r="E792" s="4">
        <v>4</v>
      </c>
      <c r="F792" s="4">
        <v>388</v>
      </c>
      <c r="G792" s="9">
        <v>35.21</v>
      </c>
    </row>
    <row r="793" spans="1:7" ht="15.6" x14ac:dyDescent="0.3">
      <c r="A793" s="16">
        <v>45455</v>
      </c>
      <c r="B793" s="10" t="s">
        <v>10</v>
      </c>
      <c r="C793" s="10" t="s">
        <v>11</v>
      </c>
      <c r="D793" s="10" t="s">
        <v>16</v>
      </c>
      <c r="E793" s="4">
        <v>5</v>
      </c>
      <c r="F793" s="4">
        <v>3670</v>
      </c>
      <c r="G793" s="9">
        <v>462.97</v>
      </c>
    </row>
    <row r="794" spans="1:7" ht="15.6" x14ac:dyDescent="0.3">
      <c r="A794" s="16">
        <v>45580</v>
      </c>
      <c r="B794" s="10" t="s">
        <v>21</v>
      </c>
      <c r="C794" s="10" t="s">
        <v>14</v>
      </c>
      <c r="D794" s="10" t="s">
        <v>12</v>
      </c>
      <c r="E794" s="4">
        <v>9</v>
      </c>
      <c r="F794" s="4">
        <v>7731</v>
      </c>
      <c r="G794" s="9">
        <v>2178.0500000000002</v>
      </c>
    </row>
    <row r="795" spans="1:7" ht="15.6" x14ac:dyDescent="0.3">
      <c r="A795" s="16">
        <v>45217</v>
      </c>
      <c r="B795" s="10" t="s">
        <v>23</v>
      </c>
      <c r="C795" s="10" t="s">
        <v>14</v>
      </c>
      <c r="D795" s="10" t="s">
        <v>15</v>
      </c>
      <c r="E795" s="4">
        <v>3</v>
      </c>
      <c r="F795" s="4">
        <v>1596</v>
      </c>
      <c r="G795" s="9">
        <v>91.23</v>
      </c>
    </row>
    <row r="796" spans="1:7" ht="15.6" x14ac:dyDescent="0.3">
      <c r="A796" s="16">
        <v>45388</v>
      </c>
      <c r="B796" s="10" t="s">
        <v>17</v>
      </c>
      <c r="C796" s="10" t="s">
        <v>14</v>
      </c>
      <c r="D796" s="10" t="s">
        <v>12</v>
      </c>
      <c r="E796" s="4">
        <v>4</v>
      </c>
      <c r="F796" s="4">
        <v>4192</v>
      </c>
      <c r="G796" s="9">
        <v>216.16</v>
      </c>
    </row>
    <row r="797" spans="1:7" ht="15.6" x14ac:dyDescent="0.3">
      <c r="A797" s="16">
        <v>45136</v>
      </c>
      <c r="B797" s="10" t="s">
        <v>13</v>
      </c>
      <c r="C797" s="10" t="s">
        <v>14</v>
      </c>
      <c r="D797" s="10" t="s">
        <v>16</v>
      </c>
      <c r="E797" s="4">
        <v>7</v>
      </c>
      <c r="F797" s="4">
        <v>5264</v>
      </c>
      <c r="G797" s="9">
        <v>756.33</v>
      </c>
    </row>
    <row r="798" spans="1:7" ht="15.6" x14ac:dyDescent="0.3">
      <c r="A798" s="16">
        <v>45081</v>
      </c>
      <c r="B798" s="10" t="s">
        <v>23</v>
      </c>
      <c r="C798" s="10" t="s">
        <v>14</v>
      </c>
      <c r="D798" s="10" t="s">
        <v>9</v>
      </c>
      <c r="E798" s="4">
        <v>1</v>
      </c>
      <c r="F798" s="4">
        <v>425</v>
      </c>
      <c r="G798" s="9">
        <v>48.81</v>
      </c>
    </row>
    <row r="799" spans="1:7" ht="15.6" x14ac:dyDescent="0.3">
      <c r="A799" s="16">
        <v>44637</v>
      </c>
      <c r="B799" s="10" t="s">
        <v>19</v>
      </c>
      <c r="C799" s="10" t="s">
        <v>14</v>
      </c>
      <c r="D799" s="10" t="s">
        <v>9</v>
      </c>
      <c r="E799" s="4">
        <v>4</v>
      </c>
      <c r="F799" s="4">
        <v>3380</v>
      </c>
      <c r="G799" s="9">
        <v>211.72</v>
      </c>
    </row>
    <row r="800" spans="1:7" ht="15.6" x14ac:dyDescent="0.3">
      <c r="A800" s="16">
        <v>45358</v>
      </c>
      <c r="B800" s="10" t="s">
        <v>7</v>
      </c>
      <c r="C800" s="10" t="s">
        <v>8</v>
      </c>
      <c r="D800" s="10" t="s">
        <v>12</v>
      </c>
      <c r="E800" s="4">
        <v>7</v>
      </c>
      <c r="F800" s="4">
        <v>8379</v>
      </c>
      <c r="G800" s="9">
        <v>2009.05</v>
      </c>
    </row>
    <row r="801" spans="1:7" ht="15.6" x14ac:dyDescent="0.3">
      <c r="A801" s="16">
        <v>44625</v>
      </c>
      <c r="B801" s="10" t="s">
        <v>22</v>
      </c>
      <c r="C801" s="10" t="s">
        <v>11</v>
      </c>
      <c r="D801" s="10" t="s">
        <v>9</v>
      </c>
      <c r="E801" s="4">
        <v>4</v>
      </c>
      <c r="F801" s="4">
        <v>2040</v>
      </c>
      <c r="G801" s="9">
        <v>393.72</v>
      </c>
    </row>
    <row r="802" spans="1:7" ht="15.6" x14ac:dyDescent="0.3">
      <c r="A802" s="16">
        <v>45399</v>
      </c>
      <c r="B802" s="10" t="s">
        <v>7</v>
      </c>
      <c r="C802" s="10" t="s">
        <v>8</v>
      </c>
      <c r="D802" s="10" t="s">
        <v>12</v>
      </c>
      <c r="E802" s="4">
        <v>4</v>
      </c>
      <c r="F802" s="4">
        <v>1336</v>
      </c>
      <c r="G802" s="9">
        <v>116.65</v>
      </c>
    </row>
    <row r="803" spans="1:7" ht="15.6" x14ac:dyDescent="0.3">
      <c r="A803" s="16">
        <v>45526</v>
      </c>
      <c r="B803" s="10" t="s">
        <v>22</v>
      </c>
      <c r="C803" s="10" t="s">
        <v>11</v>
      </c>
      <c r="D803" s="10" t="s">
        <v>15</v>
      </c>
      <c r="E803" s="4">
        <v>2</v>
      </c>
      <c r="F803" s="4">
        <v>1934</v>
      </c>
      <c r="G803" s="9">
        <v>157.41</v>
      </c>
    </row>
    <row r="804" spans="1:7" ht="15.6" x14ac:dyDescent="0.3">
      <c r="A804" s="16">
        <v>45391</v>
      </c>
      <c r="B804" s="10" t="s">
        <v>22</v>
      </c>
      <c r="C804" s="10" t="s">
        <v>11</v>
      </c>
      <c r="D804" s="10" t="s">
        <v>15</v>
      </c>
      <c r="E804" s="4">
        <v>3</v>
      </c>
      <c r="F804" s="4">
        <v>1560</v>
      </c>
      <c r="G804" s="9">
        <v>391.11</v>
      </c>
    </row>
    <row r="805" spans="1:7" ht="15.6" x14ac:dyDescent="0.3">
      <c r="A805" s="16">
        <v>45493</v>
      </c>
      <c r="B805" s="10" t="s">
        <v>22</v>
      </c>
      <c r="C805" s="10" t="s">
        <v>11</v>
      </c>
      <c r="D805" s="10" t="s">
        <v>9</v>
      </c>
      <c r="E805" s="4">
        <v>6</v>
      </c>
      <c r="F805" s="4">
        <v>4446</v>
      </c>
      <c r="G805" s="9">
        <v>1217.8599999999999</v>
      </c>
    </row>
    <row r="806" spans="1:7" ht="15.6" x14ac:dyDescent="0.3">
      <c r="A806" s="16">
        <v>45002</v>
      </c>
      <c r="B806" s="10" t="s">
        <v>7</v>
      </c>
      <c r="C806" s="10" t="s">
        <v>8</v>
      </c>
      <c r="D806" s="10" t="s">
        <v>16</v>
      </c>
      <c r="E806" s="4">
        <v>3</v>
      </c>
      <c r="F806" s="4">
        <v>1893</v>
      </c>
      <c r="G806" s="9">
        <v>508.8</v>
      </c>
    </row>
    <row r="807" spans="1:7" ht="15.6" x14ac:dyDescent="0.3">
      <c r="A807" s="16">
        <v>45477</v>
      </c>
      <c r="B807" s="10" t="s">
        <v>17</v>
      </c>
      <c r="C807" s="10" t="s">
        <v>14</v>
      </c>
      <c r="D807" s="10" t="s">
        <v>12</v>
      </c>
      <c r="E807" s="4">
        <v>4</v>
      </c>
      <c r="F807" s="4">
        <v>4492</v>
      </c>
      <c r="G807" s="9">
        <v>670.42</v>
      </c>
    </row>
    <row r="808" spans="1:7" ht="15.6" x14ac:dyDescent="0.3">
      <c r="A808" s="16">
        <v>45150</v>
      </c>
      <c r="B808" s="10" t="s">
        <v>10</v>
      </c>
      <c r="C808" s="10" t="s">
        <v>11</v>
      </c>
      <c r="D808" s="10" t="s">
        <v>15</v>
      </c>
      <c r="E808" s="4">
        <v>6</v>
      </c>
      <c r="F808" s="4">
        <v>6228</v>
      </c>
      <c r="G808" s="9">
        <v>1852.45</v>
      </c>
    </row>
    <row r="809" spans="1:7" ht="15.6" x14ac:dyDescent="0.3">
      <c r="A809" s="16">
        <v>45039</v>
      </c>
      <c r="B809" s="10" t="s">
        <v>17</v>
      </c>
      <c r="C809" s="10" t="s">
        <v>14</v>
      </c>
      <c r="D809" s="10" t="s">
        <v>12</v>
      </c>
      <c r="E809" s="4">
        <v>7</v>
      </c>
      <c r="F809" s="4">
        <v>4403</v>
      </c>
      <c r="G809" s="9">
        <v>1295.8900000000001</v>
      </c>
    </row>
    <row r="810" spans="1:7" ht="15.6" x14ac:dyDescent="0.3">
      <c r="A810" s="16">
        <v>44849</v>
      </c>
      <c r="B810" s="10" t="s">
        <v>18</v>
      </c>
      <c r="C810" s="10" t="s">
        <v>11</v>
      </c>
      <c r="D810" s="10" t="s">
        <v>15</v>
      </c>
      <c r="E810" s="4">
        <v>9</v>
      </c>
      <c r="F810" s="4">
        <v>4176</v>
      </c>
      <c r="G810" s="9">
        <v>510.97</v>
      </c>
    </row>
    <row r="811" spans="1:7" ht="15.6" x14ac:dyDescent="0.3">
      <c r="A811" s="16">
        <v>44705</v>
      </c>
      <c r="B811" s="10" t="s">
        <v>22</v>
      </c>
      <c r="C811" s="10" t="s">
        <v>11</v>
      </c>
      <c r="D811" s="10" t="s">
        <v>16</v>
      </c>
      <c r="E811" s="4">
        <v>2</v>
      </c>
      <c r="F811" s="4">
        <v>486</v>
      </c>
      <c r="G811" s="9">
        <v>64.430000000000007</v>
      </c>
    </row>
    <row r="812" spans="1:7" ht="15.6" x14ac:dyDescent="0.3">
      <c r="A812" s="16">
        <v>44690</v>
      </c>
      <c r="B812" s="10" t="s">
        <v>7</v>
      </c>
      <c r="C812" s="10" t="s">
        <v>8</v>
      </c>
      <c r="D812" s="10" t="s">
        <v>12</v>
      </c>
      <c r="E812" s="4">
        <v>5</v>
      </c>
      <c r="F812" s="4">
        <v>4880</v>
      </c>
      <c r="G812" s="9">
        <v>1084.69</v>
      </c>
    </row>
    <row r="813" spans="1:7" ht="15.6" x14ac:dyDescent="0.3">
      <c r="A813" s="16">
        <v>44867</v>
      </c>
      <c r="B813" s="10" t="s">
        <v>7</v>
      </c>
      <c r="C813" s="10" t="s">
        <v>8</v>
      </c>
      <c r="D813" s="10" t="s">
        <v>16</v>
      </c>
      <c r="E813" s="4">
        <v>5</v>
      </c>
      <c r="F813" s="4">
        <v>265</v>
      </c>
      <c r="G813" s="9">
        <v>53.21</v>
      </c>
    </row>
    <row r="814" spans="1:7" ht="15.6" x14ac:dyDescent="0.3">
      <c r="A814" s="16">
        <v>45179</v>
      </c>
      <c r="B814" s="10" t="s">
        <v>23</v>
      </c>
      <c r="C814" s="10" t="s">
        <v>14</v>
      </c>
      <c r="D814" s="10" t="s">
        <v>12</v>
      </c>
      <c r="E814" s="4">
        <v>1</v>
      </c>
      <c r="F814" s="4">
        <v>1041</v>
      </c>
      <c r="G814" s="9">
        <v>128.58000000000001</v>
      </c>
    </row>
    <row r="815" spans="1:7" ht="15.6" x14ac:dyDescent="0.3">
      <c r="A815" s="16">
        <v>45379</v>
      </c>
      <c r="B815" s="10" t="s">
        <v>21</v>
      </c>
      <c r="C815" s="10" t="s">
        <v>14</v>
      </c>
      <c r="D815" s="10" t="s">
        <v>12</v>
      </c>
      <c r="E815" s="4">
        <v>8</v>
      </c>
      <c r="F815" s="4">
        <v>9448</v>
      </c>
      <c r="G815" s="9">
        <v>616.5</v>
      </c>
    </row>
    <row r="816" spans="1:7" ht="15.6" x14ac:dyDescent="0.3">
      <c r="A816" s="16">
        <v>44743</v>
      </c>
      <c r="B816" s="10" t="s">
        <v>18</v>
      </c>
      <c r="C816" s="10" t="s">
        <v>11</v>
      </c>
      <c r="D816" s="10" t="s">
        <v>15</v>
      </c>
      <c r="E816" s="4">
        <v>3</v>
      </c>
      <c r="F816" s="4">
        <v>1617</v>
      </c>
      <c r="G816" s="9">
        <v>440.46</v>
      </c>
    </row>
    <row r="817" spans="1:7" ht="15.6" x14ac:dyDescent="0.3">
      <c r="A817" s="16">
        <v>45339</v>
      </c>
      <c r="B817" s="10" t="s">
        <v>23</v>
      </c>
      <c r="C817" s="10" t="s">
        <v>14</v>
      </c>
      <c r="D817" s="10" t="s">
        <v>16</v>
      </c>
      <c r="E817" s="4">
        <v>2</v>
      </c>
      <c r="F817" s="4">
        <v>1486</v>
      </c>
      <c r="G817" s="9">
        <v>233.7</v>
      </c>
    </row>
    <row r="818" spans="1:7" ht="15.6" x14ac:dyDescent="0.3">
      <c r="A818" s="16">
        <v>45115</v>
      </c>
      <c r="B818" s="10" t="s">
        <v>19</v>
      </c>
      <c r="C818" s="10" t="s">
        <v>14</v>
      </c>
      <c r="D818" s="10" t="s">
        <v>12</v>
      </c>
      <c r="E818" s="4">
        <v>8</v>
      </c>
      <c r="F818" s="4">
        <v>7152</v>
      </c>
      <c r="G818" s="9">
        <v>1539.72</v>
      </c>
    </row>
    <row r="819" spans="1:7" ht="15.6" x14ac:dyDescent="0.3">
      <c r="A819" s="16">
        <v>44924</v>
      </c>
      <c r="B819" s="10" t="s">
        <v>10</v>
      </c>
      <c r="C819" s="10" t="s">
        <v>11</v>
      </c>
      <c r="D819" s="10" t="s">
        <v>12</v>
      </c>
      <c r="E819" s="4">
        <v>6</v>
      </c>
      <c r="F819" s="4">
        <v>1404</v>
      </c>
      <c r="G819" s="9">
        <v>368.36</v>
      </c>
    </row>
    <row r="820" spans="1:7" ht="15.6" x14ac:dyDescent="0.3">
      <c r="A820" s="16">
        <v>45149</v>
      </c>
      <c r="B820" s="10" t="s">
        <v>17</v>
      </c>
      <c r="C820" s="10" t="s">
        <v>14</v>
      </c>
      <c r="D820" s="10" t="s">
        <v>15</v>
      </c>
      <c r="E820" s="4">
        <v>2</v>
      </c>
      <c r="F820" s="4">
        <v>122</v>
      </c>
      <c r="G820" s="9">
        <v>16.23</v>
      </c>
    </row>
    <row r="821" spans="1:7" ht="15.6" x14ac:dyDescent="0.3">
      <c r="A821" s="16">
        <v>45139</v>
      </c>
      <c r="B821" s="10" t="s">
        <v>17</v>
      </c>
      <c r="C821" s="10" t="s">
        <v>14</v>
      </c>
      <c r="D821" s="10" t="s">
        <v>9</v>
      </c>
      <c r="E821" s="4">
        <v>9</v>
      </c>
      <c r="F821" s="4">
        <v>7533</v>
      </c>
      <c r="G821" s="9">
        <v>1285.72</v>
      </c>
    </row>
    <row r="822" spans="1:7" ht="15.6" x14ac:dyDescent="0.3">
      <c r="A822" s="16">
        <v>45130</v>
      </c>
      <c r="B822" s="10" t="s">
        <v>18</v>
      </c>
      <c r="C822" s="10" t="s">
        <v>11</v>
      </c>
      <c r="D822" s="10" t="s">
        <v>15</v>
      </c>
      <c r="E822" s="4">
        <v>4</v>
      </c>
      <c r="F822" s="4">
        <v>3888</v>
      </c>
      <c r="G822" s="9">
        <v>810.08</v>
      </c>
    </row>
    <row r="823" spans="1:7" ht="15.6" x14ac:dyDescent="0.3">
      <c r="A823" s="16">
        <v>45478</v>
      </c>
      <c r="B823" s="10" t="s">
        <v>21</v>
      </c>
      <c r="C823" s="10" t="s">
        <v>14</v>
      </c>
      <c r="D823" s="10" t="s">
        <v>15</v>
      </c>
      <c r="E823" s="4">
        <v>5</v>
      </c>
      <c r="F823" s="4">
        <v>870</v>
      </c>
      <c r="G823" s="9">
        <v>48.87</v>
      </c>
    </row>
    <row r="824" spans="1:7" ht="15.6" x14ac:dyDescent="0.3">
      <c r="A824" s="16">
        <v>44893</v>
      </c>
      <c r="B824" s="10" t="s">
        <v>10</v>
      </c>
      <c r="C824" s="10" t="s">
        <v>11</v>
      </c>
      <c r="D824" s="10" t="s">
        <v>15</v>
      </c>
      <c r="E824" s="4">
        <v>2</v>
      </c>
      <c r="F824" s="4">
        <v>1446</v>
      </c>
      <c r="G824" s="9">
        <v>403.89</v>
      </c>
    </row>
    <row r="825" spans="1:7" ht="15.6" x14ac:dyDescent="0.3">
      <c r="A825" s="16">
        <v>45607</v>
      </c>
      <c r="B825" s="10" t="s">
        <v>13</v>
      </c>
      <c r="C825" s="10" t="s">
        <v>14</v>
      </c>
      <c r="D825" s="10" t="s">
        <v>15</v>
      </c>
      <c r="E825" s="4">
        <v>6</v>
      </c>
      <c r="F825" s="4">
        <v>510</v>
      </c>
      <c r="G825" s="9">
        <v>151.91</v>
      </c>
    </row>
    <row r="826" spans="1:7" ht="15.6" x14ac:dyDescent="0.3">
      <c r="A826" s="16">
        <v>45502</v>
      </c>
      <c r="B826" s="10" t="s">
        <v>22</v>
      </c>
      <c r="C826" s="10" t="s">
        <v>11</v>
      </c>
      <c r="D826" s="10" t="s">
        <v>16</v>
      </c>
      <c r="E826" s="4">
        <v>8</v>
      </c>
      <c r="F826" s="4">
        <v>6224</v>
      </c>
      <c r="G826" s="9">
        <v>790.27</v>
      </c>
    </row>
    <row r="827" spans="1:7" ht="15.6" x14ac:dyDescent="0.3">
      <c r="A827" s="16">
        <v>45041</v>
      </c>
      <c r="B827" s="10" t="s">
        <v>22</v>
      </c>
      <c r="C827" s="10" t="s">
        <v>11</v>
      </c>
      <c r="D827" s="10" t="s">
        <v>9</v>
      </c>
      <c r="E827" s="4">
        <v>2</v>
      </c>
      <c r="F827" s="4">
        <v>686</v>
      </c>
      <c r="G827" s="9">
        <v>85.03</v>
      </c>
    </row>
    <row r="828" spans="1:7" ht="15.6" x14ac:dyDescent="0.3">
      <c r="A828" s="16">
        <v>45271</v>
      </c>
      <c r="B828" s="10" t="s">
        <v>10</v>
      </c>
      <c r="C828" s="10" t="s">
        <v>11</v>
      </c>
      <c r="D828" s="10" t="s">
        <v>16</v>
      </c>
      <c r="E828" s="4">
        <v>4</v>
      </c>
      <c r="F828" s="4">
        <v>2840</v>
      </c>
      <c r="G828" s="9">
        <v>591.94000000000005</v>
      </c>
    </row>
    <row r="829" spans="1:7" ht="15.6" x14ac:dyDescent="0.3">
      <c r="A829" s="16">
        <v>45242</v>
      </c>
      <c r="B829" s="10" t="s">
        <v>23</v>
      </c>
      <c r="C829" s="10" t="s">
        <v>14</v>
      </c>
      <c r="D829" s="10" t="s">
        <v>15</v>
      </c>
      <c r="E829" s="4">
        <v>7</v>
      </c>
      <c r="F829" s="4">
        <v>2562</v>
      </c>
      <c r="G829" s="9">
        <v>347.62</v>
      </c>
    </row>
    <row r="830" spans="1:7" ht="15.6" x14ac:dyDescent="0.3">
      <c r="A830" s="16">
        <v>45416</v>
      </c>
      <c r="B830" s="10" t="s">
        <v>21</v>
      </c>
      <c r="C830" s="10" t="s">
        <v>14</v>
      </c>
      <c r="D830" s="10" t="s">
        <v>16</v>
      </c>
      <c r="E830" s="4">
        <v>5</v>
      </c>
      <c r="F830" s="4">
        <v>790</v>
      </c>
      <c r="G830" s="9">
        <v>216.12</v>
      </c>
    </row>
    <row r="831" spans="1:7" ht="15.6" x14ac:dyDescent="0.3">
      <c r="A831" s="16">
        <v>44751</v>
      </c>
      <c r="B831" s="10" t="s">
        <v>23</v>
      </c>
      <c r="C831" s="10" t="s">
        <v>14</v>
      </c>
      <c r="D831" s="10" t="s">
        <v>12</v>
      </c>
      <c r="E831" s="4">
        <v>5</v>
      </c>
      <c r="F831" s="4">
        <v>4170</v>
      </c>
      <c r="G831" s="9">
        <v>786.42</v>
      </c>
    </row>
    <row r="832" spans="1:7" ht="15.6" x14ac:dyDescent="0.3">
      <c r="A832" s="16">
        <v>44887</v>
      </c>
      <c r="B832" s="10" t="s">
        <v>13</v>
      </c>
      <c r="C832" s="10" t="s">
        <v>14</v>
      </c>
      <c r="D832" s="10" t="s">
        <v>12</v>
      </c>
      <c r="E832" s="4">
        <v>4</v>
      </c>
      <c r="F832" s="4">
        <v>1360</v>
      </c>
      <c r="G832" s="9">
        <v>373.59</v>
      </c>
    </row>
    <row r="833" spans="1:7" ht="15.6" x14ac:dyDescent="0.3">
      <c r="A833" s="16">
        <v>44633</v>
      </c>
      <c r="B833" s="10" t="s">
        <v>17</v>
      </c>
      <c r="C833" s="10" t="s">
        <v>14</v>
      </c>
      <c r="D833" s="10" t="s">
        <v>12</v>
      </c>
      <c r="E833" s="4">
        <v>6</v>
      </c>
      <c r="F833" s="4">
        <v>5316</v>
      </c>
      <c r="G833" s="9">
        <v>782.42</v>
      </c>
    </row>
    <row r="834" spans="1:7" ht="15.6" x14ac:dyDescent="0.3">
      <c r="A834" s="16">
        <v>45127</v>
      </c>
      <c r="B834" s="10" t="s">
        <v>23</v>
      </c>
      <c r="C834" s="10" t="s">
        <v>14</v>
      </c>
      <c r="D834" s="10" t="s">
        <v>16</v>
      </c>
      <c r="E834" s="4">
        <v>4</v>
      </c>
      <c r="F834" s="4">
        <v>3956</v>
      </c>
      <c r="G834" s="9">
        <v>293.38</v>
      </c>
    </row>
    <row r="835" spans="1:7" ht="15.6" x14ac:dyDescent="0.3">
      <c r="A835" s="16">
        <v>44690</v>
      </c>
      <c r="B835" s="10" t="s">
        <v>20</v>
      </c>
      <c r="C835" s="10" t="s">
        <v>11</v>
      </c>
      <c r="D835" s="10" t="s">
        <v>9</v>
      </c>
      <c r="E835" s="4">
        <v>3</v>
      </c>
      <c r="F835" s="4">
        <v>726</v>
      </c>
      <c r="G835" s="9">
        <v>94.38</v>
      </c>
    </row>
    <row r="836" spans="1:7" ht="15.6" x14ac:dyDescent="0.3">
      <c r="A836" s="16">
        <v>45508</v>
      </c>
      <c r="B836" s="10" t="s">
        <v>21</v>
      </c>
      <c r="C836" s="10" t="s">
        <v>14</v>
      </c>
      <c r="D836" s="10" t="s">
        <v>9</v>
      </c>
      <c r="E836" s="4">
        <v>4</v>
      </c>
      <c r="F836" s="4">
        <v>228</v>
      </c>
      <c r="G836" s="9">
        <v>29.37</v>
      </c>
    </row>
    <row r="837" spans="1:7" ht="15.6" x14ac:dyDescent="0.3">
      <c r="A837" s="16">
        <v>44773</v>
      </c>
      <c r="B837" s="10" t="s">
        <v>18</v>
      </c>
      <c r="C837" s="10" t="s">
        <v>11</v>
      </c>
      <c r="D837" s="10" t="s">
        <v>9</v>
      </c>
      <c r="E837" s="4">
        <v>3</v>
      </c>
      <c r="F837" s="4">
        <v>2274</v>
      </c>
      <c r="G837" s="9">
        <v>442.57</v>
      </c>
    </row>
    <row r="838" spans="1:7" ht="15.6" x14ac:dyDescent="0.3">
      <c r="A838" s="16">
        <v>45548</v>
      </c>
      <c r="B838" s="10" t="s">
        <v>22</v>
      </c>
      <c r="C838" s="10" t="s">
        <v>11</v>
      </c>
      <c r="D838" s="10" t="s">
        <v>9</v>
      </c>
      <c r="E838" s="4">
        <v>9</v>
      </c>
      <c r="F838" s="4">
        <v>2628</v>
      </c>
      <c r="G838" s="9">
        <v>459.87</v>
      </c>
    </row>
    <row r="839" spans="1:7" ht="15.6" x14ac:dyDescent="0.3">
      <c r="A839" s="16">
        <v>45438</v>
      </c>
      <c r="B839" s="10" t="s">
        <v>17</v>
      </c>
      <c r="C839" s="10" t="s">
        <v>14</v>
      </c>
      <c r="D839" s="10" t="s">
        <v>15</v>
      </c>
      <c r="E839" s="4">
        <v>6</v>
      </c>
      <c r="F839" s="4">
        <v>606</v>
      </c>
      <c r="G839" s="9">
        <v>104.85</v>
      </c>
    </row>
    <row r="840" spans="1:7" ht="15.6" x14ac:dyDescent="0.3">
      <c r="A840" s="16">
        <v>45611</v>
      </c>
      <c r="B840" s="10" t="s">
        <v>18</v>
      </c>
      <c r="C840" s="10" t="s">
        <v>11</v>
      </c>
      <c r="D840" s="10" t="s">
        <v>12</v>
      </c>
      <c r="E840" s="4">
        <v>8</v>
      </c>
      <c r="F840" s="4">
        <v>7256</v>
      </c>
      <c r="G840" s="9">
        <v>558.79</v>
      </c>
    </row>
    <row r="841" spans="1:7" ht="15.6" x14ac:dyDescent="0.3">
      <c r="A841" s="16">
        <v>44996</v>
      </c>
      <c r="B841" s="10" t="s">
        <v>17</v>
      </c>
      <c r="C841" s="10" t="s">
        <v>14</v>
      </c>
      <c r="D841" s="10" t="s">
        <v>16</v>
      </c>
      <c r="E841" s="4">
        <v>4</v>
      </c>
      <c r="F841" s="4">
        <v>1956</v>
      </c>
      <c r="G841" s="9">
        <v>125.69</v>
      </c>
    </row>
    <row r="842" spans="1:7" ht="15.6" x14ac:dyDescent="0.3">
      <c r="A842" s="16">
        <v>45463</v>
      </c>
      <c r="B842" s="10" t="s">
        <v>7</v>
      </c>
      <c r="C842" s="10" t="s">
        <v>8</v>
      </c>
      <c r="D842" s="10" t="s">
        <v>15</v>
      </c>
      <c r="E842" s="4">
        <v>6</v>
      </c>
      <c r="F842" s="4">
        <v>3954</v>
      </c>
      <c r="G842" s="9">
        <v>690.1</v>
      </c>
    </row>
    <row r="843" spans="1:7" ht="15.6" x14ac:dyDescent="0.3">
      <c r="A843" s="16">
        <v>44937</v>
      </c>
      <c r="B843" s="10" t="s">
        <v>22</v>
      </c>
      <c r="C843" s="10" t="s">
        <v>11</v>
      </c>
      <c r="D843" s="10" t="s">
        <v>12</v>
      </c>
      <c r="E843" s="4">
        <v>6</v>
      </c>
      <c r="F843" s="4">
        <v>2262</v>
      </c>
      <c r="G843" s="9">
        <v>442.86</v>
      </c>
    </row>
    <row r="844" spans="1:7" ht="15.6" x14ac:dyDescent="0.3">
      <c r="A844" s="16">
        <v>44607</v>
      </c>
      <c r="B844" s="10" t="s">
        <v>7</v>
      </c>
      <c r="C844" s="10" t="s">
        <v>8</v>
      </c>
      <c r="D844" s="10" t="s">
        <v>9</v>
      </c>
      <c r="E844" s="4">
        <v>4</v>
      </c>
      <c r="F844" s="4">
        <v>2804</v>
      </c>
      <c r="G844" s="9">
        <v>391.59</v>
      </c>
    </row>
    <row r="845" spans="1:7" ht="15.6" x14ac:dyDescent="0.3">
      <c r="A845" s="16">
        <v>44677</v>
      </c>
      <c r="B845" s="10" t="s">
        <v>13</v>
      </c>
      <c r="C845" s="10" t="s">
        <v>14</v>
      </c>
      <c r="D845" s="10" t="s">
        <v>15</v>
      </c>
      <c r="E845" s="4">
        <v>9</v>
      </c>
      <c r="F845" s="4">
        <v>5850</v>
      </c>
      <c r="G845" s="9">
        <v>1511.06</v>
      </c>
    </row>
    <row r="846" spans="1:7" ht="15.6" x14ac:dyDescent="0.3">
      <c r="A846" s="16">
        <v>45084</v>
      </c>
      <c r="B846" s="10" t="s">
        <v>22</v>
      </c>
      <c r="C846" s="10" t="s">
        <v>11</v>
      </c>
      <c r="D846" s="10" t="s">
        <v>16</v>
      </c>
      <c r="E846" s="4">
        <v>1</v>
      </c>
      <c r="F846" s="4">
        <v>56</v>
      </c>
      <c r="G846" s="9">
        <v>9.16</v>
      </c>
    </row>
    <row r="847" spans="1:7" ht="15.6" x14ac:dyDescent="0.3">
      <c r="A847" s="16">
        <v>45308</v>
      </c>
      <c r="B847" s="10" t="s">
        <v>20</v>
      </c>
      <c r="C847" s="10" t="s">
        <v>11</v>
      </c>
      <c r="D847" s="10" t="s">
        <v>12</v>
      </c>
      <c r="E847" s="4">
        <v>9</v>
      </c>
      <c r="F847" s="4">
        <v>4302</v>
      </c>
      <c r="G847" s="9">
        <v>344.64</v>
      </c>
    </row>
    <row r="848" spans="1:7" ht="15.6" x14ac:dyDescent="0.3">
      <c r="A848" s="16">
        <v>45426</v>
      </c>
      <c r="B848" s="10" t="s">
        <v>17</v>
      </c>
      <c r="C848" s="10" t="s">
        <v>14</v>
      </c>
      <c r="D848" s="10" t="s">
        <v>16</v>
      </c>
      <c r="E848" s="4">
        <v>9</v>
      </c>
      <c r="F848" s="4">
        <v>10143</v>
      </c>
      <c r="G848" s="9">
        <v>1690.66</v>
      </c>
    </row>
    <row r="849" spans="1:7" ht="15.6" x14ac:dyDescent="0.3">
      <c r="A849" s="16">
        <v>45061</v>
      </c>
      <c r="B849" s="10" t="s">
        <v>18</v>
      </c>
      <c r="C849" s="10" t="s">
        <v>11</v>
      </c>
      <c r="D849" s="10" t="s">
        <v>9</v>
      </c>
      <c r="E849" s="4">
        <v>1</v>
      </c>
      <c r="F849" s="4">
        <v>1012</v>
      </c>
      <c r="G849" s="9">
        <v>164.89</v>
      </c>
    </row>
    <row r="850" spans="1:7" ht="15.6" x14ac:dyDescent="0.3">
      <c r="A850" s="16">
        <v>45068</v>
      </c>
      <c r="B850" s="10" t="s">
        <v>13</v>
      </c>
      <c r="C850" s="10" t="s">
        <v>14</v>
      </c>
      <c r="D850" s="10" t="s">
        <v>12</v>
      </c>
      <c r="E850" s="4">
        <v>9</v>
      </c>
      <c r="F850" s="4">
        <v>8964</v>
      </c>
      <c r="G850" s="9">
        <v>448.62</v>
      </c>
    </row>
    <row r="851" spans="1:7" ht="15.6" x14ac:dyDescent="0.3">
      <c r="A851" s="16">
        <v>44778</v>
      </c>
      <c r="B851" s="10" t="s">
        <v>10</v>
      </c>
      <c r="C851" s="10" t="s">
        <v>11</v>
      </c>
      <c r="D851" s="10" t="s">
        <v>15</v>
      </c>
      <c r="E851" s="4">
        <v>6</v>
      </c>
      <c r="F851" s="4">
        <v>1758</v>
      </c>
      <c r="G851" s="9">
        <v>262.36</v>
      </c>
    </row>
    <row r="852" spans="1:7" ht="15.6" x14ac:dyDescent="0.3">
      <c r="A852" s="16">
        <v>45211</v>
      </c>
      <c r="B852" s="10" t="s">
        <v>7</v>
      </c>
      <c r="C852" s="10" t="s">
        <v>8</v>
      </c>
      <c r="D852" s="10" t="s">
        <v>9</v>
      </c>
      <c r="E852" s="4">
        <v>6</v>
      </c>
      <c r="F852" s="4">
        <v>6348</v>
      </c>
      <c r="G852" s="9">
        <v>557.72</v>
      </c>
    </row>
    <row r="853" spans="1:7" ht="15.6" x14ac:dyDescent="0.3">
      <c r="A853" s="16">
        <v>45234</v>
      </c>
      <c r="B853" s="10" t="s">
        <v>7</v>
      </c>
      <c r="C853" s="10" t="s">
        <v>8</v>
      </c>
      <c r="D853" s="10" t="s">
        <v>9</v>
      </c>
      <c r="E853" s="4">
        <v>2</v>
      </c>
      <c r="F853" s="4">
        <v>1582</v>
      </c>
      <c r="G853" s="9">
        <v>422.46</v>
      </c>
    </row>
    <row r="854" spans="1:7" ht="15.6" x14ac:dyDescent="0.3">
      <c r="A854" s="16">
        <v>45063</v>
      </c>
      <c r="B854" s="10" t="s">
        <v>10</v>
      </c>
      <c r="C854" s="10" t="s">
        <v>11</v>
      </c>
      <c r="D854" s="10" t="s">
        <v>15</v>
      </c>
      <c r="E854" s="4">
        <v>2</v>
      </c>
      <c r="F854" s="4">
        <v>1924</v>
      </c>
      <c r="G854" s="9">
        <v>394.4</v>
      </c>
    </row>
    <row r="855" spans="1:7" ht="15.6" x14ac:dyDescent="0.3">
      <c r="A855" s="16">
        <v>45018</v>
      </c>
      <c r="B855" s="10" t="s">
        <v>22</v>
      </c>
      <c r="C855" s="10" t="s">
        <v>11</v>
      </c>
      <c r="D855" s="10" t="s">
        <v>9</v>
      </c>
      <c r="E855" s="4">
        <v>1</v>
      </c>
      <c r="F855" s="4">
        <v>120</v>
      </c>
      <c r="G855" s="9">
        <v>23.86</v>
      </c>
    </row>
    <row r="856" spans="1:7" ht="15.6" x14ac:dyDescent="0.3">
      <c r="A856" s="16">
        <v>45317</v>
      </c>
      <c r="B856" s="10" t="s">
        <v>18</v>
      </c>
      <c r="C856" s="10" t="s">
        <v>11</v>
      </c>
      <c r="D856" s="10" t="s">
        <v>12</v>
      </c>
      <c r="E856" s="4">
        <v>8</v>
      </c>
      <c r="F856" s="4">
        <v>7752</v>
      </c>
      <c r="G856" s="9">
        <v>1943.84</v>
      </c>
    </row>
    <row r="857" spans="1:7" ht="15.6" x14ac:dyDescent="0.3">
      <c r="A857" s="16">
        <v>45120</v>
      </c>
      <c r="B857" s="10" t="s">
        <v>17</v>
      </c>
      <c r="C857" s="10" t="s">
        <v>14</v>
      </c>
      <c r="D857" s="10" t="s">
        <v>12</v>
      </c>
      <c r="E857" s="4">
        <v>2</v>
      </c>
      <c r="F857" s="4">
        <v>1114</v>
      </c>
      <c r="G857" s="9">
        <v>300.44</v>
      </c>
    </row>
    <row r="858" spans="1:7" ht="15.6" x14ac:dyDescent="0.3">
      <c r="A858" s="16">
        <v>45624</v>
      </c>
      <c r="B858" s="10" t="s">
        <v>22</v>
      </c>
      <c r="C858" s="10" t="s">
        <v>11</v>
      </c>
      <c r="D858" s="10" t="s">
        <v>9</v>
      </c>
      <c r="E858" s="4">
        <v>5</v>
      </c>
      <c r="F858" s="4">
        <v>1765</v>
      </c>
      <c r="G858" s="9">
        <v>229.06</v>
      </c>
    </row>
    <row r="859" spans="1:7" ht="15.6" x14ac:dyDescent="0.3">
      <c r="A859" s="16">
        <v>44783</v>
      </c>
      <c r="B859" s="10" t="s">
        <v>22</v>
      </c>
      <c r="C859" s="10" t="s">
        <v>11</v>
      </c>
      <c r="D859" s="10" t="s">
        <v>16</v>
      </c>
      <c r="E859" s="4">
        <v>6</v>
      </c>
      <c r="F859" s="4">
        <v>6834</v>
      </c>
      <c r="G859" s="9">
        <v>1418.21</v>
      </c>
    </row>
    <row r="860" spans="1:7" ht="15.6" x14ac:dyDescent="0.3">
      <c r="A860" s="16">
        <v>44818</v>
      </c>
      <c r="B860" s="10" t="s">
        <v>21</v>
      </c>
      <c r="C860" s="10" t="s">
        <v>14</v>
      </c>
      <c r="D860" s="10" t="s">
        <v>12</v>
      </c>
      <c r="E860" s="4">
        <v>5</v>
      </c>
      <c r="F860" s="4">
        <v>1520</v>
      </c>
      <c r="G860" s="9">
        <v>433.53</v>
      </c>
    </row>
    <row r="861" spans="1:7" ht="15.6" x14ac:dyDescent="0.3">
      <c r="A861" s="16">
        <v>45143</v>
      </c>
      <c r="B861" s="10" t="s">
        <v>19</v>
      </c>
      <c r="C861" s="10" t="s">
        <v>14</v>
      </c>
      <c r="D861" s="10" t="s">
        <v>16</v>
      </c>
      <c r="E861" s="4">
        <v>7</v>
      </c>
      <c r="F861" s="4">
        <v>8141</v>
      </c>
      <c r="G861" s="9">
        <v>767.6</v>
      </c>
    </row>
    <row r="862" spans="1:7" ht="15.6" x14ac:dyDescent="0.3">
      <c r="A862" s="16">
        <v>45168</v>
      </c>
      <c r="B862" s="10" t="s">
        <v>13</v>
      </c>
      <c r="C862" s="10" t="s">
        <v>14</v>
      </c>
      <c r="D862" s="10" t="s">
        <v>15</v>
      </c>
      <c r="E862" s="4">
        <v>8</v>
      </c>
      <c r="F862" s="4">
        <v>5176</v>
      </c>
      <c r="G862" s="9">
        <v>866.36</v>
      </c>
    </row>
    <row r="863" spans="1:7" ht="15.6" x14ac:dyDescent="0.3">
      <c r="A863" s="16">
        <v>45423</v>
      </c>
      <c r="B863" s="10" t="s">
        <v>10</v>
      </c>
      <c r="C863" s="10" t="s">
        <v>11</v>
      </c>
      <c r="D863" s="10" t="s">
        <v>12</v>
      </c>
      <c r="E863" s="4">
        <v>9</v>
      </c>
      <c r="F863" s="4">
        <v>738</v>
      </c>
      <c r="G863" s="9">
        <v>64.42</v>
      </c>
    </row>
    <row r="864" spans="1:7" ht="15.6" x14ac:dyDescent="0.3">
      <c r="A864" s="16">
        <v>45308</v>
      </c>
      <c r="B864" s="10" t="s">
        <v>7</v>
      </c>
      <c r="C864" s="10" t="s">
        <v>8</v>
      </c>
      <c r="D864" s="10" t="s">
        <v>15</v>
      </c>
      <c r="E864" s="4">
        <v>9</v>
      </c>
      <c r="F864" s="4">
        <v>4086</v>
      </c>
      <c r="G864" s="9">
        <v>217.48</v>
      </c>
    </row>
    <row r="865" spans="1:7" ht="15.6" x14ac:dyDescent="0.3">
      <c r="A865" s="16">
        <v>44820</v>
      </c>
      <c r="B865" s="10" t="s">
        <v>10</v>
      </c>
      <c r="C865" s="10" t="s">
        <v>11</v>
      </c>
      <c r="D865" s="10" t="s">
        <v>12</v>
      </c>
      <c r="E865" s="4">
        <v>2</v>
      </c>
      <c r="F865" s="4">
        <v>442</v>
      </c>
      <c r="G865" s="9">
        <v>28.13</v>
      </c>
    </row>
    <row r="866" spans="1:7" ht="15.6" x14ac:dyDescent="0.3">
      <c r="A866" s="16">
        <v>44939</v>
      </c>
      <c r="B866" s="10" t="s">
        <v>21</v>
      </c>
      <c r="C866" s="10" t="s">
        <v>14</v>
      </c>
      <c r="D866" s="10" t="s">
        <v>12</v>
      </c>
      <c r="E866" s="4">
        <v>6</v>
      </c>
      <c r="F866" s="4">
        <v>2478</v>
      </c>
      <c r="G866" s="9">
        <v>153.86000000000001</v>
      </c>
    </row>
    <row r="867" spans="1:7" ht="15.6" x14ac:dyDescent="0.3">
      <c r="A867" s="16">
        <v>44583</v>
      </c>
      <c r="B867" s="10" t="s">
        <v>22</v>
      </c>
      <c r="C867" s="10" t="s">
        <v>11</v>
      </c>
      <c r="D867" s="10" t="s">
        <v>15</v>
      </c>
      <c r="E867" s="4">
        <v>2</v>
      </c>
      <c r="F867" s="4">
        <v>1860</v>
      </c>
      <c r="G867" s="9">
        <v>327.14999999999998</v>
      </c>
    </row>
    <row r="868" spans="1:7" ht="15.6" x14ac:dyDescent="0.3">
      <c r="A868" s="16">
        <v>44705</v>
      </c>
      <c r="B868" s="10" t="s">
        <v>20</v>
      </c>
      <c r="C868" s="10" t="s">
        <v>11</v>
      </c>
      <c r="D868" s="10" t="s">
        <v>12</v>
      </c>
      <c r="E868" s="4">
        <v>9</v>
      </c>
      <c r="F868" s="4">
        <v>4968</v>
      </c>
      <c r="G868" s="9">
        <v>991.82</v>
      </c>
    </row>
    <row r="869" spans="1:7" ht="15.6" x14ac:dyDescent="0.3">
      <c r="A869" s="16">
        <v>44990</v>
      </c>
      <c r="B869" s="10" t="s">
        <v>7</v>
      </c>
      <c r="C869" s="10" t="s">
        <v>8</v>
      </c>
      <c r="D869" s="10" t="s">
        <v>15</v>
      </c>
      <c r="E869" s="4">
        <v>3</v>
      </c>
      <c r="F869" s="4">
        <v>1446</v>
      </c>
      <c r="G869" s="9">
        <v>278.94</v>
      </c>
    </row>
    <row r="870" spans="1:7" ht="15.6" x14ac:dyDescent="0.3">
      <c r="A870" s="16">
        <v>45041</v>
      </c>
      <c r="B870" s="10" t="s">
        <v>10</v>
      </c>
      <c r="C870" s="10" t="s">
        <v>11</v>
      </c>
      <c r="D870" s="10" t="s">
        <v>12</v>
      </c>
      <c r="E870" s="4">
        <v>7</v>
      </c>
      <c r="F870" s="4">
        <v>1722</v>
      </c>
      <c r="G870" s="9">
        <v>414.87</v>
      </c>
    </row>
    <row r="871" spans="1:7" ht="15.6" x14ac:dyDescent="0.3">
      <c r="A871" s="16">
        <v>45486</v>
      </c>
      <c r="B871" s="10" t="s">
        <v>19</v>
      </c>
      <c r="C871" s="10" t="s">
        <v>14</v>
      </c>
      <c r="D871" s="10" t="s">
        <v>12</v>
      </c>
      <c r="E871" s="4">
        <v>7</v>
      </c>
      <c r="F871" s="4">
        <v>6573</v>
      </c>
      <c r="G871" s="9">
        <v>460.28</v>
      </c>
    </row>
    <row r="872" spans="1:7" ht="15.6" x14ac:dyDescent="0.3">
      <c r="A872" s="16">
        <v>45536</v>
      </c>
      <c r="B872" s="10" t="s">
        <v>18</v>
      </c>
      <c r="C872" s="10" t="s">
        <v>11</v>
      </c>
      <c r="D872" s="10" t="s">
        <v>12</v>
      </c>
      <c r="E872" s="4">
        <v>3</v>
      </c>
      <c r="F872" s="4">
        <v>2481</v>
      </c>
      <c r="G872" s="9">
        <v>249.52</v>
      </c>
    </row>
    <row r="873" spans="1:7" ht="15.6" x14ac:dyDescent="0.3">
      <c r="A873" s="16">
        <v>45652</v>
      </c>
      <c r="B873" s="10" t="s">
        <v>20</v>
      </c>
      <c r="C873" s="10" t="s">
        <v>11</v>
      </c>
      <c r="D873" s="10" t="s">
        <v>16</v>
      </c>
      <c r="E873" s="4">
        <v>6</v>
      </c>
      <c r="F873" s="4">
        <v>3828</v>
      </c>
      <c r="G873" s="9">
        <v>1102.8599999999999</v>
      </c>
    </row>
    <row r="874" spans="1:7" ht="15.6" x14ac:dyDescent="0.3">
      <c r="A874" s="16">
        <v>45158</v>
      </c>
      <c r="B874" s="10" t="s">
        <v>13</v>
      </c>
      <c r="C874" s="10" t="s">
        <v>14</v>
      </c>
      <c r="D874" s="10" t="s">
        <v>12</v>
      </c>
      <c r="E874" s="4">
        <v>7</v>
      </c>
      <c r="F874" s="4">
        <v>1197</v>
      </c>
      <c r="G874" s="9">
        <v>103.34</v>
      </c>
    </row>
    <row r="875" spans="1:7" ht="15.6" x14ac:dyDescent="0.3">
      <c r="A875" s="16">
        <v>44570</v>
      </c>
      <c r="B875" s="10" t="s">
        <v>13</v>
      </c>
      <c r="C875" s="10" t="s">
        <v>14</v>
      </c>
      <c r="D875" s="10" t="s">
        <v>16</v>
      </c>
      <c r="E875" s="4">
        <v>7</v>
      </c>
      <c r="F875" s="4">
        <v>7623</v>
      </c>
      <c r="G875" s="9">
        <v>1459.84</v>
      </c>
    </row>
    <row r="876" spans="1:7" ht="15.6" x14ac:dyDescent="0.3">
      <c r="A876" s="16">
        <v>44787</v>
      </c>
      <c r="B876" s="10" t="s">
        <v>10</v>
      </c>
      <c r="C876" s="10" t="s">
        <v>11</v>
      </c>
      <c r="D876" s="10" t="s">
        <v>9</v>
      </c>
      <c r="E876" s="4">
        <v>9</v>
      </c>
      <c r="F876" s="4">
        <v>3384</v>
      </c>
      <c r="G876" s="9">
        <v>252.11</v>
      </c>
    </row>
    <row r="877" spans="1:7" ht="15.6" x14ac:dyDescent="0.3">
      <c r="A877" s="16">
        <v>44562</v>
      </c>
      <c r="B877" s="10" t="s">
        <v>20</v>
      </c>
      <c r="C877" s="10" t="s">
        <v>11</v>
      </c>
      <c r="D877" s="10" t="s">
        <v>15</v>
      </c>
      <c r="E877" s="4">
        <v>8</v>
      </c>
      <c r="F877" s="4">
        <v>1296</v>
      </c>
      <c r="G877" s="9">
        <v>273.97000000000003</v>
      </c>
    </row>
    <row r="878" spans="1:7" ht="15.6" x14ac:dyDescent="0.3">
      <c r="A878" s="16">
        <v>45498</v>
      </c>
      <c r="B878" s="10" t="s">
        <v>13</v>
      </c>
      <c r="C878" s="10" t="s">
        <v>14</v>
      </c>
      <c r="D878" s="10" t="s">
        <v>16</v>
      </c>
      <c r="E878" s="4">
        <v>8</v>
      </c>
      <c r="F878" s="4">
        <v>2840</v>
      </c>
      <c r="G878" s="9">
        <v>262.62</v>
      </c>
    </row>
    <row r="879" spans="1:7" ht="15.6" x14ac:dyDescent="0.3">
      <c r="A879" s="16">
        <v>45526</v>
      </c>
      <c r="B879" s="10" t="s">
        <v>17</v>
      </c>
      <c r="C879" s="10" t="s">
        <v>14</v>
      </c>
      <c r="D879" s="10" t="s">
        <v>12</v>
      </c>
      <c r="E879" s="4">
        <v>7</v>
      </c>
      <c r="F879" s="4">
        <v>1540</v>
      </c>
      <c r="G879" s="9">
        <v>342.93</v>
      </c>
    </row>
    <row r="880" spans="1:7" ht="15.6" x14ac:dyDescent="0.3">
      <c r="A880" s="16">
        <v>44740</v>
      </c>
      <c r="B880" s="10" t="s">
        <v>17</v>
      </c>
      <c r="C880" s="10" t="s">
        <v>14</v>
      </c>
      <c r="D880" s="10" t="s">
        <v>16</v>
      </c>
      <c r="E880" s="4">
        <v>2</v>
      </c>
      <c r="F880" s="4">
        <v>1414</v>
      </c>
      <c r="G880" s="9">
        <v>308.39</v>
      </c>
    </row>
    <row r="881" spans="1:7" ht="15.6" x14ac:dyDescent="0.3">
      <c r="A881" s="16">
        <v>45042</v>
      </c>
      <c r="B881" s="10" t="s">
        <v>17</v>
      </c>
      <c r="C881" s="10" t="s">
        <v>14</v>
      </c>
      <c r="D881" s="10" t="s">
        <v>16</v>
      </c>
      <c r="E881" s="4">
        <v>8</v>
      </c>
      <c r="F881" s="4">
        <v>8328</v>
      </c>
      <c r="G881" s="9">
        <v>466.38</v>
      </c>
    </row>
    <row r="882" spans="1:7" ht="15.6" x14ac:dyDescent="0.3">
      <c r="A882" s="16">
        <v>45167</v>
      </c>
      <c r="B882" s="10" t="s">
        <v>17</v>
      </c>
      <c r="C882" s="10" t="s">
        <v>14</v>
      </c>
      <c r="D882" s="10" t="s">
        <v>9</v>
      </c>
      <c r="E882" s="4">
        <v>2</v>
      </c>
      <c r="F882" s="4">
        <v>744</v>
      </c>
      <c r="G882" s="9">
        <v>217.21</v>
      </c>
    </row>
    <row r="883" spans="1:7" ht="15.6" x14ac:dyDescent="0.3">
      <c r="A883" s="16">
        <v>44928</v>
      </c>
      <c r="B883" s="10" t="s">
        <v>10</v>
      </c>
      <c r="C883" s="10" t="s">
        <v>11</v>
      </c>
      <c r="D883" s="10" t="s">
        <v>15</v>
      </c>
      <c r="E883" s="4">
        <v>9</v>
      </c>
      <c r="F883" s="4">
        <v>1773</v>
      </c>
      <c r="G883" s="9">
        <v>168.01</v>
      </c>
    </row>
    <row r="884" spans="1:7" ht="15.6" x14ac:dyDescent="0.3">
      <c r="A884" s="16">
        <v>45149</v>
      </c>
      <c r="B884" s="10" t="s">
        <v>21</v>
      </c>
      <c r="C884" s="10" t="s">
        <v>14</v>
      </c>
      <c r="D884" s="10" t="s">
        <v>12</v>
      </c>
      <c r="E884" s="4">
        <v>7</v>
      </c>
      <c r="F884" s="4">
        <v>6034</v>
      </c>
      <c r="G884" s="9">
        <v>1018.37</v>
      </c>
    </row>
    <row r="885" spans="1:7" ht="15.6" x14ac:dyDescent="0.3">
      <c r="A885" s="16">
        <v>45099</v>
      </c>
      <c r="B885" s="10" t="s">
        <v>21</v>
      </c>
      <c r="C885" s="10" t="s">
        <v>14</v>
      </c>
      <c r="D885" s="10" t="s">
        <v>15</v>
      </c>
      <c r="E885" s="4">
        <v>9</v>
      </c>
      <c r="F885" s="4">
        <v>756</v>
      </c>
      <c r="G885" s="9">
        <v>99.21</v>
      </c>
    </row>
    <row r="886" spans="1:7" ht="15.6" x14ac:dyDescent="0.3">
      <c r="A886" s="16">
        <v>45500</v>
      </c>
      <c r="B886" s="10" t="s">
        <v>20</v>
      </c>
      <c r="C886" s="10" t="s">
        <v>11</v>
      </c>
      <c r="D886" s="10" t="s">
        <v>12</v>
      </c>
      <c r="E886" s="4">
        <v>8</v>
      </c>
      <c r="F886" s="4">
        <v>2256</v>
      </c>
      <c r="G886" s="9">
        <v>468.52</v>
      </c>
    </row>
    <row r="887" spans="1:7" ht="15.6" x14ac:dyDescent="0.3">
      <c r="A887" s="16">
        <v>45260</v>
      </c>
      <c r="B887" s="10" t="s">
        <v>20</v>
      </c>
      <c r="C887" s="10" t="s">
        <v>11</v>
      </c>
      <c r="D887" s="10" t="s">
        <v>9</v>
      </c>
      <c r="E887" s="4">
        <v>7</v>
      </c>
      <c r="F887" s="4">
        <v>875</v>
      </c>
      <c r="G887" s="9">
        <v>203.63</v>
      </c>
    </row>
    <row r="888" spans="1:7" ht="15.6" x14ac:dyDescent="0.3">
      <c r="A888" s="16">
        <v>45622</v>
      </c>
      <c r="B888" s="10" t="s">
        <v>18</v>
      </c>
      <c r="C888" s="10" t="s">
        <v>11</v>
      </c>
      <c r="D888" s="10" t="s">
        <v>15</v>
      </c>
      <c r="E888" s="4">
        <v>4</v>
      </c>
      <c r="F888" s="4">
        <v>1208</v>
      </c>
      <c r="G888" s="9">
        <v>115.13</v>
      </c>
    </row>
    <row r="889" spans="1:7" ht="15.6" x14ac:dyDescent="0.3">
      <c r="A889" s="16">
        <v>45153</v>
      </c>
      <c r="B889" s="10" t="s">
        <v>18</v>
      </c>
      <c r="C889" s="10" t="s">
        <v>11</v>
      </c>
      <c r="D889" s="10" t="s">
        <v>15</v>
      </c>
      <c r="E889" s="4">
        <v>2</v>
      </c>
      <c r="F889" s="4">
        <v>352</v>
      </c>
      <c r="G889" s="9">
        <v>54.19</v>
      </c>
    </row>
    <row r="890" spans="1:7" ht="15.6" x14ac:dyDescent="0.3">
      <c r="A890" s="16">
        <v>44980</v>
      </c>
      <c r="B890" s="10" t="s">
        <v>7</v>
      </c>
      <c r="C890" s="10" t="s">
        <v>8</v>
      </c>
      <c r="D890" s="10" t="s">
        <v>16</v>
      </c>
      <c r="E890" s="4">
        <v>6</v>
      </c>
      <c r="F890" s="4">
        <v>4266</v>
      </c>
      <c r="G890" s="9">
        <v>357.51</v>
      </c>
    </row>
    <row r="891" spans="1:7" ht="15.6" x14ac:dyDescent="0.3">
      <c r="A891" s="16">
        <v>44646</v>
      </c>
      <c r="B891" s="10" t="s">
        <v>13</v>
      </c>
      <c r="C891" s="10" t="s">
        <v>14</v>
      </c>
      <c r="D891" s="10" t="s">
        <v>9</v>
      </c>
      <c r="E891" s="4">
        <v>7</v>
      </c>
      <c r="F891" s="4">
        <v>1841</v>
      </c>
      <c r="G891" s="9">
        <v>496.89</v>
      </c>
    </row>
    <row r="892" spans="1:7" ht="15.6" x14ac:dyDescent="0.3">
      <c r="A892" s="16">
        <v>45500</v>
      </c>
      <c r="B892" s="10" t="s">
        <v>17</v>
      </c>
      <c r="C892" s="10" t="s">
        <v>14</v>
      </c>
      <c r="D892" s="10" t="s">
        <v>12</v>
      </c>
      <c r="E892" s="4">
        <v>1</v>
      </c>
      <c r="F892" s="4">
        <v>712</v>
      </c>
      <c r="G892" s="9">
        <v>89.5</v>
      </c>
    </row>
    <row r="893" spans="1:7" ht="15.6" x14ac:dyDescent="0.3">
      <c r="A893" s="16">
        <v>45374</v>
      </c>
      <c r="B893" s="10" t="s">
        <v>7</v>
      </c>
      <c r="C893" s="10" t="s">
        <v>8</v>
      </c>
      <c r="D893" s="10" t="s">
        <v>16</v>
      </c>
      <c r="E893" s="4">
        <v>2</v>
      </c>
      <c r="F893" s="4">
        <v>724</v>
      </c>
      <c r="G893" s="9">
        <v>72.19</v>
      </c>
    </row>
    <row r="894" spans="1:7" ht="15.6" x14ac:dyDescent="0.3">
      <c r="A894" s="16">
        <v>45635</v>
      </c>
      <c r="B894" s="10" t="s">
        <v>21</v>
      </c>
      <c r="C894" s="10" t="s">
        <v>14</v>
      </c>
      <c r="D894" s="10" t="s">
        <v>16</v>
      </c>
      <c r="E894" s="4">
        <v>8</v>
      </c>
      <c r="F894" s="4">
        <v>5832</v>
      </c>
      <c r="G894" s="9">
        <v>662.72</v>
      </c>
    </row>
    <row r="895" spans="1:7" ht="15.6" x14ac:dyDescent="0.3">
      <c r="A895" s="16">
        <v>45094</v>
      </c>
      <c r="B895" s="10" t="s">
        <v>22</v>
      </c>
      <c r="C895" s="10" t="s">
        <v>11</v>
      </c>
      <c r="D895" s="10" t="s">
        <v>15</v>
      </c>
      <c r="E895" s="4">
        <v>6</v>
      </c>
      <c r="F895" s="4">
        <v>4188</v>
      </c>
      <c r="G895" s="9">
        <v>989.14</v>
      </c>
    </row>
    <row r="896" spans="1:7" ht="15.6" x14ac:dyDescent="0.3">
      <c r="A896" s="16">
        <v>45190</v>
      </c>
      <c r="B896" s="10" t="s">
        <v>13</v>
      </c>
      <c r="C896" s="10" t="s">
        <v>14</v>
      </c>
      <c r="D896" s="10" t="s">
        <v>16</v>
      </c>
      <c r="E896" s="4">
        <v>1</v>
      </c>
      <c r="F896" s="4">
        <v>392</v>
      </c>
      <c r="G896" s="9">
        <v>50.7</v>
      </c>
    </row>
    <row r="897" spans="1:7" ht="15.6" x14ac:dyDescent="0.3">
      <c r="A897" s="16">
        <v>44695</v>
      </c>
      <c r="B897" s="10" t="s">
        <v>23</v>
      </c>
      <c r="C897" s="10" t="s">
        <v>14</v>
      </c>
      <c r="D897" s="10" t="s">
        <v>12</v>
      </c>
      <c r="E897" s="4">
        <v>9</v>
      </c>
      <c r="F897" s="4">
        <v>963</v>
      </c>
      <c r="G897" s="9">
        <v>49.71</v>
      </c>
    </row>
    <row r="898" spans="1:7" ht="15.6" x14ac:dyDescent="0.3">
      <c r="A898" s="16">
        <v>45395</v>
      </c>
      <c r="B898" s="10" t="s">
        <v>17</v>
      </c>
      <c r="C898" s="10" t="s">
        <v>14</v>
      </c>
      <c r="D898" s="10" t="s">
        <v>16</v>
      </c>
      <c r="E898" s="4">
        <v>6</v>
      </c>
      <c r="F898" s="4">
        <v>5706</v>
      </c>
      <c r="G898" s="9">
        <v>319.45999999999998</v>
      </c>
    </row>
    <row r="899" spans="1:7" ht="15.6" x14ac:dyDescent="0.3">
      <c r="A899" s="16">
        <v>45454</v>
      </c>
      <c r="B899" s="10" t="s">
        <v>18</v>
      </c>
      <c r="C899" s="10" t="s">
        <v>11</v>
      </c>
      <c r="D899" s="10" t="s">
        <v>16</v>
      </c>
      <c r="E899" s="4">
        <v>7</v>
      </c>
      <c r="F899" s="4">
        <v>1365</v>
      </c>
      <c r="G899" s="9">
        <v>312.04000000000002</v>
      </c>
    </row>
    <row r="900" spans="1:7" ht="15.6" x14ac:dyDescent="0.3">
      <c r="A900" s="16">
        <v>45069</v>
      </c>
      <c r="B900" s="10" t="s">
        <v>18</v>
      </c>
      <c r="C900" s="10" t="s">
        <v>11</v>
      </c>
      <c r="D900" s="10" t="s">
        <v>15</v>
      </c>
      <c r="E900" s="4">
        <v>1</v>
      </c>
      <c r="F900" s="4">
        <v>202</v>
      </c>
      <c r="G900" s="9">
        <v>11.24</v>
      </c>
    </row>
    <row r="901" spans="1:7" ht="15.6" x14ac:dyDescent="0.3">
      <c r="A901" s="16">
        <v>45284</v>
      </c>
      <c r="B901" s="10" t="s">
        <v>21</v>
      </c>
      <c r="C901" s="10" t="s">
        <v>14</v>
      </c>
      <c r="D901" s="10" t="s">
        <v>9</v>
      </c>
      <c r="E901" s="4">
        <v>9</v>
      </c>
      <c r="F901" s="4">
        <v>2430</v>
      </c>
      <c r="G901" s="9">
        <v>613.66999999999996</v>
      </c>
    </row>
    <row r="902" spans="1:7" ht="15.6" x14ac:dyDescent="0.3">
      <c r="A902" s="16">
        <v>45042</v>
      </c>
      <c r="B902" s="10" t="s">
        <v>20</v>
      </c>
      <c r="C902" s="10" t="s">
        <v>11</v>
      </c>
      <c r="D902" s="10" t="s">
        <v>15</v>
      </c>
      <c r="E902" s="4">
        <v>3</v>
      </c>
      <c r="F902" s="4">
        <v>2670</v>
      </c>
      <c r="G902" s="9">
        <v>515.39</v>
      </c>
    </row>
    <row r="903" spans="1:7" ht="15.6" x14ac:dyDescent="0.3">
      <c r="A903" s="16">
        <v>44582</v>
      </c>
      <c r="B903" s="10" t="s">
        <v>13</v>
      </c>
      <c r="C903" s="10" t="s">
        <v>14</v>
      </c>
      <c r="D903" s="10" t="s">
        <v>15</v>
      </c>
      <c r="E903" s="4">
        <v>7</v>
      </c>
      <c r="F903" s="4">
        <v>2758</v>
      </c>
      <c r="G903" s="9">
        <v>520.66</v>
      </c>
    </row>
    <row r="904" spans="1:7" ht="15.6" x14ac:dyDescent="0.3">
      <c r="A904" s="16">
        <v>44848</v>
      </c>
      <c r="B904" s="10" t="s">
        <v>20</v>
      </c>
      <c r="C904" s="10" t="s">
        <v>11</v>
      </c>
      <c r="D904" s="10" t="s">
        <v>15</v>
      </c>
      <c r="E904" s="4">
        <v>9</v>
      </c>
      <c r="F904" s="4">
        <v>873</v>
      </c>
      <c r="G904" s="9">
        <v>82.35</v>
      </c>
    </row>
    <row r="905" spans="1:7" ht="15.6" x14ac:dyDescent="0.3">
      <c r="A905" s="16">
        <v>45161</v>
      </c>
      <c r="B905" s="10" t="s">
        <v>19</v>
      </c>
      <c r="C905" s="10" t="s">
        <v>14</v>
      </c>
      <c r="D905" s="10" t="s">
        <v>16</v>
      </c>
      <c r="E905" s="4">
        <v>9</v>
      </c>
      <c r="F905" s="4">
        <v>7245</v>
      </c>
      <c r="G905" s="9">
        <v>1410.92</v>
      </c>
    </row>
    <row r="906" spans="1:7" ht="15.6" x14ac:dyDescent="0.3">
      <c r="A906" s="16">
        <v>45182</v>
      </c>
      <c r="B906" s="10" t="s">
        <v>17</v>
      </c>
      <c r="C906" s="10" t="s">
        <v>14</v>
      </c>
      <c r="D906" s="10" t="s">
        <v>9</v>
      </c>
      <c r="E906" s="4">
        <v>4</v>
      </c>
      <c r="F906" s="4">
        <v>960</v>
      </c>
      <c r="G906" s="9">
        <v>255.24</v>
      </c>
    </row>
    <row r="907" spans="1:7" ht="15.6" x14ac:dyDescent="0.3">
      <c r="A907" s="16">
        <v>45654</v>
      </c>
      <c r="B907" s="10" t="s">
        <v>19</v>
      </c>
      <c r="C907" s="10" t="s">
        <v>14</v>
      </c>
      <c r="D907" s="10" t="s">
        <v>12</v>
      </c>
      <c r="E907" s="4">
        <v>4</v>
      </c>
      <c r="F907" s="4">
        <v>1284</v>
      </c>
      <c r="G907" s="9">
        <v>171.02</v>
      </c>
    </row>
    <row r="908" spans="1:7" ht="15.6" x14ac:dyDescent="0.3">
      <c r="A908" s="16">
        <v>45086</v>
      </c>
      <c r="B908" s="10" t="s">
        <v>10</v>
      </c>
      <c r="C908" s="10" t="s">
        <v>11</v>
      </c>
      <c r="D908" s="10" t="s">
        <v>16</v>
      </c>
      <c r="E908" s="4">
        <v>4</v>
      </c>
      <c r="F908" s="4">
        <v>512</v>
      </c>
      <c r="G908" s="9">
        <v>110.47</v>
      </c>
    </row>
    <row r="909" spans="1:7" ht="15.6" x14ac:dyDescent="0.3">
      <c r="A909" s="16">
        <v>44752</v>
      </c>
      <c r="B909" s="10" t="s">
        <v>19</v>
      </c>
      <c r="C909" s="10" t="s">
        <v>14</v>
      </c>
      <c r="D909" s="10" t="s">
        <v>15</v>
      </c>
      <c r="E909" s="4">
        <v>9</v>
      </c>
      <c r="F909" s="4">
        <v>9729</v>
      </c>
      <c r="G909" s="9">
        <v>2039.41</v>
      </c>
    </row>
    <row r="910" spans="1:7" ht="15.6" x14ac:dyDescent="0.3">
      <c r="A910" s="16">
        <v>44937</v>
      </c>
      <c r="B910" s="10" t="s">
        <v>17</v>
      </c>
      <c r="C910" s="10" t="s">
        <v>14</v>
      </c>
      <c r="D910" s="10" t="s">
        <v>9</v>
      </c>
      <c r="E910" s="4">
        <v>5</v>
      </c>
      <c r="F910" s="4">
        <v>1580</v>
      </c>
      <c r="G910" s="9">
        <v>166.16</v>
      </c>
    </row>
    <row r="911" spans="1:7" ht="15.6" x14ac:dyDescent="0.3">
      <c r="A911" s="16">
        <v>45133</v>
      </c>
      <c r="B911" s="10" t="s">
        <v>10</v>
      </c>
      <c r="C911" s="10" t="s">
        <v>11</v>
      </c>
      <c r="D911" s="10" t="s">
        <v>12</v>
      </c>
      <c r="E911" s="4">
        <v>8</v>
      </c>
      <c r="F911" s="4">
        <v>976</v>
      </c>
      <c r="G911" s="9">
        <v>234.24</v>
      </c>
    </row>
    <row r="912" spans="1:7" ht="15.6" x14ac:dyDescent="0.3">
      <c r="A912" s="16">
        <v>45296</v>
      </c>
      <c r="B912" s="10" t="s">
        <v>7</v>
      </c>
      <c r="C912" s="10" t="s">
        <v>8</v>
      </c>
      <c r="D912" s="10" t="s">
        <v>9</v>
      </c>
      <c r="E912" s="4">
        <v>8</v>
      </c>
      <c r="F912" s="4">
        <v>1824</v>
      </c>
      <c r="G912" s="9">
        <v>495.35</v>
      </c>
    </row>
    <row r="913" spans="1:7" ht="15.6" x14ac:dyDescent="0.3">
      <c r="A913" s="16">
        <v>45054</v>
      </c>
      <c r="B913" s="10" t="s">
        <v>21</v>
      </c>
      <c r="C913" s="10" t="s">
        <v>14</v>
      </c>
      <c r="D913" s="10" t="s">
        <v>15</v>
      </c>
      <c r="E913" s="4">
        <v>4</v>
      </c>
      <c r="F913" s="4">
        <v>3188</v>
      </c>
      <c r="G913" s="9">
        <v>202.81</v>
      </c>
    </row>
    <row r="914" spans="1:7" ht="15.6" x14ac:dyDescent="0.3">
      <c r="A914" s="16">
        <v>45259</v>
      </c>
      <c r="B914" s="10" t="s">
        <v>17</v>
      </c>
      <c r="C914" s="10" t="s">
        <v>14</v>
      </c>
      <c r="D914" s="10" t="s">
        <v>12</v>
      </c>
      <c r="E914" s="4">
        <v>7</v>
      </c>
      <c r="F914" s="4">
        <v>5467</v>
      </c>
      <c r="G914" s="9">
        <v>556.02</v>
      </c>
    </row>
    <row r="915" spans="1:7" ht="15.6" x14ac:dyDescent="0.3">
      <c r="A915" s="16">
        <v>45540</v>
      </c>
      <c r="B915" s="10" t="s">
        <v>21</v>
      </c>
      <c r="C915" s="10" t="s">
        <v>14</v>
      </c>
      <c r="D915" s="10" t="s">
        <v>15</v>
      </c>
      <c r="E915" s="4">
        <v>6</v>
      </c>
      <c r="F915" s="4">
        <v>5406</v>
      </c>
      <c r="G915" s="9">
        <v>1277.46</v>
      </c>
    </row>
    <row r="916" spans="1:7" ht="15.6" x14ac:dyDescent="0.3">
      <c r="A916" s="16">
        <v>45512</v>
      </c>
      <c r="B916" s="10" t="s">
        <v>18</v>
      </c>
      <c r="C916" s="10" t="s">
        <v>11</v>
      </c>
      <c r="D916" s="10" t="s">
        <v>12</v>
      </c>
      <c r="E916" s="4">
        <v>8</v>
      </c>
      <c r="F916" s="4">
        <v>2984</v>
      </c>
      <c r="G916" s="9">
        <v>742.31</v>
      </c>
    </row>
    <row r="917" spans="1:7" ht="15.6" x14ac:dyDescent="0.3">
      <c r="A917" s="16">
        <v>45028</v>
      </c>
      <c r="B917" s="10" t="s">
        <v>7</v>
      </c>
      <c r="C917" s="10" t="s">
        <v>8</v>
      </c>
      <c r="D917" s="10" t="s">
        <v>9</v>
      </c>
      <c r="E917" s="4">
        <v>1</v>
      </c>
      <c r="F917" s="4">
        <v>919</v>
      </c>
      <c r="G917" s="9">
        <v>193.35</v>
      </c>
    </row>
    <row r="918" spans="1:7" ht="15.6" x14ac:dyDescent="0.3">
      <c r="A918" s="16">
        <v>45156</v>
      </c>
      <c r="B918" s="10" t="s">
        <v>17</v>
      </c>
      <c r="C918" s="10" t="s">
        <v>14</v>
      </c>
      <c r="D918" s="10" t="s">
        <v>15</v>
      </c>
      <c r="E918" s="4">
        <v>6</v>
      </c>
      <c r="F918" s="4">
        <v>1686</v>
      </c>
      <c r="G918" s="9">
        <v>426.72</v>
      </c>
    </row>
    <row r="919" spans="1:7" ht="15.6" x14ac:dyDescent="0.3">
      <c r="A919" s="16">
        <v>45079</v>
      </c>
      <c r="B919" s="10" t="s">
        <v>23</v>
      </c>
      <c r="C919" s="10" t="s">
        <v>14</v>
      </c>
      <c r="D919" s="10" t="s">
        <v>16</v>
      </c>
      <c r="E919" s="4">
        <v>7</v>
      </c>
      <c r="F919" s="4">
        <v>4165</v>
      </c>
      <c r="G919" s="9">
        <v>493.24</v>
      </c>
    </row>
    <row r="920" spans="1:7" ht="15.6" x14ac:dyDescent="0.3">
      <c r="A920" s="16">
        <v>45247</v>
      </c>
      <c r="B920" s="10" t="s">
        <v>21</v>
      </c>
      <c r="C920" s="10" t="s">
        <v>14</v>
      </c>
      <c r="D920" s="10" t="s">
        <v>16</v>
      </c>
      <c r="E920" s="4">
        <v>7</v>
      </c>
      <c r="F920" s="4">
        <v>1281</v>
      </c>
      <c r="G920" s="9">
        <v>282.63</v>
      </c>
    </row>
    <row r="921" spans="1:7" ht="15.6" x14ac:dyDescent="0.3">
      <c r="A921" s="16">
        <v>45460</v>
      </c>
      <c r="B921" s="10" t="s">
        <v>19</v>
      </c>
      <c r="C921" s="10" t="s">
        <v>14</v>
      </c>
      <c r="D921" s="10" t="s">
        <v>12</v>
      </c>
      <c r="E921" s="4">
        <v>3</v>
      </c>
      <c r="F921" s="4">
        <v>2829</v>
      </c>
      <c r="G921" s="9">
        <v>362.16</v>
      </c>
    </row>
    <row r="922" spans="1:7" ht="15.6" x14ac:dyDescent="0.3">
      <c r="A922" s="16">
        <v>45388</v>
      </c>
      <c r="B922" s="10" t="s">
        <v>20</v>
      </c>
      <c r="C922" s="10" t="s">
        <v>11</v>
      </c>
      <c r="D922" s="10" t="s">
        <v>16</v>
      </c>
      <c r="E922" s="4">
        <v>3</v>
      </c>
      <c r="F922" s="4">
        <v>2211</v>
      </c>
      <c r="G922" s="9">
        <v>292.31</v>
      </c>
    </row>
    <row r="923" spans="1:7" ht="15.6" x14ac:dyDescent="0.3">
      <c r="A923" s="16">
        <v>45644</v>
      </c>
      <c r="B923" s="10" t="s">
        <v>18</v>
      </c>
      <c r="C923" s="10" t="s">
        <v>11</v>
      </c>
      <c r="D923" s="10" t="s">
        <v>12</v>
      </c>
      <c r="E923" s="4">
        <v>4</v>
      </c>
      <c r="F923" s="4">
        <v>4740</v>
      </c>
      <c r="G923" s="9">
        <v>607.80999999999995</v>
      </c>
    </row>
    <row r="924" spans="1:7" ht="15.6" x14ac:dyDescent="0.3">
      <c r="A924" s="16">
        <v>45269</v>
      </c>
      <c r="B924" s="10" t="s">
        <v>17</v>
      </c>
      <c r="C924" s="10" t="s">
        <v>14</v>
      </c>
      <c r="D924" s="10" t="s">
        <v>12</v>
      </c>
      <c r="E924" s="4">
        <v>1</v>
      </c>
      <c r="F924" s="4">
        <v>718</v>
      </c>
      <c r="G924" s="9">
        <v>169.09</v>
      </c>
    </row>
    <row r="925" spans="1:7" ht="15.6" x14ac:dyDescent="0.3">
      <c r="A925" s="16">
        <v>44844</v>
      </c>
      <c r="B925" s="10" t="s">
        <v>18</v>
      </c>
      <c r="C925" s="10" t="s">
        <v>11</v>
      </c>
      <c r="D925" s="10" t="s">
        <v>9</v>
      </c>
      <c r="E925" s="4">
        <v>6</v>
      </c>
      <c r="F925" s="4">
        <v>1716</v>
      </c>
      <c r="G925" s="9">
        <v>108.81</v>
      </c>
    </row>
    <row r="926" spans="1:7" ht="15.6" x14ac:dyDescent="0.3">
      <c r="A926" s="16">
        <v>45404</v>
      </c>
      <c r="B926" s="10" t="s">
        <v>20</v>
      </c>
      <c r="C926" s="10" t="s">
        <v>11</v>
      </c>
      <c r="D926" s="10" t="s">
        <v>15</v>
      </c>
      <c r="E926" s="4">
        <v>7</v>
      </c>
      <c r="F926" s="4">
        <v>1547</v>
      </c>
      <c r="G926" s="9">
        <v>152.59</v>
      </c>
    </row>
    <row r="927" spans="1:7" ht="15.6" x14ac:dyDescent="0.3">
      <c r="A927" s="16">
        <v>44726</v>
      </c>
      <c r="B927" s="10" t="s">
        <v>10</v>
      </c>
      <c r="C927" s="10" t="s">
        <v>11</v>
      </c>
      <c r="D927" s="10" t="s">
        <v>9</v>
      </c>
      <c r="E927" s="4">
        <v>1</v>
      </c>
      <c r="F927" s="4">
        <v>739</v>
      </c>
      <c r="G927" s="9">
        <v>111.18</v>
      </c>
    </row>
    <row r="928" spans="1:7" ht="15.6" x14ac:dyDescent="0.3">
      <c r="A928" s="16">
        <v>45172</v>
      </c>
      <c r="B928" s="10" t="s">
        <v>23</v>
      </c>
      <c r="C928" s="10" t="s">
        <v>14</v>
      </c>
      <c r="D928" s="10" t="s">
        <v>16</v>
      </c>
      <c r="E928" s="4">
        <v>3</v>
      </c>
      <c r="F928" s="4">
        <v>819</v>
      </c>
      <c r="G928" s="9">
        <v>231.88</v>
      </c>
    </row>
    <row r="929" spans="1:7" ht="15.6" x14ac:dyDescent="0.3">
      <c r="A929" s="16">
        <v>45279</v>
      </c>
      <c r="B929" s="10" t="s">
        <v>23</v>
      </c>
      <c r="C929" s="10" t="s">
        <v>14</v>
      </c>
      <c r="D929" s="10" t="s">
        <v>15</v>
      </c>
      <c r="E929" s="4">
        <v>8</v>
      </c>
      <c r="F929" s="4">
        <v>5696</v>
      </c>
      <c r="G929" s="9">
        <v>1156.3</v>
      </c>
    </row>
    <row r="930" spans="1:7" ht="15.6" x14ac:dyDescent="0.3">
      <c r="A930" s="16">
        <v>44948</v>
      </c>
      <c r="B930" s="10" t="s">
        <v>20</v>
      </c>
      <c r="C930" s="10" t="s">
        <v>11</v>
      </c>
      <c r="D930" s="10" t="s">
        <v>15</v>
      </c>
      <c r="E930" s="4">
        <v>2</v>
      </c>
      <c r="F930" s="4">
        <v>1706</v>
      </c>
      <c r="G930" s="9">
        <v>184.71</v>
      </c>
    </row>
    <row r="931" spans="1:7" ht="15.6" x14ac:dyDescent="0.3">
      <c r="A931" s="16">
        <v>45314</v>
      </c>
      <c r="B931" s="10" t="s">
        <v>17</v>
      </c>
      <c r="C931" s="10" t="s">
        <v>14</v>
      </c>
      <c r="D931" s="10" t="s">
        <v>9</v>
      </c>
      <c r="E931" s="4">
        <v>2</v>
      </c>
      <c r="F931" s="4">
        <v>2066</v>
      </c>
      <c r="G931" s="9">
        <v>608.23</v>
      </c>
    </row>
    <row r="932" spans="1:7" ht="15.6" x14ac:dyDescent="0.3">
      <c r="A932" s="16">
        <v>45450</v>
      </c>
      <c r="B932" s="10" t="s">
        <v>23</v>
      </c>
      <c r="C932" s="10" t="s">
        <v>14</v>
      </c>
      <c r="D932" s="10" t="s">
        <v>9</v>
      </c>
      <c r="E932" s="4">
        <v>2</v>
      </c>
      <c r="F932" s="4">
        <v>256</v>
      </c>
      <c r="G932" s="9">
        <v>35.659999999999997</v>
      </c>
    </row>
    <row r="933" spans="1:7" ht="15.6" x14ac:dyDescent="0.3">
      <c r="A933" s="16">
        <v>45326</v>
      </c>
      <c r="B933" s="10" t="s">
        <v>21</v>
      </c>
      <c r="C933" s="10" t="s">
        <v>14</v>
      </c>
      <c r="D933" s="10" t="s">
        <v>9</v>
      </c>
      <c r="E933" s="4">
        <v>2</v>
      </c>
      <c r="F933" s="4">
        <v>1102</v>
      </c>
      <c r="G933" s="9">
        <v>182.54</v>
      </c>
    </row>
    <row r="934" spans="1:7" ht="15.6" x14ac:dyDescent="0.3">
      <c r="A934" s="16">
        <v>45535</v>
      </c>
      <c r="B934" s="10" t="s">
        <v>20</v>
      </c>
      <c r="C934" s="10" t="s">
        <v>11</v>
      </c>
      <c r="D934" s="10" t="s">
        <v>9</v>
      </c>
      <c r="E934" s="4">
        <v>8</v>
      </c>
      <c r="F934" s="4">
        <v>2872</v>
      </c>
      <c r="G934" s="9">
        <v>483.94</v>
      </c>
    </row>
    <row r="935" spans="1:7" ht="15.6" x14ac:dyDescent="0.3">
      <c r="A935" s="16">
        <v>45607</v>
      </c>
      <c r="B935" s="10" t="s">
        <v>13</v>
      </c>
      <c r="C935" s="10" t="s">
        <v>14</v>
      </c>
      <c r="D935" s="10" t="s">
        <v>12</v>
      </c>
      <c r="E935" s="4">
        <v>4</v>
      </c>
      <c r="F935" s="4">
        <v>2584</v>
      </c>
      <c r="G935" s="9">
        <v>394.52</v>
      </c>
    </row>
    <row r="936" spans="1:7" ht="15.6" x14ac:dyDescent="0.3">
      <c r="A936" s="16">
        <v>45500</v>
      </c>
      <c r="B936" s="10" t="s">
        <v>10</v>
      </c>
      <c r="C936" s="10" t="s">
        <v>11</v>
      </c>
      <c r="D936" s="10" t="s">
        <v>9</v>
      </c>
      <c r="E936" s="4">
        <v>2</v>
      </c>
      <c r="F936" s="4">
        <v>1366</v>
      </c>
      <c r="G936" s="9">
        <v>298.32</v>
      </c>
    </row>
    <row r="937" spans="1:7" ht="15.6" x14ac:dyDescent="0.3">
      <c r="A937" s="16">
        <v>45423</v>
      </c>
      <c r="B937" s="10" t="s">
        <v>19</v>
      </c>
      <c r="C937" s="10" t="s">
        <v>14</v>
      </c>
      <c r="D937" s="10" t="s">
        <v>15</v>
      </c>
      <c r="E937" s="4">
        <v>7</v>
      </c>
      <c r="F937" s="4">
        <v>1253</v>
      </c>
      <c r="G937" s="9">
        <v>354.23</v>
      </c>
    </row>
    <row r="938" spans="1:7" ht="15.6" x14ac:dyDescent="0.3">
      <c r="A938" s="16">
        <v>45009</v>
      </c>
      <c r="B938" s="10" t="s">
        <v>23</v>
      </c>
      <c r="C938" s="10" t="s">
        <v>14</v>
      </c>
      <c r="D938" s="10" t="s">
        <v>16</v>
      </c>
      <c r="E938" s="4">
        <v>7</v>
      </c>
      <c r="F938" s="4">
        <v>2618</v>
      </c>
      <c r="G938" s="9">
        <v>300.81</v>
      </c>
    </row>
    <row r="939" spans="1:7" ht="15.6" x14ac:dyDescent="0.3">
      <c r="A939" s="16">
        <v>44826</v>
      </c>
      <c r="B939" s="10" t="s">
        <v>18</v>
      </c>
      <c r="C939" s="10" t="s">
        <v>11</v>
      </c>
      <c r="D939" s="10" t="s">
        <v>12</v>
      </c>
      <c r="E939" s="4">
        <v>9</v>
      </c>
      <c r="F939" s="4">
        <v>6822</v>
      </c>
      <c r="G939" s="9">
        <v>1811.37</v>
      </c>
    </row>
    <row r="940" spans="1:7" ht="15.6" x14ac:dyDescent="0.3">
      <c r="A940" s="16">
        <v>45235</v>
      </c>
      <c r="B940" s="10" t="s">
        <v>22</v>
      </c>
      <c r="C940" s="10" t="s">
        <v>11</v>
      </c>
      <c r="D940" s="10" t="s">
        <v>12</v>
      </c>
      <c r="E940" s="4">
        <v>6</v>
      </c>
      <c r="F940" s="4">
        <v>5286</v>
      </c>
      <c r="G940" s="9">
        <v>636.16</v>
      </c>
    </row>
    <row r="941" spans="1:7" ht="15.6" x14ac:dyDescent="0.3">
      <c r="A941" s="16">
        <v>45456</v>
      </c>
      <c r="B941" s="10" t="s">
        <v>20</v>
      </c>
      <c r="C941" s="10" t="s">
        <v>11</v>
      </c>
      <c r="D941" s="10" t="s">
        <v>9</v>
      </c>
      <c r="E941" s="4">
        <v>1</v>
      </c>
      <c r="F941" s="4">
        <v>579</v>
      </c>
      <c r="G941" s="9">
        <v>133.57</v>
      </c>
    </row>
    <row r="942" spans="1:7" ht="15.6" x14ac:dyDescent="0.3">
      <c r="A942" s="16">
        <v>44620</v>
      </c>
      <c r="B942" s="10" t="s">
        <v>23</v>
      </c>
      <c r="C942" s="10" t="s">
        <v>14</v>
      </c>
      <c r="D942" s="10" t="s">
        <v>16</v>
      </c>
      <c r="E942" s="4">
        <v>8</v>
      </c>
      <c r="F942" s="4">
        <v>1392</v>
      </c>
      <c r="G942" s="9">
        <v>190.99</v>
      </c>
    </row>
    <row r="943" spans="1:7" ht="15.6" x14ac:dyDescent="0.3">
      <c r="A943" s="16">
        <v>44879</v>
      </c>
      <c r="B943" s="10" t="s">
        <v>23</v>
      </c>
      <c r="C943" s="10" t="s">
        <v>14</v>
      </c>
      <c r="D943" s="10" t="s">
        <v>16</v>
      </c>
      <c r="E943" s="4">
        <v>9</v>
      </c>
      <c r="F943" s="4">
        <v>2493</v>
      </c>
      <c r="G943" s="9">
        <v>696.69</v>
      </c>
    </row>
    <row r="944" spans="1:7" ht="15.6" x14ac:dyDescent="0.3">
      <c r="A944" s="16">
        <v>45186</v>
      </c>
      <c r="B944" s="10" t="s">
        <v>21</v>
      </c>
      <c r="C944" s="10" t="s">
        <v>14</v>
      </c>
      <c r="D944" s="10" t="s">
        <v>9</v>
      </c>
      <c r="E944" s="4">
        <v>7</v>
      </c>
      <c r="F944" s="4">
        <v>6461</v>
      </c>
      <c r="G944" s="9">
        <v>766.45</v>
      </c>
    </row>
    <row r="945" spans="1:7" ht="15.6" x14ac:dyDescent="0.3">
      <c r="A945" s="16">
        <v>44790</v>
      </c>
      <c r="B945" s="10" t="s">
        <v>13</v>
      </c>
      <c r="C945" s="10" t="s">
        <v>14</v>
      </c>
      <c r="D945" s="10" t="s">
        <v>12</v>
      </c>
      <c r="E945" s="4">
        <v>2</v>
      </c>
      <c r="F945" s="4">
        <v>1486</v>
      </c>
      <c r="G945" s="9">
        <v>201.07</v>
      </c>
    </row>
    <row r="946" spans="1:7" ht="15.6" x14ac:dyDescent="0.3">
      <c r="A946" s="16">
        <v>45060</v>
      </c>
      <c r="B946" s="10" t="s">
        <v>7</v>
      </c>
      <c r="C946" s="10" t="s">
        <v>8</v>
      </c>
      <c r="D946" s="10" t="s">
        <v>15</v>
      </c>
      <c r="E946" s="4">
        <v>1</v>
      </c>
      <c r="F946" s="4">
        <v>1152</v>
      </c>
      <c r="G946" s="9">
        <v>280.27999999999997</v>
      </c>
    </row>
    <row r="947" spans="1:7" ht="15.6" x14ac:dyDescent="0.3">
      <c r="A947" s="16">
        <v>44632</v>
      </c>
      <c r="B947" s="10" t="s">
        <v>19</v>
      </c>
      <c r="C947" s="10" t="s">
        <v>14</v>
      </c>
      <c r="D947" s="10" t="s">
        <v>16</v>
      </c>
      <c r="E947" s="4">
        <v>2</v>
      </c>
      <c r="F947" s="4">
        <v>1750</v>
      </c>
      <c r="G947" s="9">
        <v>103.99</v>
      </c>
    </row>
    <row r="948" spans="1:7" ht="15.6" x14ac:dyDescent="0.3">
      <c r="A948" s="16">
        <v>44754</v>
      </c>
      <c r="B948" s="10" t="s">
        <v>21</v>
      </c>
      <c r="C948" s="10" t="s">
        <v>14</v>
      </c>
      <c r="D948" s="10" t="s">
        <v>16</v>
      </c>
      <c r="E948" s="4">
        <v>7</v>
      </c>
      <c r="F948" s="4">
        <v>4417</v>
      </c>
      <c r="G948" s="9">
        <v>495.37</v>
      </c>
    </row>
    <row r="949" spans="1:7" ht="15.6" x14ac:dyDescent="0.3">
      <c r="A949" s="16">
        <v>45478</v>
      </c>
      <c r="B949" s="10" t="s">
        <v>23</v>
      </c>
      <c r="C949" s="10" t="s">
        <v>14</v>
      </c>
      <c r="D949" s="10" t="s">
        <v>15</v>
      </c>
      <c r="E949" s="4">
        <v>4</v>
      </c>
      <c r="F949" s="4">
        <v>3724</v>
      </c>
      <c r="G949" s="9">
        <v>276.85000000000002</v>
      </c>
    </row>
    <row r="950" spans="1:7" ht="15.6" x14ac:dyDescent="0.3">
      <c r="A950" s="16">
        <v>45093</v>
      </c>
      <c r="B950" s="10" t="s">
        <v>17</v>
      </c>
      <c r="C950" s="10" t="s">
        <v>14</v>
      </c>
      <c r="D950" s="10" t="s">
        <v>16</v>
      </c>
      <c r="E950" s="4">
        <v>3</v>
      </c>
      <c r="F950" s="4">
        <v>2220</v>
      </c>
      <c r="G950" s="9">
        <v>121.14</v>
      </c>
    </row>
    <row r="951" spans="1:7" ht="15.6" x14ac:dyDescent="0.3">
      <c r="A951" s="16">
        <v>45097</v>
      </c>
      <c r="B951" s="10" t="s">
        <v>20</v>
      </c>
      <c r="C951" s="10" t="s">
        <v>11</v>
      </c>
      <c r="D951" s="10" t="s">
        <v>16</v>
      </c>
      <c r="E951" s="4">
        <v>8</v>
      </c>
      <c r="F951" s="4">
        <v>9104</v>
      </c>
      <c r="G951" s="9">
        <v>2620.58</v>
      </c>
    </row>
    <row r="952" spans="1:7" ht="15.6" x14ac:dyDescent="0.3">
      <c r="A952" s="16">
        <v>45512</v>
      </c>
      <c r="B952" s="10" t="s">
        <v>7</v>
      </c>
      <c r="C952" s="10" t="s">
        <v>8</v>
      </c>
      <c r="D952" s="10" t="s">
        <v>16</v>
      </c>
      <c r="E952" s="4">
        <v>3</v>
      </c>
      <c r="F952" s="4">
        <v>3093</v>
      </c>
      <c r="G952" s="9">
        <v>584.23</v>
      </c>
    </row>
    <row r="953" spans="1:7" ht="15.6" x14ac:dyDescent="0.3">
      <c r="A953" s="16">
        <v>44986</v>
      </c>
      <c r="B953" s="10" t="s">
        <v>18</v>
      </c>
      <c r="C953" s="10" t="s">
        <v>11</v>
      </c>
      <c r="D953" s="10" t="s">
        <v>15</v>
      </c>
      <c r="E953" s="4">
        <v>6</v>
      </c>
      <c r="F953" s="4">
        <v>3048</v>
      </c>
      <c r="G953" s="9">
        <v>842.24</v>
      </c>
    </row>
    <row r="954" spans="1:7" ht="15.6" x14ac:dyDescent="0.3">
      <c r="A954" s="16">
        <v>44683</v>
      </c>
      <c r="B954" s="10" t="s">
        <v>21</v>
      </c>
      <c r="C954" s="10" t="s">
        <v>14</v>
      </c>
      <c r="D954" s="10" t="s">
        <v>9</v>
      </c>
      <c r="E954" s="4">
        <v>1</v>
      </c>
      <c r="F954" s="4">
        <v>161</v>
      </c>
      <c r="G954" s="9">
        <v>36.58</v>
      </c>
    </row>
    <row r="955" spans="1:7" ht="15.6" x14ac:dyDescent="0.3">
      <c r="A955" s="16">
        <v>45130</v>
      </c>
      <c r="B955" s="10" t="s">
        <v>20</v>
      </c>
      <c r="C955" s="10" t="s">
        <v>11</v>
      </c>
      <c r="D955" s="10" t="s">
        <v>16</v>
      </c>
      <c r="E955" s="4">
        <v>7</v>
      </c>
      <c r="F955" s="4">
        <v>7238</v>
      </c>
      <c r="G955" s="9">
        <v>1889.69</v>
      </c>
    </row>
    <row r="956" spans="1:7" ht="15.6" x14ac:dyDescent="0.3">
      <c r="A956" s="16">
        <v>45381</v>
      </c>
      <c r="B956" s="10" t="s">
        <v>21</v>
      </c>
      <c r="C956" s="10" t="s">
        <v>14</v>
      </c>
      <c r="D956" s="10" t="s">
        <v>9</v>
      </c>
      <c r="E956" s="4">
        <v>3</v>
      </c>
      <c r="F956" s="4">
        <v>3561</v>
      </c>
      <c r="G956" s="9">
        <v>347.31</v>
      </c>
    </row>
    <row r="957" spans="1:7" ht="15.6" x14ac:dyDescent="0.3">
      <c r="A957" s="16">
        <v>44780</v>
      </c>
      <c r="B957" s="10" t="s">
        <v>20</v>
      </c>
      <c r="C957" s="10" t="s">
        <v>11</v>
      </c>
      <c r="D957" s="10" t="s">
        <v>9</v>
      </c>
      <c r="E957" s="4">
        <v>5</v>
      </c>
      <c r="F957" s="4">
        <v>1850</v>
      </c>
      <c r="G957" s="9">
        <v>534.39</v>
      </c>
    </row>
    <row r="958" spans="1:7" ht="15.6" x14ac:dyDescent="0.3">
      <c r="A958" s="16">
        <v>44626</v>
      </c>
      <c r="B958" s="10" t="s">
        <v>10</v>
      </c>
      <c r="C958" s="10" t="s">
        <v>11</v>
      </c>
      <c r="D958" s="10" t="s">
        <v>16</v>
      </c>
      <c r="E958" s="4">
        <v>6</v>
      </c>
      <c r="F958" s="4">
        <v>3522</v>
      </c>
      <c r="G958" s="9">
        <v>626.72</v>
      </c>
    </row>
    <row r="959" spans="1:7" ht="15.6" x14ac:dyDescent="0.3">
      <c r="A959" s="16">
        <v>45254</v>
      </c>
      <c r="B959" s="10" t="s">
        <v>19</v>
      </c>
      <c r="C959" s="10" t="s">
        <v>14</v>
      </c>
      <c r="D959" s="10" t="s">
        <v>12</v>
      </c>
      <c r="E959" s="4">
        <v>1</v>
      </c>
      <c r="F959" s="4">
        <v>584</v>
      </c>
      <c r="G959" s="9">
        <v>172.4</v>
      </c>
    </row>
    <row r="960" spans="1:7" ht="15.6" x14ac:dyDescent="0.3">
      <c r="A960" s="16">
        <v>45169</v>
      </c>
      <c r="B960" s="10" t="s">
        <v>21</v>
      </c>
      <c r="C960" s="10" t="s">
        <v>14</v>
      </c>
      <c r="D960" s="10" t="s">
        <v>12</v>
      </c>
      <c r="E960" s="4">
        <v>4</v>
      </c>
      <c r="F960" s="4">
        <v>2556</v>
      </c>
      <c r="G960" s="9">
        <v>412.44</v>
      </c>
    </row>
    <row r="961" spans="1:7" ht="15.6" x14ac:dyDescent="0.3">
      <c r="A961" s="16">
        <v>45213</v>
      </c>
      <c r="B961" s="10" t="s">
        <v>21</v>
      </c>
      <c r="C961" s="10" t="s">
        <v>14</v>
      </c>
      <c r="D961" s="10" t="s">
        <v>15</v>
      </c>
      <c r="E961" s="4">
        <v>2</v>
      </c>
      <c r="F961" s="4">
        <v>348</v>
      </c>
      <c r="G961" s="9">
        <v>56.31</v>
      </c>
    </row>
    <row r="962" spans="1:7" ht="15.6" x14ac:dyDescent="0.3">
      <c r="A962" s="16">
        <v>45062</v>
      </c>
      <c r="B962" s="10" t="s">
        <v>20</v>
      </c>
      <c r="C962" s="10" t="s">
        <v>11</v>
      </c>
      <c r="D962" s="10" t="s">
        <v>15</v>
      </c>
      <c r="E962" s="4">
        <v>9</v>
      </c>
      <c r="F962" s="4">
        <v>1602</v>
      </c>
      <c r="G962" s="9">
        <v>142.49</v>
      </c>
    </row>
    <row r="963" spans="1:7" ht="15.6" x14ac:dyDescent="0.3">
      <c r="A963" s="16">
        <v>45096</v>
      </c>
      <c r="B963" s="10" t="s">
        <v>20</v>
      </c>
      <c r="C963" s="10" t="s">
        <v>11</v>
      </c>
      <c r="D963" s="10" t="s">
        <v>15</v>
      </c>
      <c r="E963" s="4">
        <v>3</v>
      </c>
      <c r="F963" s="4">
        <v>2853</v>
      </c>
      <c r="G963" s="9">
        <v>437.59</v>
      </c>
    </row>
    <row r="964" spans="1:7" ht="15.6" x14ac:dyDescent="0.3">
      <c r="A964" s="16">
        <v>45128</v>
      </c>
      <c r="B964" s="10" t="s">
        <v>7</v>
      </c>
      <c r="C964" s="10" t="s">
        <v>8</v>
      </c>
      <c r="D964" s="10" t="s">
        <v>16</v>
      </c>
      <c r="E964" s="4">
        <v>1</v>
      </c>
      <c r="F964" s="4">
        <v>1024</v>
      </c>
      <c r="G964" s="9">
        <v>230.3</v>
      </c>
    </row>
    <row r="965" spans="1:7" ht="15.6" x14ac:dyDescent="0.3">
      <c r="A965" s="16">
        <v>44640</v>
      </c>
      <c r="B965" s="10" t="s">
        <v>17</v>
      </c>
      <c r="C965" s="10" t="s">
        <v>14</v>
      </c>
      <c r="D965" s="10" t="s">
        <v>12</v>
      </c>
      <c r="E965" s="4">
        <v>5</v>
      </c>
      <c r="F965" s="4">
        <v>4485</v>
      </c>
      <c r="G965" s="9">
        <v>1324.49</v>
      </c>
    </row>
    <row r="966" spans="1:7" ht="15.6" x14ac:dyDescent="0.3">
      <c r="A966" s="16">
        <v>45144</v>
      </c>
      <c r="B966" s="10" t="s">
        <v>7</v>
      </c>
      <c r="C966" s="10" t="s">
        <v>8</v>
      </c>
      <c r="D966" s="10" t="s">
        <v>12</v>
      </c>
      <c r="E966" s="4">
        <v>2</v>
      </c>
      <c r="F966" s="4">
        <v>436</v>
      </c>
      <c r="G966" s="9">
        <v>79.69</v>
      </c>
    </row>
    <row r="967" spans="1:7" ht="15.6" x14ac:dyDescent="0.3">
      <c r="A967" s="16">
        <v>45586</v>
      </c>
      <c r="B967" s="10" t="s">
        <v>19</v>
      </c>
      <c r="C967" s="10" t="s">
        <v>14</v>
      </c>
      <c r="D967" s="10" t="s">
        <v>9</v>
      </c>
      <c r="E967" s="4">
        <v>2</v>
      </c>
      <c r="F967" s="4">
        <v>2232</v>
      </c>
      <c r="G967" s="9">
        <v>150.12</v>
      </c>
    </row>
    <row r="968" spans="1:7" ht="15.6" x14ac:dyDescent="0.3">
      <c r="A968" s="16">
        <v>44787</v>
      </c>
      <c r="B968" s="10" t="s">
        <v>22</v>
      </c>
      <c r="C968" s="10" t="s">
        <v>11</v>
      </c>
      <c r="D968" s="10" t="s">
        <v>15</v>
      </c>
      <c r="E968" s="4">
        <v>6</v>
      </c>
      <c r="F968" s="4">
        <v>7056</v>
      </c>
      <c r="G968" s="9">
        <v>1445.01</v>
      </c>
    </row>
    <row r="969" spans="1:7" ht="15.6" x14ac:dyDescent="0.3">
      <c r="A969" s="16">
        <v>44635</v>
      </c>
      <c r="B969" s="10" t="s">
        <v>22</v>
      </c>
      <c r="C969" s="10" t="s">
        <v>11</v>
      </c>
      <c r="D969" s="10" t="s">
        <v>12</v>
      </c>
      <c r="E969" s="4">
        <v>5</v>
      </c>
      <c r="F969" s="4">
        <v>875</v>
      </c>
      <c r="G969" s="9">
        <v>96.65</v>
      </c>
    </row>
    <row r="970" spans="1:7" ht="15.6" x14ac:dyDescent="0.3">
      <c r="A970" s="16">
        <v>44593</v>
      </c>
      <c r="B970" s="10" t="s">
        <v>19</v>
      </c>
      <c r="C970" s="10" t="s">
        <v>14</v>
      </c>
      <c r="D970" s="10" t="s">
        <v>12</v>
      </c>
      <c r="E970" s="4">
        <v>3</v>
      </c>
      <c r="F970" s="4">
        <v>315</v>
      </c>
      <c r="G970" s="9">
        <v>61.94</v>
      </c>
    </row>
    <row r="971" spans="1:7" ht="15.6" x14ac:dyDescent="0.3">
      <c r="A971" s="16">
        <v>44675</v>
      </c>
      <c r="B971" s="10" t="s">
        <v>23</v>
      </c>
      <c r="C971" s="10" t="s">
        <v>14</v>
      </c>
      <c r="D971" s="10" t="s">
        <v>12</v>
      </c>
      <c r="E971" s="4">
        <v>2</v>
      </c>
      <c r="F971" s="4">
        <v>358</v>
      </c>
      <c r="G971" s="9">
        <v>51.75</v>
      </c>
    </row>
    <row r="972" spans="1:7" ht="15.6" x14ac:dyDescent="0.3">
      <c r="A972" s="16">
        <v>45008</v>
      </c>
      <c r="B972" s="10" t="s">
        <v>17</v>
      </c>
      <c r="C972" s="10" t="s">
        <v>14</v>
      </c>
      <c r="D972" s="10" t="s">
        <v>15</v>
      </c>
      <c r="E972" s="4">
        <v>7</v>
      </c>
      <c r="F972" s="4">
        <v>3451</v>
      </c>
      <c r="G972" s="9">
        <v>194.42</v>
      </c>
    </row>
    <row r="973" spans="1:7" ht="15.6" x14ac:dyDescent="0.3">
      <c r="A973" s="16">
        <v>44602</v>
      </c>
      <c r="B973" s="10" t="s">
        <v>23</v>
      </c>
      <c r="C973" s="10" t="s">
        <v>14</v>
      </c>
      <c r="D973" s="10" t="s">
        <v>9</v>
      </c>
      <c r="E973" s="4">
        <v>9</v>
      </c>
      <c r="F973" s="4">
        <v>1350</v>
      </c>
      <c r="G973" s="9">
        <v>189.13</v>
      </c>
    </row>
    <row r="974" spans="1:7" ht="15.6" x14ac:dyDescent="0.3">
      <c r="A974" s="16">
        <v>45218</v>
      </c>
      <c r="B974" s="10" t="s">
        <v>13</v>
      </c>
      <c r="C974" s="10" t="s">
        <v>14</v>
      </c>
      <c r="D974" s="10" t="s">
        <v>16</v>
      </c>
      <c r="E974" s="4">
        <v>8</v>
      </c>
      <c r="F974" s="4">
        <v>3320</v>
      </c>
      <c r="G974" s="9">
        <v>413.32</v>
      </c>
    </row>
    <row r="975" spans="1:7" ht="15.6" x14ac:dyDescent="0.3">
      <c r="A975" s="16">
        <v>45545</v>
      </c>
      <c r="B975" s="10" t="s">
        <v>10</v>
      </c>
      <c r="C975" s="10" t="s">
        <v>11</v>
      </c>
      <c r="D975" s="10" t="s">
        <v>9</v>
      </c>
      <c r="E975" s="4">
        <v>9</v>
      </c>
      <c r="F975" s="4">
        <v>8442</v>
      </c>
      <c r="G975" s="9">
        <v>940.33</v>
      </c>
    </row>
    <row r="976" spans="1:7" ht="15.6" x14ac:dyDescent="0.3">
      <c r="A976" s="16">
        <v>44729</v>
      </c>
      <c r="B976" s="10" t="s">
        <v>22</v>
      </c>
      <c r="C976" s="10" t="s">
        <v>11</v>
      </c>
      <c r="D976" s="10" t="s">
        <v>15</v>
      </c>
      <c r="E976" s="4">
        <v>1</v>
      </c>
      <c r="F976" s="4">
        <v>166</v>
      </c>
      <c r="G976" s="9">
        <v>31.97</v>
      </c>
    </row>
    <row r="977" spans="1:7" ht="15.6" x14ac:dyDescent="0.3">
      <c r="A977" s="16">
        <v>45147</v>
      </c>
      <c r="B977" s="10" t="s">
        <v>10</v>
      </c>
      <c r="C977" s="10" t="s">
        <v>11</v>
      </c>
      <c r="D977" s="10" t="s">
        <v>9</v>
      </c>
      <c r="E977" s="4">
        <v>5</v>
      </c>
      <c r="F977" s="4">
        <v>3720</v>
      </c>
      <c r="G977" s="9">
        <v>448.6</v>
      </c>
    </row>
    <row r="978" spans="1:7" ht="15.6" x14ac:dyDescent="0.3">
      <c r="A978" s="16">
        <v>45118</v>
      </c>
      <c r="B978" s="10" t="s">
        <v>23</v>
      </c>
      <c r="C978" s="10" t="s">
        <v>14</v>
      </c>
      <c r="D978" s="10" t="s">
        <v>15</v>
      </c>
      <c r="E978" s="4">
        <v>2</v>
      </c>
      <c r="F978" s="4">
        <v>1090</v>
      </c>
      <c r="G978" s="9">
        <v>136.65</v>
      </c>
    </row>
    <row r="979" spans="1:7" ht="15.6" x14ac:dyDescent="0.3">
      <c r="A979" s="16">
        <v>45296</v>
      </c>
      <c r="B979" s="10" t="s">
        <v>23</v>
      </c>
      <c r="C979" s="10" t="s">
        <v>14</v>
      </c>
      <c r="D979" s="10" t="s">
        <v>16</v>
      </c>
      <c r="E979" s="4">
        <v>9</v>
      </c>
      <c r="F979" s="4">
        <v>9783</v>
      </c>
      <c r="G979" s="9">
        <v>2347.4899999999998</v>
      </c>
    </row>
    <row r="980" spans="1:7" ht="15.6" x14ac:dyDescent="0.3">
      <c r="A980" s="16">
        <v>44826</v>
      </c>
      <c r="B980" s="10" t="s">
        <v>21</v>
      </c>
      <c r="C980" s="10" t="s">
        <v>14</v>
      </c>
      <c r="D980" s="10" t="s">
        <v>9</v>
      </c>
      <c r="E980" s="4">
        <v>4</v>
      </c>
      <c r="F980" s="4">
        <v>2432</v>
      </c>
      <c r="G980" s="9">
        <v>657.18</v>
      </c>
    </row>
    <row r="981" spans="1:7" ht="15.6" x14ac:dyDescent="0.3">
      <c r="A981" s="16">
        <v>45099</v>
      </c>
      <c r="B981" s="10" t="s">
        <v>10</v>
      </c>
      <c r="C981" s="10" t="s">
        <v>11</v>
      </c>
      <c r="D981" s="10" t="s">
        <v>9</v>
      </c>
      <c r="E981" s="4">
        <v>7</v>
      </c>
      <c r="F981" s="4">
        <v>4060</v>
      </c>
      <c r="G981" s="9">
        <v>291.42</v>
      </c>
    </row>
    <row r="982" spans="1:7" ht="15.6" x14ac:dyDescent="0.3">
      <c r="A982" s="16">
        <v>45011</v>
      </c>
      <c r="B982" s="10" t="s">
        <v>19</v>
      </c>
      <c r="C982" s="10" t="s">
        <v>14</v>
      </c>
      <c r="D982" s="10" t="s">
        <v>9</v>
      </c>
      <c r="E982" s="4">
        <v>1</v>
      </c>
      <c r="F982" s="4">
        <v>387</v>
      </c>
      <c r="G982" s="9">
        <v>99.59</v>
      </c>
    </row>
    <row r="983" spans="1:7" ht="15.6" x14ac:dyDescent="0.3">
      <c r="A983" s="16">
        <v>45149</v>
      </c>
      <c r="B983" s="10" t="s">
        <v>19</v>
      </c>
      <c r="C983" s="10" t="s">
        <v>14</v>
      </c>
      <c r="D983" s="10" t="s">
        <v>9</v>
      </c>
      <c r="E983" s="4">
        <v>3</v>
      </c>
      <c r="F983" s="4">
        <v>966</v>
      </c>
      <c r="G983" s="9">
        <v>120.56</v>
      </c>
    </row>
    <row r="984" spans="1:7" ht="15.6" x14ac:dyDescent="0.3">
      <c r="A984" s="16">
        <v>45429</v>
      </c>
      <c r="B984" s="10" t="s">
        <v>13</v>
      </c>
      <c r="C984" s="10" t="s">
        <v>14</v>
      </c>
      <c r="D984" s="10" t="s">
        <v>9</v>
      </c>
      <c r="E984" s="4">
        <v>3</v>
      </c>
      <c r="F984" s="4">
        <v>3366</v>
      </c>
      <c r="G984" s="9">
        <v>882.29</v>
      </c>
    </row>
    <row r="985" spans="1:7" ht="15.6" x14ac:dyDescent="0.3">
      <c r="A985" s="16">
        <v>45473</v>
      </c>
      <c r="B985" s="10" t="s">
        <v>20</v>
      </c>
      <c r="C985" s="10" t="s">
        <v>11</v>
      </c>
      <c r="D985" s="10" t="s">
        <v>16</v>
      </c>
      <c r="E985" s="4">
        <v>7</v>
      </c>
      <c r="F985" s="4">
        <v>7833</v>
      </c>
      <c r="G985" s="9">
        <v>1843.94</v>
      </c>
    </row>
    <row r="986" spans="1:7" ht="15.6" x14ac:dyDescent="0.3">
      <c r="A986" s="16">
        <v>45025</v>
      </c>
      <c r="B986" s="10" t="s">
        <v>20</v>
      </c>
      <c r="C986" s="10" t="s">
        <v>11</v>
      </c>
      <c r="D986" s="10" t="s">
        <v>16</v>
      </c>
      <c r="E986" s="4">
        <v>1</v>
      </c>
      <c r="F986" s="4">
        <v>610</v>
      </c>
      <c r="G986" s="9">
        <v>33.549999999999997</v>
      </c>
    </row>
    <row r="987" spans="1:7" ht="15.6" x14ac:dyDescent="0.3">
      <c r="A987" s="16">
        <v>44709</v>
      </c>
      <c r="B987" s="10" t="s">
        <v>19</v>
      </c>
      <c r="C987" s="10" t="s">
        <v>14</v>
      </c>
      <c r="D987" s="10" t="s">
        <v>16</v>
      </c>
      <c r="E987" s="4">
        <v>8</v>
      </c>
      <c r="F987" s="4">
        <v>4288</v>
      </c>
      <c r="G987" s="9">
        <v>597.09</v>
      </c>
    </row>
    <row r="988" spans="1:7" ht="15.6" x14ac:dyDescent="0.3">
      <c r="A988" s="16">
        <v>44760</v>
      </c>
      <c r="B988" s="10" t="s">
        <v>7</v>
      </c>
      <c r="C988" s="10" t="s">
        <v>8</v>
      </c>
      <c r="D988" s="10" t="s">
        <v>9</v>
      </c>
      <c r="E988" s="4">
        <v>9</v>
      </c>
      <c r="F988" s="4">
        <v>7740</v>
      </c>
      <c r="G988" s="9">
        <v>605.35</v>
      </c>
    </row>
    <row r="989" spans="1:7" ht="15.6" x14ac:dyDescent="0.3">
      <c r="A989" s="16">
        <v>45524</v>
      </c>
      <c r="B989" s="10" t="s">
        <v>19</v>
      </c>
      <c r="C989" s="10" t="s">
        <v>14</v>
      </c>
      <c r="D989" s="10" t="s">
        <v>16</v>
      </c>
      <c r="E989" s="4">
        <v>9</v>
      </c>
      <c r="F989" s="4">
        <v>3150</v>
      </c>
      <c r="G989" s="9">
        <v>457.13</v>
      </c>
    </row>
    <row r="990" spans="1:7" ht="15.6" x14ac:dyDescent="0.3">
      <c r="A990" s="16">
        <v>45291</v>
      </c>
      <c r="B990" s="10" t="s">
        <v>22</v>
      </c>
      <c r="C990" s="10" t="s">
        <v>11</v>
      </c>
      <c r="D990" s="10" t="s">
        <v>16</v>
      </c>
      <c r="E990" s="4">
        <v>2</v>
      </c>
      <c r="F990" s="4">
        <v>894</v>
      </c>
      <c r="G990" s="9">
        <v>224.75</v>
      </c>
    </row>
    <row r="991" spans="1:7" ht="15.6" x14ac:dyDescent="0.3">
      <c r="A991" s="16">
        <v>44843</v>
      </c>
      <c r="B991" s="10" t="s">
        <v>23</v>
      </c>
      <c r="C991" s="10" t="s">
        <v>14</v>
      </c>
      <c r="D991" s="10" t="s">
        <v>9</v>
      </c>
      <c r="E991" s="4">
        <v>8</v>
      </c>
      <c r="F991" s="4">
        <v>7544</v>
      </c>
      <c r="G991" s="9">
        <v>1219.73</v>
      </c>
    </row>
    <row r="992" spans="1:7" ht="15.6" x14ac:dyDescent="0.3">
      <c r="A992" s="16">
        <v>45352</v>
      </c>
      <c r="B992" s="10" t="s">
        <v>22</v>
      </c>
      <c r="C992" s="10" t="s">
        <v>11</v>
      </c>
      <c r="D992" s="10" t="s">
        <v>9</v>
      </c>
      <c r="E992" s="4">
        <v>8</v>
      </c>
      <c r="F992" s="4">
        <v>6360</v>
      </c>
      <c r="G992" s="9">
        <v>1871.88</v>
      </c>
    </row>
    <row r="993" spans="1:7" ht="15.6" x14ac:dyDescent="0.3">
      <c r="A993" s="16">
        <v>44639</v>
      </c>
      <c r="B993" s="10" t="s">
        <v>21</v>
      </c>
      <c r="C993" s="10" t="s">
        <v>14</v>
      </c>
      <c r="D993" s="10" t="s">
        <v>16</v>
      </c>
      <c r="E993" s="4">
        <v>4</v>
      </c>
      <c r="F993" s="4">
        <v>2428</v>
      </c>
      <c r="G993" s="9">
        <v>485.75</v>
      </c>
    </row>
    <row r="994" spans="1:7" ht="15.6" x14ac:dyDescent="0.3">
      <c r="A994" s="16">
        <v>44839</v>
      </c>
      <c r="B994" s="10" t="s">
        <v>18</v>
      </c>
      <c r="C994" s="10" t="s">
        <v>11</v>
      </c>
      <c r="D994" s="10" t="s">
        <v>15</v>
      </c>
      <c r="E994" s="4">
        <v>2</v>
      </c>
      <c r="F994" s="4">
        <v>574</v>
      </c>
      <c r="G994" s="9">
        <v>38.520000000000003</v>
      </c>
    </row>
    <row r="995" spans="1:7" ht="15.6" x14ac:dyDescent="0.3">
      <c r="A995" s="16">
        <v>45041</v>
      </c>
      <c r="B995" s="10" t="s">
        <v>22</v>
      </c>
      <c r="C995" s="10" t="s">
        <v>11</v>
      </c>
      <c r="D995" s="10" t="s">
        <v>16</v>
      </c>
      <c r="E995" s="4">
        <v>6</v>
      </c>
      <c r="F995" s="4">
        <v>6744</v>
      </c>
      <c r="G995" s="9">
        <v>660.47</v>
      </c>
    </row>
    <row r="996" spans="1:7" ht="15.6" x14ac:dyDescent="0.3">
      <c r="A996" s="16">
        <v>45180</v>
      </c>
      <c r="B996" s="10" t="s">
        <v>18</v>
      </c>
      <c r="C996" s="10" t="s">
        <v>11</v>
      </c>
      <c r="D996" s="10" t="s">
        <v>9</v>
      </c>
      <c r="E996" s="4">
        <v>6</v>
      </c>
      <c r="F996" s="4">
        <v>798</v>
      </c>
      <c r="G996" s="9">
        <v>213.4</v>
      </c>
    </row>
    <row r="997" spans="1:7" ht="15.6" x14ac:dyDescent="0.3">
      <c r="A997" s="16">
        <v>44939</v>
      </c>
      <c r="B997" s="10" t="s">
        <v>7</v>
      </c>
      <c r="C997" s="10" t="s">
        <v>8</v>
      </c>
      <c r="D997" s="10" t="s">
        <v>9</v>
      </c>
      <c r="E997" s="4">
        <v>5</v>
      </c>
      <c r="F997" s="4">
        <v>2860</v>
      </c>
      <c r="G997" s="9">
        <v>339</v>
      </c>
    </row>
    <row r="998" spans="1:7" ht="15.6" x14ac:dyDescent="0.3">
      <c r="A998" s="16">
        <v>44654</v>
      </c>
      <c r="B998" s="10" t="s">
        <v>7</v>
      </c>
      <c r="C998" s="10" t="s">
        <v>8</v>
      </c>
      <c r="D998" s="10" t="s">
        <v>15</v>
      </c>
      <c r="E998" s="4">
        <v>5</v>
      </c>
      <c r="F998" s="4">
        <v>5410</v>
      </c>
      <c r="G998" s="9">
        <v>1129.77</v>
      </c>
    </row>
    <row r="999" spans="1:7" ht="15.6" x14ac:dyDescent="0.3">
      <c r="A999" s="16">
        <v>44983</v>
      </c>
      <c r="B999" s="10" t="s">
        <v>23</v>
      </c>
      <c r="C999" s="10" t="s">
        <v>14</v>
      </c>
      <c r="D999" s="10" t="s">
        <v>16</v>
      </c>
      <c r="E999" s="4">
        <v>5</v>
      </c>
      <c r="F999" s="4">
        <v>4445</v>
      </c>
      <c r="G999" s="9">
        <v>580.15</v>
      </c>
    </row>
    <row r="1000" spans="1:7" ht="15.6" x14ac:dyDescent="0.3">
      <c r="A1000" s="16">
        <v>45599</v>
      </c>
      <c r="B1000" s="10" t="s">
        <v>19</v>
      </c>
      <c r="C1000" s="10" t="s">
        <v>14</v>
      </c>
      <c r="D1000" s="10" t="s">
        <v>15</v>
      </c>
      <c r="E1000" s="4">
        <v>8</v>
      </c>
      <c r="F1000" s="4">
        <v>7536</v>
      </c>
      <c r="G1000" s="9">
        <v>1197.0899999999999</v>
      </c>
    </row>
    <row r="1001" spans="1:7" ht="15.6" x14ac:dyDescent="0.3">
      <c r="A1001" s="16">
        <v>45195</v>
      </c>
      <c r="B1001" s="10" t="s">
        <v>20</v>
      </c>
      <c r="C1001" s="10" t="s">
        <v>11</v>
      </c>
      <c r="D1001" s="10" t="s">
        <v>9</v>
      </c>
      <c r="E1001" s="4">
        <v>7</v>
      </c>
      <c r="F1001" s="4">
        <v>4165</v>
      </c>
      <c r="G1001" s="9">
        <v>263.26</v>
      </c>
    </row>
    <row r="1002" spans="1:7" ht="15.6" x14ac:dyDescent="0.3">
      <c r="A1002" s="16">
        <v>45341</v>
      </c>
      <c r="B1002" s="10" t="s">
        <v>23</v>
      </c>
      <c r="C1002" s="10" t="s">
        <v>14</v>
      </c>
      <c r="D1002" s="10" t="s">
        <v>12</v>
      </c>
      <c r="E1002" s="4">
        <v>3</v>
      </c>
      <c r="F1002" s="4">
        <v>3021</v>
      </c>
      <c r="G1002" s="9">
        <v>763.99</v>
      </c>
    </row>
    <row r="1003" spans="1:7" ht="15.6" x14ac:dyDescent="0.3">
      <c r="A1003" s="16">
        <v>45411</v>
      </c>
      <c r="B1003" s="10" t="s">
        <v>22</v>
      </c>
      <c r="C1003" s="10" t="s">
        <v>11</v>
      </c>
      <c r="D1003" s="10" t="s">
        <v>9</v>
      </c>
      <c r="E1003" s="4">
        <v>2</v>
      </c>
      <c r="F1003" s="4">
        <v>310</v>
      </c>
      <c r="G1003" s="9">
        <v>70.66</v>
      </c>
    </row>
    <row r="1004" spans="1:7" ht="15.6" x14ac:dyDescent="0.3">
      <c r="A1004" s="16">
        <v>45427</v>
      </c>
      <c r="B1004" s="10" t="s">
        <v>18</v>
      </c>
      <c r="C1004" s="10" t="s">
        <v>11</v>
      </c>
      <c r="D1004" s="10" t="s">
        <v>15</v>
      </c>
      <c r="E1004" s="4">
        <v>2</v>
      </c>
      <c r="F1004" s="4">
        <v>2170</v>
      </c>
      <c r="G1004" s="9">
        <v>522</v>
      </c>
    </row>
    <row r="1005" spans="1:7" ht="15.6" x14ac:dyDescent="0.3">
      <c r="A1005" s="16">
        <v>45587</v>
      </c>
      <c r="B1005" s="10" t="s">
        <v>13</v>
      </c>
      <c r="C1005" s="10" t="s">
        <v>14</v>
      </c>
      <c r="D1005" s="10" t="s">
        <v>16</v>
      </c>
      <c r="E1005" s="4">
        <v>3</v>
      </c>
      <c r="F1005" s="4">
        <v>2832</v>
      </c>
      <c r="G1005" s="9">
        <v>317.76</v>
      </c>
    </row>
    <row r="1006" spans="1:7" ht="15.6" x14ac:dyDescent="0.3">
      <c r="A1006" s="16">
        <v>44773</v>
      </c>
      <c r="B1006" s="10" t="s">
        <v>19</v>
      </c>
      <c r="C1006" s="10" t="s">
        <v>14</v>
      </c>
      <c r="D1006" s="10" t="s">
        <v>16</v>
      </c>
      <c r="E1006" s="4">
        <v>5</v>
      </c>
      <c r="F1006" s="4">
        <v>3945</v>
      </c>
      <c r="G1006" s="9">
        <v>392.09</v>
      </c>
    </row>
    <row r="1007" spans="1:7" ht="15.6" x14ac:dyDescent="0.3">
      <c r="A1007" s="16">
        <v>44814</v>
      </c>
      <c r="B1007" s="10" t="s">
        <v>13</v>
      </c>
      <c r="C1007" s="10" t="s">
        <v>14</v>
      </c>
      <c r="D1007" s="10" t="s">
        <v>15</v>
      </c>
      <c r="E1007" s="4">
        <v>4</v>
      </c>
      <c r="F1007" s="4">
        <v>2104</v>
      </c>
      <c r="G1007" s="9">
        <v>308</v>
      </c>
    </row>
    <row r="1008" spans="1:7" ht="15.6" x14ac:dyDescent="0.3">
      <c r="A1008" s="16">
        <v>44797</v>
      </c>
      <c r="B1008" s="10" t="s">
        <v>20</v>
      </c>
      <c r="C1008" s="10" t="s">
        <v>11</v>
      </c>
      <c r="D1008" s="10" t="s">
        <v>15</v>
      </c>
      <c r="E1008" s="4">
        <v>2</v>
      </c>
      <c r="F1008" s="4">
        <v>2060</v>
      </c>
      <c r="G1008" s="9">
        <v>517.64</v>
      </c>
    </row>
    <row r="1009" spans="1:7" ht="15.6" x14ac:dyDescent="0.3">
      <c r="A1009" s="16">
        <v>45466</v>
      </c>
      <c r="B1009" s="10" t="s">
        <v>7</v>
      </c>
      <c r="C1009" s="10" t="s">
        <v>8</v>
      </c>
      <c r="D1009" s="10" t="s">
        <v>9</v>
      </c>
      <c r="E1009" s="4">
        <v>4</v>
      </c>
      <c r="F1009" s="4">
        <v>1060</v>
      </c>
      <c r="G1009" s="9">
        <v>155.78</v>
      </c>
    </row>
    <row r="1010" spans="1:7" ht="15.6" x14ac:dyDescent="0.3">
      <c r="A1010" s="16">
        <v>44939</v>
      </c>
      <c r="B1010" s="10" t="s">
        <v>19</v>
      </c>
      <c r="C1010" s="10" t="s">
        <v>14</v>
      </c>
      <c r="D1010" s="10" t="s">
        <v>15</v>
      </c>
      <c r="E1010" s="4">
        <v>6</v>
      </c>
      <c r="F1010" s="4">
        <v>810</v>
      </c>
      <c r="G1010" s="9">
        <v>108.61</v>
      </c>
    </row>
    <row r="1011" spans="1:7" ht="15.6" x14ac:dyDescent="0.3">
      <c r="A1011" s="16">
        <v>44827</v>
      </c>
      <c r="B1011" s="10" t="s">
        <v>23</v>
      </c>
      <c r="C1011" s="10" t="s">
        <v>14</v>
      </c>
      <c r="D1011" s="10" t="s">
        <v>16</v>
      </c>
      <c r="E1011" s="4">
        <v>3</v>
      </c>
      <c r="F1011" s="4">
        <v>873</v>
      </c>
      <c r="G1011" s="9">
        <v>57.42</v>
      </c>
    </row>
    <row r="1012" spans="1:7" ht="15.6" x14ac:dyDescent="0.3">
      <c r="A1012" s="16">
        <v>44600</v>
      </c>
      <c r="B1012" s="10" t="s">
        <v>13</v>
      </c>
      <c r="C1012" s="10" t="s">
        <v>14</v>
      </c>
      <c r="D1012" s="10" t="s">
        <v>16</v>
      </c>
      <c r="E1012" s="4">
        <v>5</v>
      </c>
      <c r="F1012" s="4">
        <v>595</v>
      </c>
      <c r="G1012" s="9">
        <v>121.11</v>
      </c>
    </row>
    <row r="1013" spans="1:7" ht="15.6" x14ac:dyDescent="0.3">
      <c r="A1013" s="16">
        <v>44913</v>
      </c>
      <c r="B1013" s="10" t="s">
        <v>23</v>
      </c>
      <c r="C1013" s="10" t="s">
        <v>14</v>
      </c>
      <c r="D1013" s="10" t="s">
        <v>16</v>
      </c>
      <c r="E1013" s="4">
        <v>2</v>
      </c>
      <c r="F1013" s="4">
        <v>1562</v>
      </c>
      <c r="G1013" s="9">
        <v>119.56</v>
      </c>
    </row>
    <row r="1014" spans="1:7" ht="15.6" x14ac:dyDescent="0.3">
      <c r="A1014" s="16">
        <v>44586</v>
      </c>
      <c r="B1014" s="10" t="s">
        <v>19</v>
      </c>
      <c r="C1014" s="10" t="s">
        <v>14</v>
      </c>
      <c r="D1014" s="10" t="s">
        <v>12</v>
      </c>
      <c r="E1014" s="4">
        <v>9</v>
      </c>
      <c r="F1014" s="4">
        <v>5337</v>
      </c>
      <c r="G1014" s="9">
        <v>1575.99</v>
      </c>
    </row>
    <row r="1015" spans="1:7" ht="15.6" x14ac:dyDescent="0.3">
      <c r="A1015" s="16">
        <v>44904</v>
      </c>
      <c r="B1015" s="10" t="s">
        <v>7</v>
      </c>
      <c r="C1015" s="10" t="s">
        <v>8</v>
      </c>
      <c r="D1015" s="10" t="s">
        <v>9</v>
      </c>
      <c r="E1015" s="4">
        <v>2</v>
      </c>
      <c r="F1015" s="4">
        <v>212</v>
      </c>
      <c r="G1015" s="9">
        <v>13.4</v>
      </c>
    </row>
    <row r="1016" spans="1:7" ht="15.6" x14ac:dyDescent="0.3">
      <c r="A1016" s="16">
        <v>45091</v>
      </c>
      <c r="B1016" s="10" t="s">
        <v>7</v>
      </c>
      <c r="C1016" s="10" t="s">
        <v>8</v>
      </c>
      <c r="D1016" s="10" t="s">
        <v>12</v>
      </c>
      <c r="E1016" s="4">
        <v>8</v>
      </c>
      <c r="F1016" s="4">
        <v>2704</v>
      </c>
      <c r="G1016" s="9">
        <v>705.74</v>
      </c>
    </row>
    <row r="1017" spans="1:7" ht="15.6" x14ac:dyDescent="0.3">
      <c r="A1017" s="16">
        <v>45443</v>
      </c>
      <c r="B1017" s="10" t="s">
        <v>23</v>
      </c>
      <c r="C1017" s="10" t="s">
        <v>14</v>
      </c>
      <c r="D1017" s="10" t="s">
        <v>9</v>
      </c>
      <c r="E1017" s="4">
        <v>5</v>
      </c>
      <c r="F1017" s="4">
        <v>3225</v>
      </c>
      <c r="G1017" s="9">
        <v>523.32000000000005</v>
      </c>
    </row>
    <row r="1018" spans="1:7" ht="15.6" x14ac:dyDescent="0.3">
      <c r="A1018" s="16">
        <v>45145</v>
      </c>
      <c r="B1018" s="10" t="s">
        <v>20</v>
      </c>
      <c r="C1018" s="10" t="s">
        <v>11</v>
      </c>
      <c r="D1018" s="10" t="s">
        <v>9</v>
      </c>
      <c r="E1018" s="4">
        <v>2</v>
      </c>
      <c r="F1018" s="4">
        <v>1342</v>
      </c>
      <c r="G1018" s="9">
        <v>184.59</v>
      </c>
    </row>
    <row r="1019" spans="1:7" ht="15.6" x14ac:dyDescent="0.3">
      <c r="A1019" s="16">
        <v>44755</v>
      </c>
      <c r="B1019" s="10" t="s">
        <v>10</v>
      </c>
      <c r="C1019" s="10" t="s">
        <v>11</v>
      </c>
      <c r="D1019" s="10" t="s">
        <v>15</v>
      </c>
      <c r="E1019" s="4">
        <v>7</v>
      </c>
      <c r="F1019" s="4">
        <v>3395</v>
      </c>
      <c r="G1019" s="9">
        <v>1012.78</v>
      </c>
    </row>
    <row r="1020" spans="1:7" ht="15.6" x14ac:dyDescent="0.3">
      <c r="A1020" s="16">
        <v>45627</v>
      </c>
      <c r="B1020" s="10" t="s">
        <v>19</v>
      </c>
      <c r="C1020" s="10" t="s">
        <v>14</v>
      </c>
      <c r="D1020" s="10" t="s">
        <v>12</v>
      </c>
      <c r="E1020" s="4">
        <v>4</v>
      </c>
      <c r="F1020" s="4">
        <v>3968</v>
      </c>
      <c r="G1020" s="9">
        <v>480.72</v>
      </c>
    </row>
    <row r="1021" spans="1:7" ht="15.6" x14ac:dyDescent="0.3">
      <c r="A1021" s="16">
        <v>45394</v>
      </c>
      <c r="B1021" s="10" t="s">
        <v>21</v>
      </c>
      <c r="C1021" s="10" t="s">
        <v>14</v>
      </c>
      <c r="D1021" s="10" t="s">
        <v>16</v>
      </c>
      <c r="E1021" s="4">
        <v>5</v>
      </c>
      <c r="F1021" s="4">
        <v>4555</v>
      </c>
      <c r="G1021" s="9">
        <v>776.65</v>
      </c>
    </row>
    <row r="1022" spans="1:7" ht="15.6" x14ac:dyDescent="0.3">
      <c r="A1022" s="16">
        <v>44618</v>
      </c>
      <c r="B1022" s="10" t="s">
        <v>13</v>
      </c>
      <c r="C1022" s="10" t="s">
        <v>14</v>
      </c>
      <c r="D1022" s="10" t="s">
        <v>16</v>
      </c>
      <c r="E1022" s="4">
        <v>2</v>
      </c>
      <c r="F1022" s="4">
        <v>2132</v>
      </c>
      <c r="G1022" s="9">
        <v>365.44</v>
      </c>
    </row>
    <row r="1023" spans="1:7" ht="15.6" x14ac:dyDescent="0.3">
      <c r="A1023" s="16">
        <v>44651</v>
      </c>
      <c r="B1023" s="10" t="s">
        <v>10</v>
      </c>
      <c r="C1023" s="10" t="s">
        <v>11</v>
      </c>
      <c r="D1023" s="10" t="s">
        <v>16</v>
      </c>
      <c r="E1023" s="4">
        <v>6</v>
      </c>
      <c r="F1023" s="4">
        <v>6516</v>
      </c>
      <c r="G1023" s="9">
        <v>842.83</v>
      </c>
    </row>
    <row r="1024" spans="1:7" ht="15.6" x14ac:dyDescent="0.3">
      <c r="A1024" s="16">
        <v>45155</v>
      </c>
      <c r="B1024" s="10" t="s">
        <v>19</v>
      </c>
      <c r="C1024" s="10" t="s">
        <v>14</v>
      </c>
      <c r="D1024" s="10" t="s">
        <v>9</v>
      </c>
      <c r="E1024" s="4">
        <v>2</v>
      </c>
      <c r="F1024" s="4">
        <v>2040</v>
      </c>
      <c r="G1024" s="9">
        <v>481.15</v>
      </c>
    </row>
    <row r="1025" spans="1:7" ht="15.6" x14ac:dyDescent="0.3">
      <c r="A1025" s="16">
        <v>45558</v>
      </c>
      <c r="B1025" s="10" t="s">
        <v>10</v>
      </c>
      <c r="C1025" s="10" t="s">
        <v>11</v>
      </c>
      <c r="D1025" s="10" t="s">
        <v>12</v>
      </c>
      <c r="E1025" s="4">
        <v>6</v>
      </c>
      <c r="F1025" s="4">
        <v>6126</v>
      </c>
      <c r="G1025" s="9">
        <v>428.38</v>
      </c>
    </row>
    <row r="1026" spans="1:7" ht="15.6" x14ac:dyDescent="0.3">
      <c r="A1026" s="16">
        <v>44815</v>
      </c>
      <c r="B1026" s="10" t="s">
        <v>19</v>
      </c>
      <c r="C1026" s="10" t="s">
        <v>14</v>
      </c>
      <c r="D1026" s="10" t="s">
        <v>16</v>
      </c>
      <c r="E1026" s="4">
        <v>8</v>
      </c>
      <c r="F1026" s="4">
        <v>520</v>
      </c>
      <c r="G1026" s="9">
        <v>30.58</v>
      </c>
    </row>
    <row r="1027" spans="1:7" ht="15.6" x14ac:dyDescent="0.3">
      <c r="A1027" s="16">
        <v>44927</v>
      </c>
      <c r="B1027" s="10" t="s">
        <v>17</v>
      </c>
      <c r="C1027" s="10" t="s">
        <v>14</v>
      </c>
      <c r="D1027" s="10" t="s">
        <v>15</v>
      </c>
      <c r="E1027" s="4">
        <v>5</v>
      </c>
      <c r="F1027" s="4">
        <v>4470</v>
      </c>
      <c r="G1027" s="9">
        <v>526.96</v>
      </c>
    </row>
    <row r="1028" spans="1:7" ht="15.6" x14ac:dyDescent="0.3">
      <c r="A1028" s="16">
        <v>45485</v>
      </c>
      <c r="B1028" s="10" t="s">
        <v>19</v>
      </c>
      <c r="C1028" s="10" t="s">
        <v>14</v>
      </c>
      <c r="D1028" s="10" t="s">
        <v>16</v>
      </c>
      <c r="E1028" s="4">
        <v>8</v>
      </c>
      <c r="F1028" s="4">
        <v>5504</v>
      </c>
      <c r="G1028" s="9">
        <v>1196.78</v>
      </c>
    </row>
    <row r="1029" spans="1:7" ht="15.6" x14ac:dyDescent="0.3">
      <c r="A1029" s="16">
        <v>44572</v>
      </c>
      <c r="B1029" s="10" t="s">
        <v>18</v>
      </c>
      <c r="C1029" s="10" t="s">
        <v>11</v>
      </c>
      <c r="D1029" s="10" t="s">
        <v>16</v>
      </c>
      <c r="E1029" s="4">
        <v>4</v>
      </c>
      <c r="F1029" s="4">
        <v>3036</v>
      </c>
      <c r="G1029" s="9">
        <v>511.69</v>
      </c>
    </row>
    <row r="1030" spans="1:7" ht="15.6" x14ac:dyDescent="0.3">
      <c r="A1030" s="16">
        <v>45570</v>
      </c>
      <c r="B1030" s="10" t="s">
        <v>19</v>
      </c>
      <c r="C1030" s="10" t="s">
        <v>14</v>
      </c>
      <c r="D1030" s="10" t="s">
        <v>12</v>
      </c>
      <c r="E1030" s="4">
        <v>5</v>
      </c>
      <c r="F1030" s="4">
        <v>2725</v>
      </c>
      <c r="G1030" s="9">
        <v>308.29000000000002</v>
      </c>
    </row>
    <row r="1031" spans="1:7" ht="15.6" x14ac:dyDescent="0.3">
      <c r="A1031" s="16">
        <v>45551</v>
      </c>
      <c r="B1031" s="10" t="s">
        <v>7</v>
      </c>
      <c r="C1031" s="10" t="s">
        <v>8</v>
      </c>
      <c r="D1031" s="10" t="s">
        <v>9</v>
      </c>
      <c r="E1031" s="4">
        <v>8</v>
      </c>
      <c r="F1031" s="4">
        <v>4080</v>
      </c>
      <c r="G1031" s="9">
        <v>336.96</v>
      </c>
    </row>
    <row r="1032" spans="1:7" ht="15.6" x14ac:dyDescent="0.3">
      <c r="A1032" s="16">
        <v>45435</v>
      </c>
      <c r="B1032" s="10" t="s">
        <v>22</v>
      </c>
      <c r="C1032" s="10" t="s">
        <v>11</v>
      </c>
      <c r="D1032" s="10" t="s">
        <v>9</v>
      </c>
      <c r="E1032" s="4">
        <v>8</v>
      </c>
      <c r="F1032" s="4">
        <v>3080</v>
      </c>
      <c r="G1032" s="9">
        <v>776.6</v>
      </c>
    </row>
    <row r="1033" spans="1:7" ht="15.6" x14ac:dyDescent="0.3">
      <c r="A1033" s="16">
        <v>45085</v>
      </c>
      <c r="B1033" s="10" t="s">
        <v>19</v>
      </c>
      <c r="C1033" s="10" t="s">
        <v>14</v>
      </c>
      <c r="D1033" s="10" t="s">
        <v>9</v>
      </c>
      <c r="E1033" s="4">
        <v>5</v>
      </c>
      <c r="F1033" s="4">
        <v>1525</v>
      </c>
      <c r="G1033" s="9">
        <v>413.75</v>
      </c>
    </row>
    <row r="1034" spans="1:7" ht="15.6" x14ac:dyDescent="0.3">
      <c r="A1034" s="16">
        <v>44758</v>
      </c>
      <c r="B1034" s="10" t="s">
        <v>20</v>
      </c>
      <c r="C1034" s="10" t="s">
        <v>11</v>
      </c>
      <c r="D1034" s="10" t="s">
        <v>15</v>
      </c>
      <c r="E1034" s="4">
        <v>4</v>
      </c>
      <c r="F1034" s="4">
        <v>1332</v>
      </c>
      <c r="G1034" s="9">
        <v>342.85</v>
      </c>
    </row>
    <row r="1035" spans="1:7" ht="15.6" x14ac:dyDescent="0.3">
      <c r="A1035" s="16">
        <v>45131</v>
      </c>
      <c r="B1035" s="10" t="s">
        <v>21</v>
      </c>
      <c r="C1035" s="10" t="s">
        <v>14</v>
      </c>
      <c r="D1035" s="10" t="s">
        <v>15</v>
      </c>
      <c r="E1035" s="4">
        <v>7</v>
      </c>
      <c r="F1035" s="4">
        <v>4669</v>
      </c>
      <c r="G1035" s="9">
        <v>803.21</v>
      </c>
    </row>
    <row r="1036" spans="1:7" ht="15.6" x14ac:dyDescent="0.3">
      <c r="A1036" s="16">
        <v>44632</v>
      </c>
      <c r="B1036" s="10" t="s">
        <v>19</v>
      </c>
      <c r="C1036" s="10" t="s">
        <v>14</v>
      </c>
      <c r="D1036" s="10" t="s">
        <v>16</v>
      </c>
      <c r="E1036" s="4">
        <v>6</v>
      </c>
      <c r="F1036" s="4">
        <v>5310</v>
      </c>
      <c r="G1036" s="9">
        <v>1099.8399999999999</v>
      </c>
    </row>
    <row r="1037" spans="1:7" ht="15.6" x14ac:dyDescent="0.3">
      <c r="A1037" s="16">
        <v>44938</v>
      </c>
      <c r="B1037" s="10" t="s">
        <v>17</v>
      </c>
      <c r="C1037" s="10" t="s">
        <v>14</v>
      </c>
      <c r="D1037" s="10" t="s">
        <v>12</v>
      </c>
      <c r="E1037" s="4">
        <v>8</v>
      </c>
      <c r="F1037" s="4">
        <v>9392</v>
      </c>
      <c r="G1037" s="9">
        <v>2651.84</v>
      </c>
    </row>
    <row r="1038" spans="1:7" ht="15.6" x14ac:dyDescent="0.3">
      <c r="A1038" s="16">
        <v>44868</v>
      </c>
      <c r="B1038" s="10" t="s">
        <v>20</v>
      </c>
      <c r="C1038" s="10" t="s">
        <v>11</v>
      </c>
      <c r="D1038" s="10" t="s">
        <v>15</v>
      </c>
      <c r="E1038" s="4">
        <v>5</v>
      </c>
      <c r="F1038" s="4">
        <v>1350</v>
      </c>
      <c r="G1038" s="9">
        <v>198.19</v>
      </c>
    </row>
    <row r="1039" spans="1:7" ht="15.6" x14ac:dyDescent="0.3">
      <c r="A1039" s="16">
        <v>45365</v>
      </c>
      <c r="B1039" s="10" t="s">
        <v>20</v>
      </c>
      <c r="C1039" s="10" t="s">
        <v>11</v>
      </c>
      <c r="D1039" s="10" t="s">
        <v>9</v>
      </c>
      <c r="E1039" s="4">
        <v>4</v>
      </c>
      <c r="F1039" s="4">
        <v>3648</v>
      </c>
      <c r="G1039" s="9">
        <v>768.61</v>
      </c>
    </row>
    <row r="1040" spans="1:7" ht="15.6" x14ac:dyDescent="0.3">
      <c r="A1040" s="16">
        <v>45134</v>
      </c>
      <c r="B1040" s="10" t="s">
        <v>7</v>
      </c>
      <c r="C1040" s="10" t="s">
        <v>8</v>
      </c>
      <c r="D1040" s="10" t="s">
        <v>9</v>
      </c>
      <c r="E1040" s="4">
        <v>2</v>
      </c>
      <c r="F1040" s="4">
        <v>300</v>
      </c>
      <c r="G1040" s="9">
        <v>47.59</v>
      </c>
    </row>
    <row r="1041" spans="1:7" ht="15.6" x14ac:dyDescent="0.3">
      <c r="A1041" s="16">
        <v>44787</v>
      </c>
      <c r="B1041" s="10" t="s">
        <v>21</v>
      </c>
      <c r="C1041" s="10" t="s">
        <v>14</v>
      </c>
      <c r="D1041" s="10" t="s">
        <v>9</v>
      </c>
      <c r="E1041" s="4">
        <v>3</v>
      </c>
      <c r="F1041" s="4">
        <v>3408</v>
      </c>
      <c r="G1041" s="9">
        <v>727.26</v>
      </c>
    </row>
    <row r="1042" spans="1:7" ht="15.6" x14ac:dyDescent="0.3">
      <c r="A1042" s="16">
        <v>45613</v>
      </c>
      <c r="B1042" s="10" t="s">
        <v>22</v>
      </c>
      <c r="C1042" s="10" t="s">
        <v>11</v>
      </c>
      <c r="D1042" s="10" t="s">
        <v>15</v>
      </c>
      <c r="E1042" s="4">
        <v>9</v>
      </c>
      <c r="F1042" s="4">
        <v>4302</v>
      </c>
      <c r="G1042" s="9">
        <v>475.96</v>
      </c>
    </row>
    <row r="1043" spans="1:7" ht="15.6" x14ac:dyDescent="0.3">
      <c r="A1043" s="16">
        <v>45425</v>
      </c>
      <c r="B1043" s="10" t="s">
        <v>22</v>
      </c>
      <c r="C1043" s="10" t="s">
        <v>11</v>
      </c>
      <c r="D1043" s="10" t="s">
        <v>15</v>
      </c>
      <c r="E1043" s="4">
        <v>5</v>
      </c>
      <c r="F1043" s="4">
        <v>4575</v>
      </c>
      <c r="G1043" s="9">
        <v>771.24</v>
      </c>
    </row>
    <row r="1044" spans="1:7" ht="15.6" x14ac:dyDescent="0.3">
      <c r="A1044" s="16">
        <v>44855</v>
      </c>
      <c r="B1044" s="10" t="s">
        <v>23</v>
      </c>
      <c r="C1044" s="10" t="s">
        <v>14</v>
      </c>
      <c r="D1044" s="10" t="s">
        <v>12</v>
      </c>
      <c r="E1044" s="4">
        <v>8</v>
      </c>
      <c r="F1044" s="4">
        <v>9304</v>
      </c>
      <c r="G1044" s="9">
        <v>1855.7</v>
      </c>
    </row>
    <row r="1045" spans="1:7" ht="15.6" x14ac:dyDescent="0.3">
      <c r="A1045" s="16">
        <v>45397</v>
      </c>
      <c r="B1045" s="10" t="s">
        <v>20</v>
      </c>
      <c r="C1045" s="10" t="s">
        <v>11</v>
      </c>
      <c r="D1045" s="10" t="s">
        <v>12</v>
      </c>
      <c r="E1045" s="4">
        <v>4</v>
      </c>
      <c r="F1045" s="4">
        <v>1928</v>
      </c>
      <c r="G1045" s="9">
        <v>232.48</v>
      </c>
    </row>
    <row r="1046" spans="1:7" ht="15.6" x14ac:dyDescent="0.3">
      <c r="A1046" s="16">
        <v>44943</v>
      </c>
      <c r="B1046" s="10" t="s">
        <v>7</v>
      </c>
      <c r="C1046" s="10" t="s">
        <v>8</v>
      </c>
      <c r="D1046" s="10" t="s">
        <v>12</v>
      </c>
      <c r="E1046" s="4">
        <v>2</v>
      </c>
      <c r="F1046" s="4">
        <v>1042</v>
      </c>
      <c r="G1046" s="9">
        <v>86.24</v>
      </c>
    </row>
    <row r="1047" spans="1:7" ht="15.6" x14ac:dyDescent="0.3">
      <c r="A1047" s="16">
        <v>45258</v>
      </c>
      <c r="B1047" s="10" t="s">
        <v>13</v>
      </c>
      <c r="C1047" s="10" t="s">
        <v>14</v>
      </c>
      <c r="D1047" s="10" t="s">
        <v>12</v>
      </c>
      <c r="E1047" s="4">
        <v>3</v>
      </c>
      <c r="F1047" s="4">
        <v>2214</v>
      </c>
      <c r="G1047" s="9">
        <v>507.7</v>
      </c>
    </row>
    <row r="1048" spans="1:7" ht="15.6" x14ac:dyDescent="0.3">
      <c r="A1048" s="16">
        <v>45415</v>
      </c>
      <c r="B1048" s="10" t="s">
        <v>22</v>
      </c>
      <c r="C1048" s="10" t="s">
        <v>11</v>
      </c>
      <c r="D1048" s="10" t="s">
        <v>15</v>
      </c>
      <c r="E1048" s="4">
        <v>4</v>
      </c>
      <c r="F1048" s="4">
        <v>3024</v>
      </c>
      <c r="G1048" s="9">
        <v>678.26</v>
      </c>
    </row>
    <row r="1049" spans="1:7" ht="15.6" x14ac:dyDescent="0.3">
      <c r="A1049" s="16">
        <v>45149</v>
      </c>
      <c r="B1049" s="10" t="s">
        <v>17</v>
      </c>
      <c r="C1049" s="10" t="s">
        <v>14</v>
      </c>
      <c r="D1049" s="10" t="s">
        <v>12</v>
      </c>
      <c r="E1049" s="4">
        <v>2</v>
      </c>
      <c r="F1049" s="4">
        <v>1104</v>
      </c>
      <c r="G1049" s="9">
        <v>173.01</v>
      </c>
    </row>
    <row r="1050" spans="1:7" ht="15.6" x14ac:dyDescent="0.3">
      <c r="A1050" s="16">
        <v>44768</v>
      </c>
      <c r="B1050" s="10" t="s">
        <v>10</v>
      </c>
      <c r="C1050" s="10" t="s">
        <v>11</v>
      </c>
      <c r="D1050" s="10" t="s">
        <v>12</v>
      </c>
      <c r="E1050" s="4">
        <v>8</v>
      </c>
      <c r="F1050" s="4">
        <v>6056</v>
      </c>
      <c r="G1050" s="9">
        <v>1631.71</v>
      </c>
    </row>
    <row r="1051" spans="1:7" ht="15.6" x14ac:dyDescent="0.3">
      <c r="A1051" s="16">
        <v>44964</v>
      </c>
      <c r="B1051" s="10" t="s">
        <v>10</v>
      </c>
      <c r="C1051" s="10" t="s">
        <v>11</v>
      </c>
      <c r="D1051" s="10" t="s">
        <v>15</v>
      </c>
      <c r="E1051" s="4">
        <v>5</v>
      </c>
      <c r="F1051" s="4">
        <v>5295</v>
      </c>
      <c r="G1051" s="9">
        <v>1375.98</v>
      </c>
    </row>
    <row r="1052" spans="1:7" ht="15.6" x14ac:dyDescent="0.3">
      <c r="A1052" s="16">
        <v>44580</v>
      </c>
      <c r="B1052" s="10" t="s">
        <v>21</v>
      </c>
      <c r="C1052" s="10" t="s">
        <v>14</v>
      </c>
      <c r="D1052" s="10" t="s">
        <v>9</v>
      </c>
      <c r="E1052" s="4">
        <v>4</v>
      </c>
      <c r="F1052" s="4">
        <v>3668</v>
      </c>
      <c r="G1052" s="9">
        <v>839.4</v>
      </c>
    </row>
    <row r="1053" spans="1:7" ht="15.6" x14ac:dyDescent="0.3">
      <c r="A1053" s="16">
        <v>45107</v>
      </c>
      <c r="B1053" s="10" t="s">
        <v>7</v>
      </c>
      <c r="C1053" s="10" t="s">
        <v>8</v>
      </c>
      <c r="D1053" s="10" t="s">
        <v>15</v>
      </c>
      <c r="E1053" s="4">
        <v>9</v>
      </c>
      <c r="F1053" s="4">
        <v>4293</v>
      </c>
      <c r="G1053" s="9">
        <v>295.47000000000003</v>
      </c>
    </row>
    <row r="1054" spans="1:7" ht="15.6" x14ac:dyDescent="0.3">
      <c r="A1054" s="16">
        <v>44792</v>
      </c>
      <c r="B1054" s="10" t="s">
        <v>10</v>
      </c>
      <c r="C1054" s="10" t="s">
        <v>11</v>
      </c>
      <c r="D1054" s="10" t="s">
        <v>9</v>
      </c>
      <c r="E1054" s="4">
        <v>7</v>
      </c>
      <c r="F1054" s="4">
        <v>5789</v>
      </c>
      <c r="G1054" s="9">
        <v>950.45</v>
      </c>
    </row>
    <row r="1055" spans="1:7" ht="15.6" x14ac:dyDescent="0.3">
      <c r="A1055" s="16">
        <v>45165</v>
      </c>
      <c r="B1055" s="10" t="s">
        <v>19</v>
      </c>
      <c r="C1055" s="10" t="s">
        <v>14</v>
      </c>
      <c r="D1055" s="10" t="s">
        <v>9</v>
      </c>
      <c r="E1055" s="4">
        <v>6</v>
      </c>
      <c r="F1055" s="4">
        <v>4440</v>
      </c>
      <c r="G1055" s="9">
        <v>800.92</v>
      </c>
    </row>
    <row r="1056" spans="1:7" ht="15.6" x14ac:dyDescent="0.3">
      <c r="A1056" s="16">
        <v>44630</v>
      </c>
      <c r="B1056" s="10" t="s">
        <v>7</v>
      </c>
      <c r="C1056" s="10" t="s">
        <v>8</v>
      </c>
      <c r="D1056" s="10" t="s">
        <v>15</v>
      </c>
      <c r="E1056" s="4">
        <v>5</v>
      </c>
      <c r="F1056" s="4">
        <v>5515</v>
      </c>
      <c r="G1056" s="9">
        <v>330.02</v>
      </c>
    </row>
    <row r="1057" spans="1:7" ht="15.6" x14ac:dyDescent="0.3">
      <c r="A1057" s="16">
        <v>45577</v>
      </c>
      <c r="B1057" s="10" t="s">
        <v>17</v>
      </c>
      <c r="C1057" s="10" t="s">
        <v>14</v>
      </c>
      <c r="D1057" s="10" t="s">
        <v>9</v>
      </c>
      <c r="E1057" s="4">
        <v>4</v>
      </c>
      <c r="F1057" s="4">
        <v>784</v>
      </c>
      <c r="G1057" s="9">
        <v>192.77</v>
      </c>
    </row>
    <row r="1058" spans="1:7" ht="15.6" x14ac:dyDescent="0.3">
      <c r="A1058" s="16">
        <v>45458</v>
      </c>
      <c r="B1058" s="10" t="s">
        <v>23</v>
      </c>
      <c r="C1058" s="10" t="s">
        <v>14</v>
      </c>
      <c r="D1058" s="10" t="s">
        <v>12</v>
      </c>
      <c r="E1058" s="4">
        <v>4</v>
      </c>
      <c r="F1058" s="4">
        <v>576</v>
      </c>
      <c r="G1058" s="9">
        <v>156.59</v>
      </c>
    </row>
    <row r="1059" spans="1:7" ht="15.6" x14ac:dyDescent="0.3">
      <c r="A1059" s="16">
        <v>45544</v>
      </c>
      <c r="B1059" s="10" t="s">
        <v>19</v>
      </c>
      <c r="C1059" s="10" t="s">
        <v>14</v>
      </c>
      <c r="D1059" s="10" t="s">
        <v>16</v>
      </c>
      <c r="E1059" s="4">
        <v>5</v>
      </c>
      <c r="F1059" s="4">
        <v>705</v>
      </c>
      <c r="G1059" s="9">
        <v>198.62</v>
      </c>
    </row>
    <row r="1060" spans="1:7" ht="15.6" x14ac:dyDescent="0.3">
      <c r="A1060" s="16">
        <v>45193</v>
      </c>
      <c r="B1060" s="10" t="s">
        <v>22</v>
      </c>
      <c r="C1060" s="10" t="s">
        <v>11</v>
      </c>
      <c r="D1060" s="10" t="s">
        <v>9</v>
      </c>
      <c r="E1060" s="4">
        <v>6</v>
      </c>
      <c r="F1060" s="4">
        <v>4458</v>
      </c>
      <c r="G1060" s="9">
        <v>1215.3</v>
      </c>
    </row>
    <row r="1061" spans="1:7" ht="15.6" x14ac:dyDescent="0.3">
      <c r="A1061" s="16">
        <v>44798</v>
      </c>
      <c r="B1061" s="10" t="s">
        <v>21</v>
      </c>
      <c r="C1061" s="10" t="s">
        <v>14</v>
      </c>
      <c r="D1061" s="10" t="s">
        <v>12</v>
      </c>
      <c r="E1061" s="4">
        <v>6</v>
      </c>
      <c r="F1061" s="4">
        <v>6780</v>
      </c>
      <c r="G1061" s="9">
        <v>811.92</v>
      </c>
    </row>
    <row r="1062" spans="1:7" ht="15.6" x14ac:dyDescent="0.3">
      <c r="A1062" s="16">
        <v>45200</v>
      </c>
      <c r="B1062" s="10" t="s">
        <v>19</v>
      </c>
      <c r="C1062" s="10" t="s">
        <v>14</v>
      </c>
      <c r="D1062" s="10" t="s">
        <v>9</v>
      </c>
      <c r="E1062" s="4">
        <v>5</v>
      </c>
      <c r="F1062" s="4">
        <v>3970</v>
      </c>
      <c r="G1062" s="9">
        <v>642.70000000000005</v>
      </c>
    </row>
    <row r="1063" spans="1:7" ht="15.6" x14ac:dyDescent="0.3">
      <c r="A1063" s="16">
        <v>44934</v>
      </c>
      <c r="B1063" s="10" t="s">
        <v>20</v>
      </c>
      <c r="C1063" s="10" t="s">
        <v>11</v>
      </c>
      <c r="D1063" s="10" t="s">
        <v>9</v>
      </c>
      <c r="E1063" s="4">
        <v>7</v>
      </c>
      <c r="F1063" s="4">
        <v>5131</v>
      </c>
      <c r="G1063" s="9">
        <v>368.11</v>
      </c>
    </row>
    <row r="1064" spans="1:7" ht="15.6" x14ac:dyDescent="0.3">
      <c r="A1064" s="16">
        <v>44836</v>
      </c>
      <c r="B1064" s="10" t="s">
        <v>23</v>
      </c>
      <c r="C1064" s="10" t="s">
        <v>14</v>
      </c>
      <c r="D1064" s="10" t="s">
        <v>12</v>
      </c>
      <c r="E1064" s="4">
        <v>7</v>
      </c>
      <c r="F1064" s="4">
        <v>1750</v>
      </c>
      <c r="G1064" s="9">
        <v>90.21</v>
      </c>
    </row>
    <row r="1065" spans="1:7" ht="15.6" x14ac:dyDescent="0.3">
      <c r="A1065" s="16">
        <v>44603</v>
      </c>
      <c r="B1065" s="10" t="s">
        <v>13</v>
      </c>
      <c r="C1065" s="10" t="s">
        <v>14</v>
      </c>
      <c r="D1065" s="10" t="s">
        <v>12</v>
      </c>
      <c r="E1065" s="4">
        <v>7</v>
      </c>
      <c r="F1065" s="4">
        <v>8337</v>
      </c>
      <c r="G1065" s="9">
        <v>753.35</v>
      </c>
    </row>
    <row r="1066" spans="1:7" ht="15.6" x14ac:dyDescent="0.3">
      <c r="A1066" s="16">
        <v>44819</v>
      </c>
      <c r="B1066" s="10" t="s">
        <v>22</v>
      </c>
      <c r="C1066" s="10" t="s">
        <v>11</v>
      </c>
      <c r="D1066" s="10" t="s">
        <v>12</v>
      </c>
      <c r="E1066" s="4">
        <v>9</v>
      </c>
      <c r="F1066" s="4">
        <v>9810</v>
      </c>
      <c r="G1066" s="9">
        <v>549.46</v>
      </c>
    </row>
    <row r="1067" spans="1:7" ht="15.6" x14ac:dyDescent="0.3">
      <c r="A1067" s="16">
        <v>45319</v>
      </c>
      <c r="B1067" s="10" t="s">
        <v>22</v>
      </c>
      <c r="C1067" s="10" t="s">
        <v>11</v>
      </c>
      <c r="D1067" s="10" t="s">
        <v>12</v>
      </c>
      <c r="E1067" s="4">
        <v>3</v>
      </c>
      <c r="F1067" s="4">
        <v>2658</v>
      </c>
      <c r="G1067" s="9">
        <v>794.36</v>
      </c>
    </row>
    <row r="1068" spans="1:7" ht="15.6" x14ac:dyDescent="0.3">
      <c r="A1068" s="16">
        <v>44765</v>
      </c>
      <c r="B1068" s="10" t="s">
        <v>7</v>
      </c>
      <c r="C1068" s="10" t="s">
        <v>8</v>
      </c>
      <c r="D1068" s="10" t="s">
        <v>16</v>
      </c>
      <c r="E1068" s="4">
        <v>1</v>
      </c>
      <c r="F1068" s="4">
        <v>473</v>
      </c>
      <c r="G1068" s="9">
        <v>43.65</v>
      </c>
    </row>
    <row r="1069" spans="1:7" ht="15.6" x14ac:dyDescent="0.3">
      <c r="A1069" s="16">
        <v>44575</v>
      </c>
      <c r="B1069" s="10" t="s">
        <v>13</v>
      </c>
      <c r="C1069" s="10" t="s">
        <v>14</v>
      </c>
      <c r="D1069" s="10" t="s">
        <v>9</v>
      </c>
      <c r="E1069" s="4">
        <v>9</v>
      </c>
      <c r="F1069" s="4">
        <v>2205</v>
      </c>
      <c r="G1069" s="9">
        <v>410.01</v>
      </c>
    </row>
    <row r="1070" spans="1:7" ht="15.6" x14ac:dyDescent="0.3">
      <c r="A1070" s="16">
        <v>45090</v>
      </c>
      <c r="B1070" s="10" t="s">
        <v>21</v>
      </c>
      <c r="C1070" s="10" t="s">
        <v>14</v>
      </c>
      <c r="D1070" s="10" t="s">
        <v>15</v>
      </c>
      <c r="E1070" s="4">
        <v>9</v>
      </c>
      <c r="F1070" s="4">
        <v>6948</v>
      </c>
      <c r="G1070" s="9">
        <v>1409.3</v>
      </c>
    </row>
    <row r="1071" spans="1:7" ht="15.6" x14ac:dyDescent="0.3">
      <c r="A1071" s="16">
        <v>44813</v>
      </c>
      <c r="B1071" s="10" t="s">
        <v>13</v>
      </c>
      <c r="C1071" s="10" t="s">
        <v>14</v>
      </c>
      <c r="D1071" s="10" t="s">
        <v>9</v>
      </c>
      <c r="E1071" s="4">
        <v>3</v>
      </c>
      <c r="F1071" s="4">
        <v>774</v>
      </c>
      <c r="G1071" s="9">
        <v>212.02</v>
      </c>
    </row>
    <row r="1072" spans="1:7" ht="15.6" x14ac:dyDescent="0.3">
      <c r="A1072" s="16">
        <v>45286</v>
      </c>
      <c r="B1072" s="10" t="s">
        <v>13</v>
      </c>
      <c r="C1072" s="10" t="s">
        <v>14</v>
      </c>
      <c r="D1072" s="10" t="s">
        <v>9</v>
      </c>
      <c r="E1072" s="4">
        <v>3</v>
      </c>
      <c r="F1072" s="4">
        <v>2532</v>
      </c>
      <c r="G1072" s="9">
        <v>343.13</v>
      </c>
    </row>
    <row r="1073" spans="1:7" ht="15.6" x14ac:dyDescent="0.3">
      <c r="A1073" s="16">
        <v>45612</v>
      </c>
      <c r="B1073" s="10" t="s">
        <v>23</v>
      </c>
      <c r="C1073" s="10" t="s">
        <v>14</v>
      </c>
      <c r="D1073" s="10" t="s">
        <v>16</v>
      </c>
      <c r="E1073" s="4">
        <v>7</v>
      </c>
      <c r="F1073" s="4">
        <v>6587</v>
      </c>
      <c r="G1073" s="9">
        <v>1173.9100000000001</v>
      </c>
    </row>
    <row r="1074" spans="1:7" ht="15.6" x14ac:dyDescent="0.3">
      <c r="A1074" s="16">
        <v>45383</v>
      </c>
      <c r="B1074" s="10" t="s">
        <v>21</v>
      </c>
      <c r="C1074" s="10" t="s">
        <v>14</v>
      </c>
      <c r="D1074" s="10" t="s">
        <v>12</v>
      </c>
      <c r="E1074" s="4">
        <v>7</v>
      </c>
      <c r="F1074" s="4">
        <v>7266</v>
      </c>
      <c r="G1074" s="9">
        <v>806.79</v>
      </c>
    </row>
    <row r="1075" spans="1:7" ht="15.6" x14ac:dyDescent="0.3">
      <c r="A1075" s="16">
        <v>45623</v>
      </c>
      <c r="B1075" s="10" t="s">
        <v>21</v>
      </c>
      <c r="C1075" s="10" t="s">
        <v>14</v>
      </c>
      <c r="D1075" s="10" t="s">
        <v>12</v>
      </c>
      <c r="E1075" s="4">
        <v>7</v>
      </c>
      <c r="F1075" s="4">
        <v>6867</v>
      </c>
      <c r="G1075" s="9">
        <v>502.06</v>
      </c>
    </row>
    <row r="1076" spans="1:7" ht="15.6" x14ac:dyDescent="0.3">
      <c r="A1076" s="16">
        <v>45108</v>
      </c>
      <c r="B1076" s="10" t="s">
        <v>17</v>
      </c>
      <c r="C1076" s="10" t="s">
        <v>14</v>
      </c>
      <c r="D1076" s="10" t="s">
        <v>15</v>
      </c>
      <c r="E1076" s="4">
        <v>9</v>
      </c>
      <c r="F1076" s="4">
        <v>4887</v>
      </c>
      <c r="G1076" s="9">
        <v>396.36</v>
      </c>
    </row>
    <row r="1077" spans="1:7" ht="15.6" x14ac:dyDescent="0.3">
      <c r="A1077" s="16">
        <v>44970</v>
      </c>
      <c r="B1077" s="10" t="s">
        <v>10</v>
      </c>
      <c r="C1077" s="10" t="s">
        <v>11</v>
      </c>
      <c r="D1077" s="10" t="s">
        <v>16</v>
      </c>
      <c r="E1077" s="4">
        <v>4</v>
      </c>
      <c r="F1077" s="4">
        <v>864</v>
      </c>
      <c r="G1077" s="9">
        <v>251.99</v>
      </c>
    </row>
    <row r="1078" spans="1:7" ht="15.6" x14ac:dyDescent="0.3">
      <c r="A1078" s="16">
        <v>45239</v>
      </c>
      <c r="B1078" s="10" t="s">
        <v>21</v>
      </c>
      <c r="C1078" s="10" t="s">
        <v>14</v>
      </c>
      <c r="D1078" s="10" t="s">
        <v>12</v>
      </c>
      <c r="E1078" s="4">
        <v>6</v>
      </c>
      <c r="F1078" s="4">
        <v>5190</v>
      </c>
      <c r="G1078" s="9">
        <v>1215.07</v>
      </c>
    </row>
    <row r="1079" spans="1:7" ht="15.6" x14ac:dyDescent="0.3">
      <c r="A1079" s="16">
        <v>44701</v>
      </c>
      <c r="B1079" s="10" t="s">
        <v>22</v>
      </c>
      <c r="C1079" s="10" t="s">
        <v>11</v>
      </c>
      <c r="D1079" s="10" t="s">
        <v>15</v>
      </c>
      <c r="E1079" s="4">
        <v>8</v>
      </c>
      <c r="F1079" s="4">
        <v>2128</v>
      </c>
      <c r="G1079" s="9">
        <v>294.45</v>
      </c>
    </row>
    <row r="1080" spans="1:7" ht="15.6" x14ac:dyDescent="0.3">
      <c r="A1080" s="16">
        <v>45469</v>
      </c>
      <c r="B1080" s="10" t="s">
        <v>10</v>
      </c>
      <c r="C1080" s="10" t="s">
        <v>11</v>
      </c>
      <c r="D1080" s="10" t="s">
        <v>12</v>
      </c>
      <c r="E1080" s="4">
        <v>2</v>
      </c>
      <c r="F1080" s="4">
        <v>1718</v>
      </c>
      <c r="G1080" s="9">
        <v>218.82</v>
      </c>
    </row>
    <row r="1081" spans="1:7" ht="15.6" x14ac:dyDescent="0.3">
      <c r="A1081" s="16">
        <v>44683</v>
      </c>
      <c r="B1081" s="10" t="s">
        <v>21</v>
      </c>
      <c r="C1081" s="10" t="s">
        <v>14</v>
      </c>
      <c r="D1081" s="10" t="s">
        <v>9</v>
      </c>
      <c r="E1081" s="4">
        <v>2</v>
      </c>
      <c r="F1081" s="4">
        <v>1270</v>
      </c>
      <c r="G1081" s="9">
        <v>229.39</v>
      </c>
    </row>
    <row r="1082" spans="1:7" ht="15.6" x14ac:dyDescent="0.3">
      <c r="A1082" s="16">
        <v>45064</v>
      </c>
      <c r="B1082" s="10" t="s">
        <v>22</v>
      </c>
      <c r="C1082" s="10" t="s">
        <v>11</v>
      </c>
      <c r="D1082" s="10" t="s">
        <v>12</v>
      </c>
      <c r="E1082" s="4">
        <v>7</v>
      </c>
      <c r="F1082" s="4">
        <v>2569</v>
      </c>
      <c r="G1082" s="9">
        <v>130.19</v>
      </c>
    </row>
    <row r="1083" spans="1:7" ht="15.6" x14ac:dyDescent="0.3">
      <c r="A1083" s="16">
        <v>44606</v>
      </c>
      <c r="B1083" s="10" t="s">
        <v>7</v>
      </c>
      <c r="C1083" s="10" t="s">
        <v>8</v>
      </c>
      <c r="D1083" s="10" t="s">
        <v>15</v>
      </c>
      <c r="E1083" s="4">
        <v>2</v>
      </c>
      <c r="F1083" s="4">
        <v>1518</v>
      </c>
      <c r="G1083" s="9">
        <v>262.64999999999998</v>
      </c>
    </row>
    <row r="1084" spans="1:7" ht="15.6" x14ac:dyDescent="0.3">
      <c r="A1084" s="16">
        <v>44887</v>
      </c>
      <c r="B1084" s="10" t="s">
        <v>18</v>
      </c>
      <c r="C1084" s="10" t="s">
        <v>11</v>
      </c>
      <c r="D1084" s="10" t="s">
        <v>15</v>
      </c>
      <c r="E1084" s="4">
        <v>2</v>
      </c>
      <c r="F1084" s="4">
        <v>1210</v>
      </c>
      <c r="G1084" s="9">
        <v>268.37</v>
      </c>
    </row>
    <row r="1085" spans="1:7" ht="15.6" x14ac:dyDescent="0.3">
      <c r="A1085" s="16">
        <v>44635</v>
      </c>
      <c r="B1085" s="10" t="s">
        <v>10</v>
      </c>
      <c r="C1085" s="10" t="s">
        <v>11</v>
      </c>
      <c r="D1085" s="10" t="s">
        <v>12</v>
      </c>
      <c r="E1085" s="4">
        <v>2</v>
      </c>
      <c r="F1085" s="4">
        <v>1128</v>
      </c>
      <c r="G1085" s="9">
        <v>94.13</v>
      </c>
    </row>
    <row r="1086" spans="1:7" ht="15.6" x14ac:dyDescent="0.3">
      <c r="A1086" s="16">
        <v>45161</v>
      </c>
      <c r="B1086" s="10" t="s">
        <v>18</v>
      </c>
      <c r="C1086" s="10" t="s">
        <v>11</v>
      </c>
      <c r="D1086" s="10" t="s">
        <v>9</v>
      </c>
      <c r="E1086" s="4">
        <v>1</v>
      </c>
      <c r="F1086" s="4">
        <v>1077</v>
      </c>
      <c r="G1086" s="9">
        <v>77.97</v>
      </c>
    </row>
    <row r="1087" spans="1:7" ht="15.6" x14ac:dyDescent="0.3">
      <c r="A1087" s="16">
        <v>45278</v>
      </c>
      <c r="B1087" s="10" t="s">
        <v>22</v>
      </c>
      <c r="C1087" s="10" t="s">
        <v>11</v>
      </c>
      <c r="D1087" s="10" t="s">
        <v>12</v>
      </c>
      <c r="E1087" s="4">
        <v>6</v>
      </c>
      <c r="F1087" s="4">
        <v>2244</v>
      </c>
      <c r="G1087" s="9">
        <v>517.47</v>
      </c>
    </row>
    <row r="1088" spans="1:7" ht="15.6" x14ac:dyDescent="0.3">
      <c r="A1088" s="16">
        <v>44820</v>
      </c>
      <c r="B1088" s="10" t="s">
        <v>10</v>
      </c>
      <c r="C1088" s="10" t="s">
        <v>11</v>
      </c>
      <c r="D1088" s="10" t="s">
        <v>16</v>
      </c>
      <c r="E1088" s="4">
        <v>8</v>
      </c>
      <c r="F1088" s="4">
        <v>1608</v>
      </c>
      <c r="G1088" s="9">
        <v>464.18</v>
      </c>
    </row>
    <row r="1089" spans="1:7" ht="15.6" x14ac:dyDescent="0.3">
      <c r="A1089" s="16">
        <v>45641</v>
      </c>
      <c r="B1089" s="10" t="s">
        <v>17</v>
      </c>
      <c r="C1089" s="10" t="s">
        <v>14</v>
      </c>
      <c r="D1089" s="10" t="s">
        <v>16</v>
      </c>
      <c r="E1089" s="4">
        <v>5</v>
      </c>
      <c r="F1089" s="4">
        <v>3685</v>
      </c>
      <c r="G1089" s="9">
        <v>476.2</v>
      </c>
    </row>
    <row r="1090" spans="1:7" ht="15.6" x14ac:dyDescent="0.3">
      <c r="A1090" s="16">
        <v>45407</v>
      </c>
      <c r="B1090" s="10" t="s">
        <v>17</v>
      </c>
      <c r="C1090" s="10" t="s">
        <v>14</v>
      </c>
      <c r="D1090" s="10" t="s">
        <v>9</v>
      </c>
      <c r="E1090" s="4">
        <v>8</v>
      </c>
      <c r="F1090" s="4">
        <v>4080</v>
      </c>
      <c r="G1090" s="9">
        <v>1079.49</v>
      </c>
    </row>
    <row r="1091" spans="1:7" ht="15.6" x14ac:dyDescent="0.3">
      <c r="A1091" s="16">
        <v>45331</v>
      </c>
      <c r="B1091" s="10" t="s">
        <v>20</v>
      </c>
      <c r="C1091" s="10" t="s">
        <v>11</v>
      </c>
      <c r="D1091" s="10" t="s">
        <v>9</v>
      </c>
      <c r="E1091" s="4">
        <v>1</v>
      </c>
      <c r="F1091" s="4">
        <v>404</v>
      </c>
      <c r="G1091" s="9">
        <v>84.4</v>
      </c>
    </row>
    <row r="1092" spans="1:7" ht="15.6" x14ac:dyDescent="0.3">
      <c r="A1092" s="16">
        <v>45035</v>
      </c>
      <c r="B1092" s="10" t="s">
        <v>22</v>
      </c>
      <c r="C1092" s="10" t="s">
        <v>11</v>
      </c>
      <c r="D1092" s="10" t="s">
        <v>15</v>
      </c>
      <c r="E1092" s="4">
        <v>2</v>
      </c>
      <c r="F1092" s="4">
        <v>1738</v>
      </c>
      <c r="G1092" s="9">
        <v>163.38</v>
      </c>
    </row>
    <row r="1093" spans="1:7" ht="15.6" x14ac:dyDescent="0.3">
      <c r="A1093" s="16">
        <v>44957</v>
      </c>
      <c r="B1093" s="10" t="s">
        <v>7</v>
      </c>
      <c r="C1093" s="10" t="s">
        <v>8</v>
      </c>
      <c r="D1093" s="10" t="s">
        <v>16</v>
      </c>
      <c r="E1093" s="4">
        <v>3</v>
      </c>
      <c r="F1093" s="4">
        <v>828</v>
      </c>
      <c r="G1093" s="9">
        <v>210.33</v>
      </c>
    </row>
    <row r="1094" spans="1:7" ht="15.6" x14ac:dyDescent="0.3">
      <c r="A1094" s="16">
        <v>45254</v>
      </c>
      <c r="B1094" s="10" t="s">
        <v>10</v>
      </c>
      <c r="C1094" s="10" t="s">
        <v>11</v>
      </c>
      <c r="D1094" s="10" t="s">
        <v>9</v>
      </c>
      <c r="E1094" s="4">
        <v>4</v>
      </c>
      <c r="F1094" s="4">
        <v>4344</v>
      </c>
      <c r="G1094" s="9">
        <v>461.72</v>
      </c>
    </row>
    <row r="1095" spans="1:7" ht="15.6" x14ac:dyDescent="0.3">
      <c r="A1095" s="16">
        <v>45201</v>
      </c>
      <c r="B1095" s="10" t="s">
        <v>13</v>
      </c>
      <c r="C1095" s="10" t="s">
        <v>14</v>
      </c>
      <c r="D1095" s="10" t="s">
        <v>9</v>
      </c>
      <c r="E1095" s="4">
        <v>1</v>
      </c>
      <c r="F1095" s="4">
        <v>1130</v>
      </c>
      <c r="G1095" s="9">
        <v>268.88</v>
      </c>
    </row>
    <row r="1096" spans="1:7" ht="15.6" x14ac:dyDescent="0.3">
      <c r="A1096" s="16">
        <v>45400</v>
      </c>
      <c r="B1096" s="10" t="s">
        <v>18</v>
      </c>
      <c r="C1096" s="10" t="s">
        <v>11</v>
      </c>
      <c r="D1096" s="10" t="s">
        <v>9</v>
      </c>
      <c r="E1096" s="4">
        <v>3</v>
      </c>
      <c r="F1096" s="4">
        <v>1698</v>
      </c>
      <c r="G1096" s="9">
        <v>304.91000000000003</v>
      </c>
    </row>
    <row r="1097" spans="1:7" ht="15.6" x14ac:dyDescent="0.3">
      <c r="A1097" s="16">
        <v>45104</v>
      </c>
      <c r="B1097" s="10" t="s">
        <v>13</v>
      </c>
      <c r="C1097" s="10" t="s">
        <v>14</v>
      </c>
      <c r="D1097" s="10" t="s">
        <v>12</v>
      </c>
      <c r="E1097" s="4">
        <v>4</v>
      </c>
      <c r="F1097" s="4">
        <v>844</v>
      </c>
      <c r="G1097" s="9">
        <v>136.02000000000001</v>
      </c>
    </row>
    <row r="1098" spans="1:7" ht="15.6" x14ac:dyDescent="0.3">
      <c r="A1098" s="16">
        <v>44977</v>
      </c>
      <c r="B1098" s="10" t="s">
        <v>7</v>
      </c>
      <c r="C1098" s="10" t="s">
        <v>8</v>
      </c>
      <c r="D1098" s="10" t="s">
        <v>16</v>
      </c>
      <c r="E1098" s="4">
        <v>2</v>
      </c>
      <c r="F1098" s="4">
        <v>2286</v>
      </c>
      <c r="G1098" s="9">
        <v>218.18</v>
      </c>
    </row>
    <row r="1099" spans="1:7" ht="15.6" x14ac:dyDescent="0.3">
      <c r="A1099" s="16">
        <v>45272</v>
      </c>
      <c r="B1099" s="10" t="s">
        <v>17</v>
      </c>
      <c r="C1099" s="10" t="s">
        <v>14</v>
      </c>
      <c r="D1099" s="10" t="s">
        <v>12</v>
      </c>
      <c r="E1099" s="4">
        <v>2</v>
      </c>
      <c r="F1099" s="4">
        <v>1026</v>
      </c>
      <c r="G1099" s="9">
        <v>170.31</v>
      </c>
    </row>
    <row r="1100" spans="1:7" ht="15.6" x14ac:dyDescent="0.3">
      <c r="A1100" s="16">
        <v>45203</v>
      </c>
      <c r="B1100" s="10" t="s">
        <v>23</v>
      </c>
      <c r="C1100" s="10" t="s">
        <v>14</v>
      </c>
      <c r="D1100" s="10" t="s">
        <v>16</v>
      </c>
      <c r="E1100" s="4">
        <v>6</v>
      </c>
      <c r="F1100" s="4">
        <v>6984</v>
      </c>
      <c r="G1100" s="9">
        <v>1433.65</v>
      </c>
    </row>
    <row r="1101" spans="1:7" ht="15.6" x14ac:dyDescent="0.3">
      <c r="A1101" s="16">
        <v>44610</v>
      </c>
      <c r="B1101" s="10" t="s">
        <v>20</v>
      </c>
      <c r="C1101" s="10" t="s">
        <v>11</v>
      </c>
      <c r="D1101" s="10" t="s">
        <v>16</v>
      </c>
      <c r="E1101" s="4">
        <v>4</v>
      </c>
      <c r="F1101" s="4">
        <v>1672</v>
      </c>
      <c r="G1101" s="9">
        <v>432.35</v>
      </c>
    </row>
    <row r="1102" spans="1:7" ht="15.6" x14ac:dyDescent="0.3">
      <c r="A1102" s="16">
        <v>44934</v>
      </c>
      <c r="B1102" s="10" t="s">
        <v>23</v>
      </c>
      <c r="C1102" s="10" t="s">
        <v>14</v>
      </c>
      <c r="D1102" s="10" t="s">
        <v>9</v>
      </c>
      <c r="E1102" s="4">
        <v>6</v>
      </c>
      <c r="F1102" s="4">
        <v>1092</v>
      </c>
      <c r="G1102" s="9">
        <v>63.98</v>
      </c>
    </row>
    <row r="1103" spans="1:7" ht="15.6" x14ac:dyDescent="0.3">
      <c r="A1103" s="16">
        <v>45383</v>
      </c>
      <c r="B1103" s="10" t="s">
        <v>18</v>
      </c>
      <c r="C1103" s="10" t="s">
        <v>11</v>
      </c>
      <c r="D1103" s="10" t="s">
        <v>15</v>
      </c>
      <c r="E1103" s="4">
        <v>2</v>
      </c>
      <c r="F1103" s="4">
        <v>272</v>
      </c>
      <c r="G1103" s="9">
        <v>24.71</v>
      </c>
    </row>
    <row r="1104" spans="1:7" ht="15.6" x14ac:dyDescent="0.3">
      <c r="A1104" s="16">
        <v>45242</v>
      </c>
      <c r="B1104" s="10" t="s">
        <v>18</v>
      </c>
      <c r="C1104" s="10" t="s">
        <v>11</v>
      </c>
      <c r="D1104" s="10" t="s">
        <v>16</v>
      </c>
      <c r="E1104" s="4">
        <v>2</v>
      </c>
      <c r="F1104" s="4">
        <v>1126</v>
      </c>
      <c r="G1104" s="9">
        <v>204.99</v>
      </c>
    </row>
    <row r="1105" spans="1:7" ht="15.6" x14ac:dyDescent="0.3">
      <c r="A1105" s="16">
        <v>45221</v>
      </c>
      <c r="B1105" s="10" t="s">
        <v>10</v>
      </c>
      <c r="C1105" s="10" t="s">
        <v>11</v>
      </c>
      <c r="D1105" s="10" t="s">
        <v>16</v>
      </c>
      <c r="E1105" s="4">
        <v>7</v>
      </c>
      <c r="F1105" s="4">
        <v>8155</v>
      </c>
      <c r="G1105" s="9">
        <v>2177.38</v>
      </c>
    </row>
    <row r="1106" spans="1:7" ht="15.6" x14ac:dyDescent="0.3">
      <c r="A1106" s="16">
        <v>45014</v>
      </c>
      <c r="B1106" s="10" t="s">
        <v>19</v>
      </c>
      <c r="C1106" s="10" t="s">
        <v>14</v>
      </c>
      <c r="D1106" s="10" t="s">
        <v>12</v>
      </c>
      <c r="E1106" s="4">
        <v>7</v>
      </c>
      <c r="F1106" s="4">
        <v>4298</v>
      </c>
      <c r="G1106" s="9">
        <v>358.38</v>
      </c>
    </row>
    <row r="1107" spans="1:7" ht="15.6" x14ac:dyDescent="0.3">
      <c r="A1107" s="16">
        <v>44912</v>
      </c>
      <c r="B1107" s="10" t="s">
        <v>21</v>
      </c>
      <c r="C1107" s="10" t="s">
        <v>14</v>
      </c>
      <c r="D1107" s="10" t="s">
        <v>12</v>
      </c>
      <c r="E1107" s="4">
        <v>5</v>
      </c>
      <c r="F1107" s="4">
        <v>1365</v>
      </c>
      <c r="G1107" s="9">
        <v>310.66000000000003</v>
      </c>
    </row>
    <row r="1108" spans="1:7" ht="15.6" x14ac:dyDescent="0.3">
      <c r="A1108" s="16">
        <v>45624</v>
      </c>
      <c r="B1108" s="10" t="s">
        <v>17</v>
      </c>
      <c r="C1108" s="10" t="s">
        <v>14</v>
      </c>
      <c r="D1108" s="10" t="s">
        <v>16</v>
      </c>
      <c r="E1108" s="4">
        <v>6</v>
      </c>
      <c r="F1108" s="4">
        <v>4116</v>
      </c>
      <c r="G1108" s="9">
        <v>381.35</v>
      </c>
    </row>
    <row r="1109" spans="1:7" ht="15.6" x14ac:dyDescent="0.3">
      <c r="A1109" s="16">
        <v>44658</v>
      </c>
      <c r="B1109" s="10" t="s">
        <v>18</v>
      </c>
      <c r="C1109" s="10" t="s">
        <v>11</v>
      </c>
      <c r="D1109" s="10" t="s">
        <v>15</v>
      </c>
      <c r="E1109" s="4">
        <v>8</v>
      </c>
      <c r="F1109" s="4">
        <v>904</v>
      </c>
      <c r="G1109" s="9">
        <v>181.45</v>
      </c>
    </row>
    <row r="1110" spans="1:7" ht="15.6" x14ac:dyDescent="0.3">
      <c r="A1110" s="16">
        <v>45631</v>
      </c>
      <c r="B1110" s="10" t="s">
        <v>19</v>
      </c>
      <c r="C1110" s="10" t="s">
        <v>14</v>
      </c>
      <c r="D1110" s="10" t="s">
        <v>15</v>
      </c>
      <c r="E1110" s="4">
        <v>1</v>
      </c>
      <c r="F1110" s="4">
        <v>70</v>
      </c>
      <c r="G1110" s="9">
        <v>10.64</v>
      </c>
    </row>
    <row r="1111" spans="1:7" ht="15.6" x14ac:dyDescent="0.3">
      <c r="A1111" s="16">
        <v>45172</v>
      </c>
      <c r="B1111" s="10" t="s">
        <v>22</v>
      </c>
      <c r="C1111" s="10" t="s">
        <v>11</v>
      </c>
      <c r="D1111" s="10" t="s">
        <v>12</v>
      </c>
      <c r="E1111" s="4">
        <v>2</v>
      </c>
      <c r="F1111" s="4">
        <v>344</v>
      </c>
      <c r="G1111" s="9">
        <v>72.87</v>
      </c>
    </row>
    <row r="1112" spans="1:7" ht="15.6" x14ac:dyDescent="0.3">
      <c r="A1112" s="16">
        <v>45157</v>
      </c>
      <c r="B1112" s="10" t="s">
        <v>7</v>
      </c>
      <c r="C1112" s="10" t="s">
        <v>8</v>
      </c>
      <c r="D1112" s="10" t="s">
        <v>12</v>
      </c>
      <c r="E1112" s="4">
        <v>1</v>
      </c>
      <c r="F1112" s="4">
        <v>330</v>
      </c>
      <c r="G1112" s="9">
        <v>78.52</v>
      </c>
    </row>
    <row r="1113" spans="1:7" ht="15.6" x14ac:dyDescent="0.3">
      <c r="A1113" s="16">
        <v>45521</v>
      </c>
      <c r="B1113" s="10" t="s">
        <v>18</v>
      </c>
      <c r="C1113" s="10" t="s">
        <v>11</v>
      </c>
      <c r="D1113" s="10" t="s">
        <v>15</v>
      </c>
      <c r="E1113" s="4">
        <v>2</v>
      </c>
      <c r="F1113" s="4">
        <v>518</v>
      </c>
      <c r="G1113" s="9">
        <v>34.22</v>
      </c>
    </row>
    <row r="1114" spans="1:7" ht="15.6" x14ac:dyDescent="0.3">
      <c r="A1114" s="16">
        <v>44791</v>
      </c>
      <c r="B1114" s="10" t="s">
        <v>10</v>
      </c>
      <c r="C1114" s="10" t="s">
        <v>11</v>
      </c>
      <c r="D1114" s="10" t="s">
        <v>9</v>
      </c>
      <c r="E1114" s="4">
        <v>9</v>
      </c>
      <c r="F1114" s="4">
        <v>2763</v>
      </c>
      <c r="G1114" s="9">
        <v>458.4</v>
      </c>
    </row>
    <row r="1115" spans="1:7" ht="15.6" x14ac:dyDescent="0.3">
      <c r="A1115" s="16">
        <v>44646</v>
      </c>
      <c r="B1115" s="10" t="s">
        <v>19</v>
      </c>
      <c r="C1115" s="10" t="s">
        <v>14</v>
      </c>
      <c r="D1115" s="10" t="s">
        <v>9</v>
      </c>
      <c r="E1115" s="4">
        <v>2</v>
      </c>
      <c r="F1115" s="4">
        <v>2298</v>
      </c>
      <c r="G1115" s="9">
        <v>343.53</v>
      </c>
    </row>
    <row r="1116" spans="1:7" ht="15.6" x14ac:dyDescent="0.3">
      <c r="A1116" s="16">
        <v>45567</v>
      </c>
      <c r="B1116" s="10" t="s">
        <v>20</v>
      </c>
      <c r="C1116" s="10" t="s">
        <v>11</v>
      </c>
      <c r="D1116" s="10" t="s">
        <v>15</v>
      </c>
      <c r="E1116" s="4">
        <v>1</v>
      </c>
      <c r="F1116" s="4">
        <v>436</v>
      </c>
      <c r="G1116" s="9">
        <v>73.89</v>
      </c>
    </row>
    <row r="1117" spans="1:7" ht="15.6" x14ac:dyDescent="0.3">
      <c r="A1117" s="16">
        <v>44832</v>
      </c>
      <c r="B1117" s="10" t="s">
        <v>10</v>
      </c>
      <c r="C1117" s="10" t="s">
        <v>11</v>
      </c>
      <c r="D1117" s="10" t="s">
        <v>12</v>
      </c>
      <c r="E1117" s="4">
        <v>6</v>
      </c>
      <c r="F1117" s="4">
        <v>1824</v>
      </c>
      <c r="G1117" s="9">
        <v>213.47</v>
      </c>
    </row>
    <row r="1118" spans="1:7" ht="15.6" x14ac:dyDescent="0.3">
      <c r="A1118" s="16">
        <v>45424</v>
      </c>
      <c r="B1118" s="10" t="s">
        <v>23</v>
      </c>
      <c r="C1118" s="10" t="s">
        <v>14</v>
      </c>
      <c r="D1118" s="10" t="s">
        <v>9</v>
      </c>
      <c r="E1118" s="4">
        <v>5</v>
      </c>
      <c r="F1118" s="4">
        <v>1540</v>
      </c>
      <c r="G1118" s="9">
        <v>411.83</v>
      </c>
    </row>
    <row r="1119" spans="1:7" ht="15.6" x14ac:dyDescent="0.3">
      <c r="A1119" s="16">
        <v>44999</v>
      </c>
      <c r="B1119" s="10" t="s">
        <v>13</v>
      </c>
      <c r="C1119" s="10" t="s">
        <v>14</v>
      </c>
      <c r="D1119" s="10" t="s">
        <v>12</v>
      </c>
      <c r="E1119" s="4">
        <v>7</v>
      </c>
      <c r="F1119" s="4">
        <v>5572</v>
      </c>
      <c r="G1119" s="9">
        <v>385.82</v>
      </c>
    </row>
    <row r="1120" spans="1:7" ht="15.6" x14ac:dyDescent="0.3">
      <c r="A1120" s="16">
        <v>45190</v>
      </c>
      <c r="B1120" s="10" t="s">
        <v>20</v>
      </c>
      <c r="C1120" s="10" t="s">
        <v>11</v>
      </c>
      <c r="D1120" s="10" t="s">
        <v>12</v>
      </c>
      <c r="E1120" s="4">
        <v>6</v>
      </c>
      <c r="F1120" s="4">
        <v>3030</v>
      </c>
      <c r="G1120" s="9">
        <v>335.71</v>
      </c>
    </row>
    <row r="1121" spans="1:7" ht="15.6" x14ac:dyDescent="0.3">
      <c r="A1121" s="16">
        <v>45414</v>
      </c>
      <c r="B1121" s="10" t="s">
        <v>20</v>
      </c>
      <c r="C1121" s="10" t="s">
        <v>11</v>
      </c>
      <c r="D1121" s="10" t="s">
        <v>16</v>
      </c>
      <c r="E1121" s="4">
        <v>5</v>
      </c>
      <c r="F1121" s="4">
        <v>1245</v>
      </c>
      <c r="G1121" s="9">
        <v>345.84</v>
      </c>
    </row>
    <row r="1122" spans="1:7" ht="15.6" x14ac:dyDescent="0.3">
      <c r="A1122" s="16">
        <v>44592</v>
      </c>
      <c r="B1122" s="10" t="s">
        <v>13</v>
      </c>
      <c r="C1122" s="10" t="s">
        <v>14</v>
      </c>
      <c r="D1122" s="10" t="s">
        <v>15</v>
      </c>
      <c r="E1122" s="4">
        <v>4</v>
      </c>
      <c r="F1122" s="4">
        <v>1252</v>
      </c>
      <c r="G1122" s="9">
        <v>326.69</v>
      </c>
    </row>
    <row r="1123" spans="1:7" ht="15.6" x14ac:dyDescent="0.3">
      <c r="A1123" s="16">
        <v>45447</v>
      </c>
      <c r="B1123" s="10" t="s">
        <v>17</v>
      </c>
      <c r="C1123" s="10" t="s">
        <v>14</v>
      </c>
      <c r="D1123" s="10" t="s">
        <v>9</v>
      </c>
      <c r="E1123" s="4">
        <v>9</v>
      </c>
      <c r="F1123" s="4">
        <v>4959</v>
      </c>
      <c r="G1123" s="9">
        <v>479.28</v>
      </c>
    </row>
    <row r="1124" spans="1:7" ht="15.6" x14ac:dyDescent="0.3">
      <c r="A1124" s="16">
        <v>44973</v>
      </c>
      <c r="B1124" s="10" t="s">
        <v>20</v>
      </c>
      <c r="C1124" s="10" t="s">
        <v>11</v>
      </c>
      <c r="D1124" s="10" t="s">
        <v>16</v>
      </c>
      <c r="E1124" s="4">
        <v>7</v>
      </c>
      <c r="F1124" s="4">
        <v>8162</v>
      </c>
      <c r="G1124" s="9">
        <v>443.81</v>
      </c>
    </row>
    <row r="1125" spans="1:7" ht="15.6" x14ac:dyDescent="0.3">
      <c r="A1125" s="16">
        <v>45072</v>
      </c>
      <c r="B1125" s="10" t="s">
        <v>20</v>
      </c>
      <c r="C1125" s="10" t="s">
        <v>11</v>
      </c>
      <c r="D1125" s="10" t="s">
        <v>12</v>
      </c>
      <c r="E1125" s="4">
        <v>5</v>
      </c>
      <c r="F1125" s="4">
        <v>1370</v>
      </c>
      <c r="G1125" s="9">
        <v>253.92</v>
      </c>
    </row>
    <row r="1126" spans="1:7" ht="15.6" x14ac:dyDescent="0.3">
      <c r="A1126" s="16">
        <v>45288</v>
      </c>
      <c r="B1126" s="10" t="s">
        <v>13</v>
      </c>
      <c r="C1126" s="10" t="s">
        <v>14</v>
      </c>
      <c r="D1126" s="10" t="s">
        <v>9</v>
      </c>
      <c r="E1126" s="4">
        <v>3</v>
      </c>
      <c r="F1126" s="4">
        <v>3111</v>
      </c>
      <c r="G1126" s="9">
        <v>607.23</v>
      </c>
    </row>
    <row r="1127" spans="1:7" ht="15.6" x14ac:dyDescent="0.3">
      <c r="A1127" s="16">
        <v>44844</v>
      </c>
      <c r="B1127" s="10" t="s">
        <v>10</v>
      </c>
      <c r="C1127" s="10" t="s">
        <v>11</v>
      </c>
      <c r="D1127" s="10" t="s">
        <v>15</v>
      </c>
      <c r="E1127" s="4">
        <v>7</v>
      </c>
      <c r="F1127" s="4">
        <v>7805</v>
      </c>
      <c r="G1127" s="9">
        <v>1078.03</v>
      </c>
    </row>
    <row r="1128" spans="1:7" ht="15.6" x14ac:dyDescent="0.3">
      <c r="A1128" s="16">
        <v>45403</v>
      </c>
      <c r="B1128" s="10" t="s">
        <v>21</v>
      </c>
      <c r="C1128" s="10" t="s">
        <v>14</v>
      </c>
      <c r="D1128" s="10" t="s">
        <v>15</v>
      </c>
      <c r="E1128" s="4">
        <v>9</v>
      </c>
      <c r="F1128" s="4">
        <v>10314</v>
      </c>
      <c r="G1128" s="9">
        <v>2729.6</v>
      </c>
    </row>
    <row r="1129" spans="1:7" ht="15.6" x14ac:dyDescent="0.3">
      <c r="A1129" s="16">
        <v>45198</v>
      </c>
      <c r="B1129" s="10" t="s">
        <v>22</v>
      </c>
      <c r="C1129" s="10" t="s">
        <v>11</v>
      </c>
      <c r="D1129" s="10" t="s">
        <v>15</v>
      </c>
      <c r="E1129" s="4">
        <v>9</v>
      </c>
      <c r="F1129" s="4">
        <v>10782</v>
      </c>
      <c r="G1129" s="9">
        <v>2730.14</v>
      </c>
    </row>
    <row r="1130" spans="1:7" ht="15.6" x14ac:dyDescent="0.3">
      <c r="A1130" s="16">
        <v>45587</v>
      </c>
      <c r="B1130" s="10" t="s">
        <v>20</v>
      </c>
      <c r="C1130" s="10" t="s">
        <v>11</v>
      </c>
      <c r="D1130" s="10" t="s">
        <v>16</v>
      </c>
      <c r="E1130" s="4">
        <v>5</v>
      </c>
      <c r="F1130" s="4">
        <v>4375</v>
      </c>
      <c r="G1130" s="9">
        <v>987.96</v>
      </c>
    </row>
    <row r="1131" spans="1:7" ht="15.6" x14ac:dyDescent="0.3">
      <c r="A1131" s="16">
        <v>45138</v>
      </c>
      <c r="B1131" s="10" t="s">
        <v>20</v>
      </c>
      <c r="C1131" s="10" t="s">
        <v>11</v>
      </c>
      <c r="D1131" s="10" t="s">
        <v>9</v>
      </c>
      <c r="E1131" s="4">
        <v>5</v>
      </c>
      <c r="F1131" s="4">
        <v>2265</v>
      </c>
      <c r="G1131" s="9">
        <v>595.04999999999995</v>
      </c>
    </row>
    <row r="1132" spans="1:7" ht="15.6" x14ac:dyDescent="0.3">
      <c r="A1132" s="16">
        <v>44666</v>
      </c>
      <c r="B1132" s="10" t="s">
        <v>23</v>
      </c>
      <c r="C1132" s="10" t="s">
        <v>14</v>
      </c>
      <c r="D1132" s="10" t="s">
        <v>12</v>
      </c>
      <c r="E1132" s="4">
        <v>1</v>
      </c>
      <c r="F1132" s="4">
        <v>166</v>
      </c>
      <c r="G1132" s="9">
        <v>9.69</v>
      </c>
    </row>
    <row r="1133" spans="1:7" ht="15.6" x14ac:dyDescent="0.3">
      <c r="A1133" s="16">
        <v>45406</v>
      </c>
      <c r="B1133" s="10" t="s">
        <v>18</v>
      </c>
      <c r="C1133" s="10" t="s">
        <v>11</v>
      </c>
      <c r="D1133" s="10" t="s">
        <v>9</v>
      </c>
      <c r="E1133" s="4">
        <v>7</v>
      </c>
      <c r="F1133" s="4">
        <v>7217</v>
      </c>
      <c r="G1133" s="9">
        <v>1481.7</v>
      </c>
    </row>
    <row r="1134" spans="1:7" ht="15.6" x14ac:dyDescent="0.3">
      <c r="A1134" s="16">
        <v>44577</v>
      </c>
      <c r="B1134" s="10" t="s">
        <v>13</v>
      </c>
      <c r="C1134" s="10" t="s">
        <v>14</v>
      </c>
      <c r="D1134" s="10" t="s">
        <v>12</v>
      </c>
      <c r="E1134" s="4">
        <v>3</v>
      </c>
      <c r="F1134" s="4">
        <v>1767</v>
      </c>
      <c r="G1134" s="9">
        <v>186.54</v>
      </c>
    </row>
    <row r="1135" spans="1:7" ht="15.6" x14ac:dyDescent="0.3">
      <c r="A1135" s="16">
        <v>45266</v>
      </c>
      <c r="B1135" s="10" t="s">
        <v>23</v>
      </c>
      <c r="C1135" s="10" t="s">
        <v>14</v>
      </c>
      <c r="D1135" s="10" t="s">
        <v>12</v>
      </c>
      <c r="E1135" s="4">
        <v>3</v>
      </c>
      <c r="F1135" s="4">
        <v>2883</v>
      </c>
      <c r="G1135" s="9">
        <v>557.80999999999995</v>
      </c>
    </row>
    <row r="1136" spans="1:7" ht="15.6" x14ac:dyDescent="0.3">
      <c r="A1136" s="16">
        <v>45539</v>
      </c>
      <c r="B1136" s="10" t="s">
        <v>19</v>
      </c>
      <c r="C1136" s="10" t="s">
        <v>14</v>
      </c>
      <c r="D1136" s="10" t="s">
        <v>15</v>
      </c>
      <c r="E1136" s="4">
        <v>3</v>
      </c>
      <c r="F1136" s="4">
        <v>1338</v>
      </c>
      <c r="G1136" s="9">
        <v>396.08</v>
      </c>
    </row>
    <row r="1137" spans="1:7" ht="15.6" x14ac:dyDescent="0.3">
      <c r="A1137" s="16">
        <v>45528</v>
      </c>
      <c r="B1137" s="10" t="s">
        <v>7</v>
      </c>
      <c r="C1137" s="10" t="s">
        <v>8</v>
      </c>
      <c r="D1137" s="10" t="s">
        <v>12</v>
      </c>
      <c r="E1137" s="4">
        <v>9</v>
      </c>
      <c r="F1137" s="4">
        <v>9459</v>
      </c>
      <c r="G1137" s="9">
        <v>604.05999999999995</v>
      </c>
    </row>
    <row r="1138" spans="1:7" ht="15.6" x14ac:dyDescent="0.3">
      <c r="A1138" s="16">
        <v>44722</v>
      </c>
      <c r="B1138" s="10" t="s">
        <v>7</v>
      </c>
      <c r="C1138" s="10" t="s">
        <v>8</v>
      </c>
      <c r="D1138" s="10" t="s">
        <v>9</v>
      </c>
      <c r="E1138" s="4">
        <v>3</v>
      </c>
      <c r="F1138" s="4">
        <v>168</v>
      </c>
      <c r="G1138" s="9">
        <v>45.31</v>
      </c>
    </row>
    <row r="1139" spans="1:7" ht="15.6" x14ac:dyDescent="0.3">
      <c r="A1139" s="16">
        <v>44837</v>
      </c>
      <c r="B1139" s="10" t="s">
        <v>21</v>
      </c>
      <c r="C1139" s="10" t="s">
        <v>14</v>
      </c>
      <c r="D1139" s="10" t="s">
        <v>15</v>
      </c>
      <c r="E1139" s="4">
        <v>9</v>
      </c>
      <c r="F1139" s="4">
        <v>4536</v>
      </c>
      <c r="G1139" s="9">
        <v>479.78</v>
      </c>
    </row>
    <row r="1140" spans="1:7" ht="15.6" x14ac:dyDescent="0.3">
      <c r="A1140" s="16">
        <v>44617</v>
      </c>
      <c r="B1140" s="10" t="s">
        <v>10</v>
      </c>
      <c r="C1140" s="10" t="s">
        <v>11</v>
      </c>
      <c r="D1140" s="10" t="s">
        <v>12</v>
      </c>
      <c r="E1140" s="4">
        <v>4</v>
      </c>
      <c r="F1140" s="4">
        <v>4404</v>
      </c>
      <c r="G1140" s="9">
        <v>793.7</v>
      </c>
    </row>
    <row r="1141" spans="1:7" ht="15.6" x14ac:dyDescent="0.3">
      <c r="A1141" s="16">
        <v>45156</v>
      </c>
      <c r="B1141" s="10" t="s">
        <v>20</v>
      </c>
      <c r="C1141" s="10" t="s">
        <v>11</v>
      </c>
      <c r="D1141" s="10" t="s">
        <v>9</v>
      </c>
      <c r="E1141" s="4">
        <v>4</v>
      </c>
      <c r="F1141" s="4">
        <v>1952</v>
      </c>
      <c r="G1141" s="9">
        <v>148.66999999999999</v>
      </c>
    </row>
    <row r="1142" spans="1:7" ht="15.6" x14ac:dyDescent="0.3">
      <c r="A1142" s="16">
        <v>44918</v>
      </c>
      <c r="B1142" s="10" t="s">
        <v>10</v>
      </c>
      <c r="C1142" s="10" t="s">
        <v>11</v>
      </c>
      <c r="D1142" s="10" t="s">
        <v>9</v>
      </c>
      <c r="E1142" s="4">
        <v>3</v>
      </c>
      <c r="F1142" s="4">
        <v>2004</v>
      </c>
      <c r="G1142" s="9">
        <v>467.76</v>
      </c>
    </row>
    <row r="1143" spans="1:7" ht="15.6" x14ac:dyDescent="0.3">
      <c r="A1143" s="16">
        <v>44742</v>
      </c>
      <c r="B1143" s="10" t="s">
        <v>22</v>
      </c>
      <c r="C1143" s="10" t="s">
        <v>11</v>
      </c>
      <c r="D1143" s="10" t="s">
        <v>15</v>
      </c>
      <c r="E1143" s="4">
        <v>4</v>
      </c>
      <c r="F1143" s="4">
        <v>468</v>
      </c>
      <c r="G1143" s="9">
        <v>131.47999999999999</v>
      </c>
    </row>
    <row r="1144" spans="1:7" ht="15.6" x14ac:dyDescent="0.3">
      <c r="A1144" s="16">
        <v>45606</v>
      </c>
      <c r="B1144" s="10" t="s">
        <v>21</v>
      </c>
      <c r="C1144" s="10" t="s">
        <v>14</v>
      </c>
      <c r="D1144" s="10" t="s">
        <v>16</v>
      </c>
      <c r="E1144" s="4">
        <v>9</v>
      </c>
      <c r="F1144" s="4">
        <v>8667</v>
      </c>
      <c r="G1144" s="9">
        <v>1597.49</v>
      </c>
    </row>
    <row r="1145" spans="1:7" ht="15.6" x14ac:dyDescent="0.3">
      <c r="A1145" s="16">
        <v>45346</v>
      </c>
      <c r="B1145" s="10" t="s">
        <v>7</v>
      </c>
      <c r="C1145" s="10" t="s">
        <v>8</v>
      </c>
      <c r="D1145" s="10" t="s">
        <v>16</v>
      </c>
      <c r="E1145" s="4">
        <v>7</v>
      </c>
      <c r="F1145" s="4">
        <v>6097</v>
      </c>
      <c r="G1145" s="9">
        <v>567.32000000000005</v>
      </c>
    </row>
    <row r="1146" spans="1:7" ht="15.6" x14ac:dyDescent="0.3">
      <c r="A1146" s="16">
        <v>44662</v>
      </c>
      <c r="B1146" s="10" t="s">
        <v>18</v>
      </c>
      <c r="C1146" s="10" t="s">
        <v>11</v>
      </c>
      <c r="D1146" s="10" t="s">
        <v>15</v>
      </c>
      <c r="E1146" s="4">
        <v>9</v>
      </c>
      <c r="F1146" s="4">
        <v>4752</v>
      </c>
      <c r="G1146" s="9">
        <v>1415.65</v>
      </c>
    </row>
    <row r="1147" spans="1:7" ht="15.6" x14ac:dyDescent="0.3">
      <c r="A1147" s="16">
        <v>45056</v>
      </c>
      <c r="B1147" s="10" t="s">
        <v>22</v>
      </c>
      <c r="C1147" s="10" t="s">
        <v>11</v>
      </c>
      <c r="D1147" s="10" t="s">
        <v>12</v>
      </c>
      <c r="E1147" s="4">
        <v>1</v>
      </c>
      <c r="F1147" s="4">
        <v>1172</v>
      </c>
      <c r="G1147" s="9">
        <v>124.9</v>
      </c>
    </row>
    <row r="1148" spans="1:7" ht="15.6" x14ac:dyDescent="0.3">
      <c r="A1148" s="16">
        <v>44701</v>
      </c>
      <c r="B1148" s="10" t="s">
        <v>22</v>
      </c>
      <c r="C1148" s="10" t="s">
        <v>11</v>
      </c>
      <c r="D1148" s="10" t="s">
        <v>9</v>
      </c>
      <c r="E1148" s="4">
        <v>2</v>
      </c>
      <c r="F1148" s="4">
        <v>1608</v>
      </c>
      <c r="G1148" s="9">
        <v>170.29</v>
      </c>
    </row>
    <row r="1149" spans="1:7" ht="15.6" x14ac:dyDescent="0.3">
      <c r="A1149" s="16">
        <v>45067</v>
      </c>
      <c r="B1149" s="10" t="s">
        <v>7</v>
      </c>
      <c r="C1149" s="10" t="s">
        <v>8</v>
      </c>
      <c r="D1149" s="10" t="s">
        <v>15</v>
      </c>
      <c r="E1149" s="4">
        <v>7</v>
      </c>
      <c r="F1149" s="4">
        <v>7595</v>
      </c>
      <c r="G1149" s="9">
        <v>969.07</v>
      </c>
    </row>
    <row r="1150" spans="1:7" ht="15.6" x14ac:dyDescent="0.3">
      <c r="A1150" s="16">
        <v>45490</v>
      </c>
      <c r="B1150" s="10" t="s">
        <v>19</v>
      </c>
      <c r="C1150" s="10" t="s">
        <v>14</v>
      </c>
      <c r="D1150" s="10" t="s">
        <v>16</v>
      </c>
      <c r="E1150" s="4">
        <v>1</v>
      </c>
      <c r="F1150" s="4">
        <v>1142</v>
      </c>
      <c r="G1150" s="9">
        <v>306.83999999999997</v>
      </c>
    </row>
    <row r="1151" spans="1:7" ht="15.6" x14ac:dyDescent="0.3">
      <c r="A1151" s="16">
        <v>45614</v>
      </c>
      <c r="B1151" s="10" t="s">
        <v>22</v>
      </c>
      <c r="C1151" s="10" t="s">
        <v>11</v>
      </c>
      <c r="D1151" s="10" t="s">
        <v>9</v>
      </c>
      <c r="E1151" s="4">
        <v>2</v>
      </c>
      <c r="F1151" s="4">
        <v>116</v>
      </c>
      <c r="G1151" s="9">
        <v>13.67</v>
      </c>
    </row>
    <row r="1152" spans="1:7" ht="15.6" x14ac:dyDescent="0.3">
      <c r="A1152" s="16">
        <v>44718</v>
      </c>
      <c r="B1152" s="10" t="s">
        <v>21</v>
      </c>
      <c r="C1152" s="10" t="s">
        <v>14</v>
      </c>
      <c r="D1152" s="10" t="s">
        <v>12</v>
      </c>
      <c r="E1152" s="4">
        <v>9</v>
      </c>
      <c r="F1152" s="4">
        <v>3951</v>
      </c>
      <c r="G1152" s="9">
        <v>908.13</v>
      </c>
    </row>
    <row r="1153" spans="1:7" ht="15.6" x14ac:dyDescent="0.3">
      <c r="A1153" s="16">
        <v>45281</v>
      </c>
      <c r="B1153" s="10" t="s">
        <v>22</v>
      </c>
      <c r="C1153" s="10" t="s">
        <v>11</v>
      </c>
      <c r="D1153" s="10" t="s">
        <v>12</v>
      </c>
      <c r="E1153" s="4">
        <v>2</v>
      </c>
      <c r="F1153" s="4">
        <v>1606</v>
      </c>
      <c r="G1153" s="9">
        <v>138.96</v>
      </c>
    </row>
    <row r="1154" spans="1:7" ht="15.6" x14ac:dyDescent="0.3">
      <c r="A1154" s="16">
        <v>44881</v>
      </c>
      <c r="B1154" s="10" t="s">
        <v>18</v>
      </c>
      <c r="C1154" s="10" t="s">
        <v>11</v>
      </c>
      <c r="D1154" s="10" t="s">
        <v>15</v>
      </c>
      <c r="E1154" s="4">
        <v>3</v>
      </c>
      <c r="F1154" s="4">
        <v>2025</v>
      </c>
      <c r="G1154" s="9">
        <v>403</v>
      </c>
    </row>
    <row r="1155" spans="1:7" ht="15.6" x14ac:dyDescent="0.3">
      <c r="A1155" s="16">
        <v>45131</v>
      </c>
      <c r="B1155" s="10" t="s">
        <v>19</v>
      </c>
      <c r="C1155" s="10" t="s">
        <v>14</v>
      </c>
      <c r="D1155" s="10" t="s">
        <v>16</v>
      </c>
      <c r="E1155" s="4">
        <v>2</v>
      </c>
      <c r="F1155" s="4">
        <v>2006</v>
      </c>
      <c r="G1155" s="9">
        <v>235.52</v>
      </c>
    </row>
    <row r="1156" spans="1:7" ht="15.6" x14ac:dyDescent="0.3">
      <c r="A1156" s="16">
        <v>45448</v>
      </c>
      <c r="B1156" s="10" t="s">
        <v>17</v>
      </c>
      <c r="C1156" s="10" t="s">
        <v>14</v>
      </c>
      <c r="D1156" s="10" t="s">
        <v>15</v>
      </c>
      <c r="E1156" s="4">
        <v>9</v>
      </c>
      <c r="F1156" s="4">
        <v>9423</v>
      </c>
      <c r="G1156" s="9">
        <v>652.05999999999995</v>
      </c>
    </row>
    <row r="1157" spans="1:7" ht="15.6" x14ac:dyDescent="0.3">
      <c r="A1157" s="16">
        <v>44797</v>
      </c>
      <c r="B1157" s="10" t="s">
        <v>23</v>
      </c>
      <c r="C1157" s="10" t="s">
        <v>14</v>
      </c>
      <c r="D1157" s="10" t="s">
        <v>9</v>
      </c>
      <c r="E1157" s="4">
        <v>4</v>
      </c>
      <c r="F1157" s="4">
        <v>2276</v>
      </c>
      <c r="G1157" s="9">
        <v>399.94</v>
      </c>
    </row>
    <row r="1158" spans="1:7" ht="15.6" x14ac:dyDescent="0.3">
      <c r="A1158" s="16">
        <v>44795</v>
      </c>
      <c r="B1158" s="10" t="s">
        <v>20</v>
      </c>
      <c r="C1158" s="10" t="s">
        <v>11</v>
      </c>
      <c r="D1158" s="10" t="s">
        <v>16</v>
      </c>
      <c r="E1158" s="4">
        <v>5</v>
      </c>
      <c r="F1158" s="4">
        <v>4880</v>
      </c>
      <c r="G1158" s="9">
        <v>664.06</v>
      </c>
    </row>
    <row r="1159" spans="1:7" ht="15.6" x14ac:dyDescent="0.3">
      <c r="A1159" s="16">
        <v>45614</v>
      </c>
      <c r="B1159" s="10" t="s">
        <v>23</v>
      </c>
      <c r="C1159" s="10" t="s">
        <v>14</v>
      </c>
      <c r="D1159" s="10" t="s">
        <v>12</v>
      </c>
      <c r="E1159" s="4">
        <v>3</v>
      </c>
      <c r="F1159" s="4">
        <v>1773</v>
      </c>
      <c r="G1159" s="9">
        <v>183.15</v>
      </c>
    </row>
    <row r="1160" spans="1:7" ht="15.6" x14ac:dyDescent="0.3">
      <c r="A1160" s="16">
        <v>44947</v>
      </c>
      <c r="B1160" s="10" t="s">
        <v>19</v>
      </c>
      <c r="C1160" s="10" t="s">
        <v>14</v>
      </c>
      <c r="D1160" s="10" t="s">
        <v>15</v>
      </c>
      <c r="E1160" s="4">
        <v>9</v>
      </c>
      <c r="F1160" s="4">
        <v>2718</v>
      </c>
      <c r="G1160" s="9">
        <v>195.97</v>
      </c>
    </row>
    <row r="1161" spans="1:7" ht="15.6" x14ac:dyDescent="0.3">
      <c r="A1161" s="16">
        <v>44872</v>
      </c>
      <c r="B1161" s="10" t="s">
        <v>18</v>
      </c>
      <c r="C1161" s="10" t="s">
        <v>11</v>
      </c>
      <c r="D1161" s="10" t="s">
        <v>12</v>
      </c>
      <c r="E1161" s="4">
        <v>4</v>
      </c>
      <c r="F1161" s="4">
        <v>3168</v>
      </c>
      <c r="G1161" s="9">
        <v>939.45</v>
      </c>
    </row>
    <row r="1162" spans="1:7" ht="15.6" x14ac:dyDescent="0.3">
      <c r="A1162" s="16">
        <v>44592</v>
      </c>
      <c r="B1162" s="10" t="s">
        <v>17</v>
      </c>
      <c r="C1162" s="10" t="s">
        <v>14</v>
      </c>
      <c r="D1162" s="10" t="s">
        <v>16</v>
      </c>
      <c r="E1162" s="4">
        <v>2</v>
      </c>
      <c r="F1162" s="4">
        <v>1716</v>
      </c>
      <c r="G1162" s="9">
        <v>368.06</v>
      </c>
    </row>
    <row r="1163" spans="1:7" ht="15.6" x14ac:dyDescent="0.3">
      <c r="A1163" s="16">
        <v>45329</v>
      </c>
      <c r="B1163" s="10" t="s">
        <v>21</v>
      </c>
      <c r="C1163" s="10" t="s">
        <v>14</v>
      </c>
      <c r="D1163" s="10" t="s">
        <v>16</v>
      </c>
      <c r="E1163" s="4">
        <v>2</v>
      </c>
      <c r="F1163" s="4">
        <v>214</v>
      </c>
      <c r="G1163" s="9">
        <v>14.08</v>
      </c>
    </row>
    <row r="1164" spans="1:7" ht="15.6" x14ac:dyDescent="0.3">
      <c r="A1164" s="16">
        <v>45447</v>
      </c>
      <c r="B1164" s="10" t="s">
        <v>17</v>
      </c>
      <c r="C1164" s="10" t="s">
        <v>14</v>
      </c>
      <c r="D1164" s="10" t="s">
        <v>12</v>
      </c>
      <c r="E1164" s="4">
        <v>2</v>
      </c>
      <c r="F1164" s="4">
        <v>2092</v>
      </c>
      <c r="G1164" s="9">
        <v>366.12</v>
      </c>
    </row>
    <row r="1165" spans="1:7" ht="15.6" x14ac:dyDescent="0.3">
      <c r="A1165" s="16">
        <v>45372</v>
      </c>
      <c r="B1165" s="10" t="s">
        <v>18</v>
      </c>
      <c r="C1165" s="10" t="s">
        <v>11</v>
      </c>
      <c r="D1165" s="10" t="s">
        <v>16</v>
      </c>
      <c r="E1165" s="4">
        <v>3</v>
      </c>
      <c r="F1165" s="4">
        <v>225</v>
      </c>
      <c r="G1165" s="9">
        <v>46.96</v>
      </c>
    </row>
    <row r="1166" spans="1:7" ht="15.6" x14ac:dyDescent="0.3">
      <c r="A1166" s="16">
        <v>45011</v>
      </c>
      <c r="B1166" s="10" t="s">
        <v>19</v>
      </c>
      <c r="C1166" s="10" t="s">
        <v>14</v>
      </c>
      <c r="D1166" s="10" t="s">
        <v>12</v>
      </c>
      <c r="E1166" s="4">
        <v>1</v>
      </c>
      <c r="F1166" s="4">
        <v>859</v>
      </c>
      <c r="G1166" s="9">
        <v>217.67</v>
      </c>
    </row>
    <row r="1167" spans="1:7" ht="15.6" x14ac:dyDescent="0.3">
      <c r="A1167" s="16">
        <v>44661</v>
      </c>
      <c r="B1167" s="10" t="s">
        <v>7</v>
      </c>
      <c r="C1167" s="10" t="s">
        <v>8</v>
      </c>
      <c r="D1167" s="10" t="s">
        <v>16</v>
      </c>
      <c r="E1167" s="4">
        <v>2</v>
      </c>
      <c r="F1167" s="4">
        <v>2070</v>
      </c>
      <c r="G1167" s="9">
        <v>183.41</v>
      </c>
    </row>
    <row r="1168" spans="1:7" ht="15.6" x14ac:dyDescent="0.3">
      <c r="A1168" s="16">
        <v>45453</v>
      </c>
      <c r="B1168" s="10" t="s">
        <v>22</v>
      </c>
      <c r="C1168" s="10" t="s">
        <v>11</v>
      </c>
      <c r="D1168" s="10" t="s">
        <v>15</v>
      </c>
      <c r="E1168" s="4">
        <v>6</v>
      </c>
      <c r="F1168" s="4">
        <v>3240</v>
      </c>
      <c r="G1168" s="9">
        <v>758.19</v>
      </c>
    </row>
    <row r="1169" spans="1:7" ht="15.6" x14ac:dyDescent="0.3">
      <c r="A1169" s="16">
        <v>44842</v>
      </c>
      <c r="B1169" s="10" t="s">
        <v>13</v>
      </c>
      <c r="C1169" s="10" t="s">
        <v>14</v>
      </c>
      <c r="D1169" s="10" t="s">
        <v>12</v>
      </c>
      <c r="E1169" s="4">
        <v>2</v>
      </c>
      <c r="F1169" s="4">
        <v>1748</v>
      </c>
      <c r="G1169" s="9">
        <v>506.52</v>
      </c>
    </row>
    <row r="1170" spans="1:7" ht="15.6" x14ac:dyDescent="0.3">
      <c r="A1170" s="16">
        <v>45113</v>
      </c>
      <c r="B1170" s="10" t="s">
        <v>10</v>
      </c>
      <c r="C1170" s="10" t="s">
        <v>11</v>
      </c>
      <c r="D1170" s="10" t="s">
        <v>16</v>
      </c>
      <c r="E1170" s="4">
        <v>8</v>
      </c>
      <c r="F1170" s="4">
        <v>2080</v>
      </c>
      <c r="G1170" s="9">
        <v>108.48</v>
      </c>
    </row>
    <row r="1171" spans="1:7" ht="15.6" x14ac:dyDescent="0.3">
      <c r="A1171" s="16">
        <v>44730</v>
      </c>
      <c r="B1171" s="10" t="s">
        <v>19</v>
      </c>
      <c r="C1171" s="10" t="s">
        <v>14</v>
      </c>
      <c r="D1171" s="10" t="s">
        <v>9</v>
      </c>
      <c r="E1171" s="4">
        <v>3</v>
      </c>
      <c r="F1171" s="4">
        <v>2193</v>
      </c>
      <c r="G1171" s="9">
        <v>521.14</v>
      </c>
    </row>
    <row r="1172" spans="1:7" ht="15.6" x14ac:dyDescent="0.3">
      <c r="A1172" s="16">
        <v>45085</v>
      </c>
      <c r="B1172" s="10" t="s">
        <v>18</v>
      </c>
      <c r="C1172" s="10" t="s">
        <v>11</v>
      </c>
      <c r="D1172" s="10" t="s">
        <v>16</v>
      </c>
      <c r="E1172" s="4">
        <v>5</v>
      </c>
      <c r="F1172" s="4">
        <v>2080</v>
      </c>
      <c r="G1172" s="9">
        <v>614.77</v>
      </c>
    </row>
    <row r="1173" spans="1:7" ht="15.6" x14ac:dyDescent="0.3">
      <c r="A1173" s="16">
        <v>44694</v>
      </c>
      <c r="B1173" s="10" t="s">
        <v>10</v>
      </c>
      <c r="C1173" s="10" t="s">
        <v>11</v>
      </c>
      <c r="D1173" s="10" t="s">
        <v>15</v>
      </c>
      <c r="E1173" s="4">
        <v>5</v>
      </c>
      <c r="F1173" s="4">
        <v>5070</v>
      </c>
      <c r="G1173" s="9">
        <v>986.39</v>
      </c>
    </row>
    <row r="1174" spans="1:7" ht="15.6" x14ac:dyDescent="0.3">
      <c r="A1174" s="16">
        <v>45359</v>
      </c>
      <c r="B1174" s="10" t="s">
        <v>23</v>
      </c>
      <c r="C1174" s="10" t="s">
        <v>14</v>
      </c>
      <c r="D1174" s="10" t="s">
        <v>15</v>
      </c>
      <c r="E1174" s="4">
        <v>7</v>
      </c>
      <c r="F1174" s="4">
        <v>469</v>
      </c>
      <c r="G1174" s="9">
        <v>47.4</v>
      </c>
    </row>
    <row r="1175" spans="1:7" ht="15.6" x14ac:dyDescent="0.3">
      <c r="A1175" s="16">
        <v>45207</v>
      </c>
      <c r="B1175" s="10" t="s">
        <v>7</v>
      </c>
      <c r="C1175" s="10" t="s">
        <v>8</v>
      </c>
      <c r="D1175" s="10" t="s">
        <v>15</v>
      </c>
      <c r="E1175" s="4">
        <v>1</v>
      </c>
      <c r="F1175" s="4">
        <v>802</v>
      </c>
      <c r="G1175" s="9">
        <v>153.55000000000001</v>
      </c>
    </row>
    <row r="1176" spans="1:7" ht="15.6" x14ac:dyDescent="0.3">
      <c r="A1176" s="16">
        <v>45657</v>
      </c>
      <c r="B1176" s="10" t="s">
        <v>21</v>
      </c>
      <c r="C1176" s="10" t="s">
        <v>14</v>
      </c>
      <c r="D1176" s="10" t="s">
        <v>16</v>
      </c>
      <c r="E1176" s="4">
        <v>6</v>
      </c>
      <c r="F1176" s="4">
        <v>930</v>
      </c>
      <c r="G1176" s="9">
        <v>213.6</v>
      </c>
    </row>
    <row r="1177" spans="1:7" ht="15.6" x14ac:dyDescent="0.3">
      <c r="A1177" s="16">
        <v>44631</v>
      </c>
      <c r="B1177" s="10" t="s">
        <v>19</v>
      </c>
      <c r="C1177" s="10" t="s">
        <v>14</v>
      </c>
      <c r="D1177" s="10" t="s">
        <v>15</v>
      </c>
      <c r="E1177" s="4">
        <v>1</v>
      </c>
      <c r="F1177" s="4">
        <v>495</v>
      </c>
      <c r="G1177" s="9">
        <v>55.17</v>
      </c>
    </row>
    <row r="1178" spans="1:7" ht="15.6" x14ac:dyDescent="0.3">
      <c r="A1178" s="16">
        <v>45505</v>
      </c>
      <c r="B1178" s="10" t="s">
        <v>20</v>
      </c>
      <c r="C1178" s="10" t="s">
        <v>11</v>
      </c>
      <c r="D1178" s="10" t="s">
        <v>12</v>
      </c>
      <c r="E1178" s="4">
        <v>6</v>
      </c>
      <c r="F1178" s="4">
        <v>4938</v>
      </c>
      <c r="G1178" s="9">
        <v>847.89</v>
      </c>
    </row>
    <row r="1179" spans="1:7" ht="15.6" x14ac:dyDescent="0.3">
      <c r="A1179" s="16">
        <v>44794</v>
      </c>
      <c r="B1179" s="10" t="s">
        <v>13</v>
      </c>
      <c r="C1179" s="10" t="s">
        <v>14</v>
      </c>
      <c r="D1179" s="10" t="s">
        <v>15</v>
      </c>
      <c r="E1179" s="4">
        <v>2</v>
      </c>
      <c r="F1179" s="4">
        <v>1300</v>
      </c>
      <c r="G1179" s="9">
        <v>267.45999999999998</v>
      </c>
    </row>
    <row r="1180" spans="1:7" ht="15.6" x14ac:dyDescent="0.3">
      <c r="A1180" s="16">
        <v>45637</v>
      </c>
      <c r="B1180" s="10" t="s">
        <v>10</v>
      </c>
      <c r="C1180" s="10" t="s">
        <v>11</v>
      </c>
      <c r="D1180" s="10" t="s">
        <v>15</v>
      </c>
      <c r="E1180" s="4">
        <v>7</v>
      </c>
      <c r="F1180" s="4">
        <v>2100</v>
      </c>
      <c r="G1180" s="9">
        <v>131.66999999999999</v>
      </c>
    </row>
    <row r="1181" spans="1:7" ht="15.6" x14ac:dyDescent="0.3">
      <c r="A1181" s="16">
        <v>45364</v>
      </c>
      <c r="B1181" s="10" t="s">
        <v>17</v>
      </c>
      <c r="C1181" s="10" t="s">
        <v>14</v>
      </c>
      <c r="D1181" s="10" t="s">
        <v>15</v>
      </c>
      <c r="E1181" s="4">
        <v>2</v>
      </c>
      <c r="F1181" s="4">
        <v>2248</v>
      </c>
      <c r="G1181" s="9">
        <v>636.52</v>
      </c>
    </row>
    <row r="1182" spans="1:7" ht="15.6" x14ac:dyDescent="0.3">
      <c r="A1182" s="16">
        <v>45265</v>
      </c>
      <c r="B1182" s="10" t="s">
        <v>18</v>
      </c>
      <c r="C1182" s="10" t="s">
        <v>11</v>
      </c>
      <c r="D1182" s="10" t="s">
        <v>9</v>
      </c>
      <c r="E1182" s="4">
        <v>8</v>
      </c>
      <c r="F1182" s="4">
        <v>7096</v>
      </c>
      <c r="G1182" s="9">
        <v>991.23</v>
      </c>
    </row>
    <row r="1183" spans="1:7" ht="15.6" x14ac:dyDescent="0.3">
      <c r="A1183" s="16">
        <v>44694</v>
      </c>
      <c r="B1183" s="10" t="s">
        <v>18</v>
      </c>
      <c r="C1183" s="10" t="s">
        <v>11</v>
      </c>
      <c r="D1183" s="10" t="s">
        <v>12</v>
      </c>
      <c r="E1183" s="4">
        <v>3</v>
      </c>
      <c r="F1183" s="4">
        <v>1992</v>
      </c>
      <c r="G1183" s="9">
        <v>252.21</v>
      </c>
    </row>
    <row r="1184" spans="1:7" ht="15.6" x14ac:dyDescent="0.3">
      <c r="A1184" s="16">
        <v>44590</v>
      </c>
      <c r="B1184" s="10" t="s">
        <v>17</v>
      </c>
      <c r="C1184" s="10" t="s">
        <v>14</v>
      </c>
      <c r="D1184" s="10" t="s">
        <v>15</v>
      </c>
      <c r="E1184" s="4">
        <v>4</v>
      </c>
      <c r="F1184" s="4">
        <v>4056</v>
      </c>
      <c r="G1184" s="9">
        <v>1189.26</v>
      </c>
    </row>
    <row r="1185" spans="1:7" ht="15.6" x14ac:dyDescent="0.3">
      <c r="A1185" s="16">
        <v>44917</v>
      </c>
      <c r="B1185" s="10" t="s">
        <v>17</v>
      </c>
      <c r="C1185" s="10" t="s">
        <v>14</v>
      </c>
      <c r="D1185" s="10" t="s">
        <v>12</v>
      </c>
      <c r="E1185" s="4">
        <v>2</v>
      </c>
      <c r="F1185" s="4">
        <v>1986</v>
      </c>
      <c r="G1185" s="9">
        <v>208.88</v>
      </c>
    </row>
    <row r="1186" spans="1:7" ht="15.6" x14ac:dyDescent="0.3">
      <c r="A1186" s="16">
        <v>45389</v>
      </c>
      <c r="B1186" s="10" t="s">
        <v>7</v>
      </c>
      <c r="C1186" s="10" t="s">
        <v>8</v>
      </c>
      <c r="D1186" s="10" t="s">
        <v>12</v>
      </c>
      <c r="E1186" s="4">
        <v>3</v>
      </c>
      <c r="F1186" s="4">
        <v>1635</v>
      </c>
      <c r="G1186" s="9">
        <v>196.73</v>
      </c>
    </row>
    <row r="1187" spans="1:7" ht="15.6" x14ac:dyDescent="0.3">
      <c r="A1187" s="16">
        <v>44625</v>
      </c>
      <c r="B1187" s="10" t="s">
        <v>19</v>
      </c>
      <c r="C1187" s="10" t="s">
        <v>14</v>
      </c>
      <c r="D1187" s="10" t="s">
        <v>12</v>
      </c>
      <c r="E1187" s="4">
        <v>9</v>
      </c>
      <c r="F1187" s="4">
        <v>3132</v>
      </c>
      <c r="G1187" s="9">
        <v>443.27</v>
      </c>
    </row>
    <row r="1188" spans="1:7" ht="15.6" x14ac:dyDescent="0.3">
      <c r="A1188" s="16">
        <v>45067</v>
      </c>
      <c r="B1188" s="10" t="s">
        <v>21</v>
      </c>
      <c r="C1188" s="10" t="s">
        <v>14</v>
      </c>
      <c r="D1188" s="10" t="s">
        <v>15</v>
      </c>
      <c r="E1188" s="4">
        <v>8</v>
      </c>
      <c r="F1188" s="4">
        <v>7064</v>
      </c>
      <c r="G1188" s="9">
        <v>1554.52</v>
      </c>
    </row>
    <row r="1189" spans="1:7" ht="15.6" x14ac:dyDescent="0.3">
      <c r="A1189" s="16">
        <v>45367</v>
      </c>
      <c r="B1189" s="10" t="s">
        <v>17</v>
      </c>
      <c r="C1189" s="10" t="s">
        <v>14</v>
      </c>
      <c r="D1189" s="10" t="s">
        <v>12</v>
      </c>
      <c r="E1189" s="4">
        <v>1</v>
      </c>
      <c r="F1189" s="4">
        <v>907</v>
      </c>
      <c r="G1189" s="9">
        <v>249.2</v>
      </c>
    </row>
    <row r="1190" spans="1:7" ht="15.6" x14ac:dyDescent="0.3">
      <c r="A1190" s="16">
        <v>44940</v>
      </c>
      <c r="B1190" s="10" t="s">
        <v>10</v>
      </c>
      <c r="C1190" s="10" t="s">
        <v>11</v>
      </c>
      <c r="D1190" s="10" t="s">
        <v>15</v>
      </c>
      <c r="E1190" s="4">
        <v>9</v>
      </c>
      <c r="F1190" s="4">
        <v>7938</v>
      </c>
      <c r="G1190" s="9">
        <v>1191.4100000000001</v>
      </c>
    </row>
    <row r="1191" spans="1:7" ht="15.6" x14ac:dyDescent="0.3">
      <c r="A1191" s="16">
        <v>45241</v>
      </c>
      <c r="B1191" s="10" t="s">
        <v>7</v>
      </c>
      <c r="C1191" s="10" t="s">
        <v>8</v>
      </c>
      <c r="D1191" s="10" t="s">
        <v>15</v>
      </c>
      <c r="E1191" s="4">
        <v>4</v>
      </c>
      <c r="F1191" s="4">
        <v>4360</v>
      </c>
      <c r="G1191" s="9">
        <v>1207.46</v>
      </c>
    </row>
    <row r="1192" spans="1:7" ht="15.6" x14ac:dyDescent="0.3">
      <c r="A1192" s="16">
        <v>45523</v>
      </c>
      <c r="B1192" s="10" t="s">
        <v>22</v>
      </c>
      <c r="C1192" s="10" t="s">
        <v>11</v>
      </c>
      <c r="D1192" s="10" t="s">
        <v>16</v>
      </c>
      <c r="E1192" s="4">
        <v>3</v>
      </c>
      <c r="F1192" s="4">
        <v>375</v>
      </c>
      <c r="G1192" s="9">
        <v>95.04</v>
      </c>
    </row>
    <row r="1193" spans="1:7" ht="15.6" x14ac:dyDescent="0.3">
      <c r="A1193" s="16">
        <v>44828</v>
      </c>
      <c r="B1193" s="10" t="s">
        <v>20</v>
      </c>
      <c r="C1193" s="10" t="s">
        <v>11</v>
      </c>
      <c r="D1193" s="10" t="s">
        <v>9</v>
      </c>
      <c r="E1193" s="4">
        <v>7</v>
      </c>
      <c r="F1193" s="4">
        <v>826</v>
      </c>
      <c r="G1193" s="9">
        <v>101.01</v>
      </c>
    </row>
    <row r="1194" spans="1:7" ht="15.6" x14ac:dyDescent="0.3">
      <c r="A1194" s="16">
        <v>45234</v>
      </c>
      <c r="B1194" s="10" t="s">
        <v>18</v>
      </c>
      <c r="C1194" s="10" t="s">
        <v>11</v>
      </c>
      <c r="D1194" s="10" t="s">
        <v>12</v>
      </c>
      <c r="E1194" s="4">
        <v>1</v>
      </c>
      <c r="F1194" s="4">
        <v>1011</v>
      </c>
      <c r="G1194" s="9">
        <v>186.42</v>
      </c>
    </row>
    <row r="1195" spans="1:7" ht="15.6" x14ac:dyDescent="0.3">
      <c r="A1195" s="16">
        <v>45178</v>
      </c>
      <c r="B1195" s="10" t="s">
        <v>10</v>
      </c>
      <c r="C1195" s="10" t="s">
        <v>11</v>
      </c>
      <c r="D1195" s="10" t="s">
        <v>12</v>
      </c>
      <c r="E1195" s="4">
        <v>3</v>
      </c>
      <c r="F1195" s="4">
        <v>807</v>
      </c>
      <c r="G1195" s="9">
        <v>148.58000000000001</v>
      </c>
    </row>
    <row r="1196" spans="1:7" ht="15.6" x14ac:dyDescent="0.3">
      <c r="A1196" s="16">
        <v>45643</v>
      </c>
      <c r="B1196" s="10" t="s">
        <v>18</v>
      </c>
      <c r="C1196" s="10" t="s">
        <v>11</v>
      </c>
      <c r="D1196" s="10" t="s">
        <v>9</v>
      </c>
      <c r="E1196" s="4">
        <v>2</v>
      </c>
      <c r="F1196" s="4">
        <v>1840</v>
      </c>
      <c r="G1196" s="9">
        <v>367.7</v>
      </c>
    </row>
    <row r="1197" spans="1:7" ht="15.6" x14ac:dyDescent="0.3">
      <c r="A1197" s="16">
        <v>44599</v>
      </c>
      <c r="B1197" s="10" t="s">
        <v>22</v>
      </c>
      <c r="C1197" s="10" t="s">
        <v>11</v>
      </c>
      <c r="D1197" s="10" t="s">
        <v>16</v>
      </c>
      <c r="E1197" s="4">
        <v>5</v>
      </c>
      <c r="F1197" s="4">
        <v>4550</v>
      </c>
      <c r="G1197" s="9">
        <v>1039.3399999999999</v>
      </c>
    </row>
    <row r="1198" spans="1:7" ht="15.6" x14ac:dyDescent="0.3">
      <c r="A1198" s="16">
        <v>45298</v>
      </c>
      <c r="B1198" s="10" t="s">
        <v>21</v>
      </c>
      <c r="C1198" s="10" t="s">
        <v>14</v>
      </c>
      <c r="D1198" s="10" t="s">
        <v>9</v>
      </c>
      <c r="E1198" s="4">
        <v>9</v>
      </c>
      <c r="F1198" s="4">
        <v>8793</v>
      </c>
      <c r="G1198" s="9">
        <v>901.7</v>
      </c>
    </row>
    <row r="1199" spans="1:7" ht="15.6" x14ac:dyDescent="0.3">
      <c r="A1199" s="16">
        <v>45482</v>
      </c>
      <c r="B1199" s="10" t="s">
        <v>18</v>
      </c>
      <c r="C1199" s="10" t="s">
        <v>11</v>
      </c>
      <c r="D1199" s="10" t="s">
        <v>9</v>
      </c>
      <c r="E1199" s="4">
        <v>5</v>
      </c>
      <c r="F1199" s="4">
        <v>310</v>
      </c>
      <c r="G1199" s="9">
        <v>32.01</v>
      </c>
    </row>
    <row r="1200" spans="1:7" ht="15.6" x14ac:dyDescent="0.3">
      <c r="A1200" s="16">
        <v>45258</v>
      </c>
      <c r="B1200" s="10" t="s">
        <v>18</v>
      </c>
      <c r="C1200" s="10" t="s">
        <v>11</v>
      </c>
      <c r="D1200" s="10" t="s">
        <v>12</v>
      </c>
      <c r="E1200" s="4">
        <v>3</v>
      </c>
      <c r="F1200" s="4">
        <v>1143</v>
      </c>
      <c r="G1200" s="9">
        <v>275.04000000000002</v>
      </c>
    </row>
    <row r="1201" spans="1:7" ht="15.6" x14ac:dyDescent="0.3">
      <c r="A1201" s="16">
        <v>44630</v>
      </c>
      <c r="B1201" s="10" t="s">
        <v>20</v>
      </c>
      <c r="C1201" s="10" t="s">
        <v>11</v>
      </c>
      <c r="D1201" s="10" t="s">
        <v>16</v>
      </c>
      <c r="E1201" s="4">
        <v>3</v>
      </c>
      <c r="F1201" s="4">
        <v>2610</v>
      </c>
      <c r="G1201" s="9">
        <v>740.21</v>
      </c>
    </row>
    <row r="1202" spans="1:7" ht="15.6" x14ac:dyDescent="0.3">
      <c r="A1202" s="16">
        <v>44773</v>
      </c>
      <c r="B1202" s="10" t="s">
        <v>13</v>
      </c>
      <c r="C1202" s="10" t="s">
        <v>14</v>
      </c>
      <c r="D1202" s="10" t="s">
        <v>16</v>
      </c>
      <c r="E1202" s="4">
        <v>6</v>
      </c>
      <c r="F1202" s="4">
        <v>1494</v>
      </c>
      <c r="G1202" s="9">
        <v>269.25</v>
      </c>
    </row>
    <row r="1203" spans="1:7" ht="15.6" x14ac:dyDescent="0.3">
      <c r="A1203" s="16">
        <v>45112</v>
      </c>
      <c r="B1203" s="10" t="s">
        <v>21</v>
      </c>
      <c r="C1203" s="10" t="s">
        <v>14</v>
      </c>
      <c r="D1203" s="10" t="s">
        <v>9</v>
      </c>
      <c r="E1203" s="4">
        <v>4</v>
      </c>
      <c r="F1203" s="4">
        <v>1524</v>
      </c>
      <c r="G1203" s="9">
        <v>189.32</v>
      </c>
    </row>
    <row r="1204" spans="1:7" ht="15.6" x14ac:dyDescent="0.3">
      <c r="A1204" s="16">
        <v>45251</v>
      </c>
      <c r="B1204" s="10" t="s">
        <v>13</v>
      </c>
      <c r="C1204" s="10" t="s">
        <v>14</v>
      </c>
      <c r="D1204" s="10" t="s">
        <v>9</v>
      </c>
      <c r="E1204" s="4">
        <v>9</v>
      </c>
      <c r="F1204" s="4">
        <v>9441</v>
      </c>
      <c r="G1204" s="9">
        <v>2171.42</v>
      </c>
    </row>
    <row r="1205" spans="1:7" ht="15.6" x14ac:dyDescent="0.3">
      <c r="A1205" s="16">
        <v>44730</v>
      </c>
      <c r="B1205" s="10" t="s">
        <v>21</v>
      </c>
      <c r="C1205" s="10" t="s">
        <v>14</v>
      </c>
      <c r="D1205" s="10" t="s">
        <v>15</v>
      </c>
      <c r="E1205" s="4">
        <v>4</v>
      </c>
      <c r="F1205" s="4">
        <v>3520</v>
      </c>
      <c r="G1205" s="9">
        <v>417.26</v>
      </c>
    </row>
    <row r="1206" spans="1:7" ht="15.6" x14ac:dyDescent="0.3">
      <c r="A1206" s="16">
        <v>45014</v>
      </c>
      <c r="B1206" s="10" t="s">
        <v>13</v>
      </c>
      <c r="C1206" s="10" t="s">
        <v>14</v>
      </c>
      <c r="D1206" s="10" t="s">
        <v>16</v>
      </c>
      <c r="E1206" s="4">
        <v>2</v>
      </c>
      <c r="F1206" s="4">
        <v>390</v>
      </c>
      <c r="G1206" s="9">
        <v>103.99</v>
      </c>
    </row>
    <row r="1207" spans="1:7" ht="15.6" x14ac:dyDescent="0.3">
      <c r="A1207" s="16">
        <v>45318</v>
      </c>
      <c r="B1207" s="10" t="s">
        <v>7</v>
      </c>
      <c r="C1207" s="10" t="s">
        <v>8</v>
      </c>
      <c r="D1207" s="10" t="s">
        <v>15</v>
      </c>
      <c r="E1207" s="4">
        <v>3</v>
      </c>
      <c r="F1207" s="4">
        <v>3219</v>
      </c>
      <c r="G1207" s="9">
        <v>255.09</v>
      </c>
    </row>
    <row r="1208" spans="1:7" ht="15.6" x14ac:dyDescent="0.3">
      <c r="A1208" s="16">
        <v>45564</v>
      </c>
      <c r="B1208" s="10" t="s">
        <v>23</v>
      </c>
      <c r="C1208" s="10" t="s">
        <v>14</v>
      </c>
      <c r="D1208" s="10" t="s">
        <v>9</v>
      </c>
      <c r="E1208" s="4">
        <v>1</v>
      </c>
      <c r="F1208" s="4">
        <v>450</v>
      </c>
      <c r="G1208" s="9">
        <v>75.89</v>
      </c>
    </row>
    <row r="1209" spans="1:7" ht="15.6" x14ac:dyDescent="0.3">
      <c r="A1209" s="16">
        <v>45150</v>
      </c>
      <c r="B1209" s="10" t="s">
        <v>19</v>
      </c>
      <c r="C1209" s="10" t="s">
        <v>14</v>
      </c>
      <c r="D1209" s="10" t="s">
        <v>15</v>
      </c>
      <c r="E1209" s="4">
        <v>4</v>
      </c>
      <c r="F1209" s="4">
        <v>828</v>
      </c>
      <c r="G1209" s="9">
        <v>216.98</v>
      </c>
    </row>
    <row r="1210" spans="1:7" ht="15.6" x14ac:dyDescent="0.3">
      <c r="A1210" s="16">
        <v>44578</v>
      </c>
      <c r="B1210" s="10" t="s">
        <v>7</v>
      </c>
      <c r="C1210" s="10" t="s">
        <v>8</v>
      </c>
      <c r="D1210" s="10" t="s">
        <v>12</v>
      </c>
      <c r="E1210" s="4">
        <v>1</v>
      </c>
      <c r="F1210" s="4">
        <v>1146</v>
      </c>
      <c r="G1210" s="9">
        <v>152.79</v>
      </c>
    </row>
    <row r="1211" spans="1:7" ht="15.6" x14ac:dyDescent="0.3">
      <c r="A1211" s="16">
        <v>45482</v>
      </c>
      <c r="B1211" s="10" t="s">
        <v>20</v>
      </c>
      <c r="C1211" s="10" t="s">
        <v>11</v>
      </c>
      <c r="D1211" s="10" t="s">
        <v>16</v>
      </c>
      <c r="E1211" s="4">
        <v>3</v>
      </c>
      <c r="F1211" s="4">
        <v>1986</v>
      </c>
      <c r="G1211" s="9">
        <v>361.33</v>
      </c>
    </row>
    <row r="1212" spans="1:7" ht="15.6" x14ac:dyDescent="0.3">
      <c r="A1212" s="16">
        <v>45006</v>
      </c>
      <c r="B1212" s="10" t="s">
        <v>19</v>
      </c>
      <c r="C1212" s="10" t="s">
        <v>14</v>
      </c>
      <c r="D1212" s="10" t="s">
        <v>9</v>
      </c>
      <c r="E1212" s="4">
        <v>8</v>
      </c>
      <c r="F1212" s="4">
        <v>7264</v>
      </c>
      <c r="G1212" s="9">
        <v>1776.83</v>
      </c>
    </row>
    <row r="1213" spans="1:7" ht="15.6" x14ac:dyDescent="0.3">
      <c r="A1213" s="16">
        <v>45085</v>
      </c>
      <c r="B1213" s="10" t="s">
        <v>23</v>
      </c>
      <c r="C1213" s="10" t="s">
        <v>14</v>
      </c>
      <c r="D1213" s="10" t="s">
        <v>12</v>
      </c>
      <c r="E1213" s="4">
        <v>7</v>
      </c>
      <c r="F1213" s="4">
        <v>7469</v>
      </c>
      <c r="G1213" s="9">
        <v>915.63</v>
      </c>
    </row>
    <row r="1214" spans="1:7" ht="15.6" x14ac:dyDescent="0.3">
      <c r="A1214" s="16">
        <v>45370</v>
      </c>
      <c r="B1214" s="10" t="s">
        <v>23</v>
      </c>
      <c r="C1214" s="10" t="s">
        <v>14</v>
      </c>
      <c r="D1214" s="10" t="s">
        <v>15</v>
      </c>
      <c r="E1214" s="4">
        <v>5</v>
      </c>
      <c r="F1214" s="4">
        <v>1385</v>
      </c>
      <c r="G1214" s="9">
        <v>165.55</v>
      </c>
    </row>
    <row r="1215" spans="1:7" ht="15.6" x14ac:dyDescent="0.3">
      <c r="A1215" s="16">
        <v>44998</v>
      </c>
      <c r="B1215" s="10" t="s">
        <v>13</v>
      </c>
      <c r="C1215" s="10" t="s">
        <v>14</v>
      </c>
      <c r="D1215" s="10" t="s">
        <v>9</v>
      </c>
      <c r="E1215" s="4">
        <v>4</v>
      </c>
      <c r="F1215" s="4">
        <v>4556</v>
      </c>
      <c r="G1215" s="9">
        <v>315.07</v>
      </c>
    </row>
    <row r="1216" spans="1:7" ht="15.6" x14ac:dyDescent="0.3">
      <c r="A1216" s="16">
        <v>45330</v>
      </c>
      <c r="B1216" s="10" t="s">
        <v>20</v>
      </c>
      <c r="C1216" s="10" t="s">
        <v>11</v>
      </c>
      <c r="D1216" s="10" t="s">
        <v>9</v>
      </c>
      <c r="E1216" s="4">
        <v>3</v>
      </c>
      <c r="F1216" s="4">
        <v>456</v>
      </c>
      <c r="G1216" s="9">
        <v>61.42</v>
      </c>
    </row>
    <row r="1217" spans="1:7" ht="15.6" x14ac:dyDescent="0.3">
      <c r="A1217" s="16">
        <v>45611</v>
      </c>
      <c r="B1217" s="10" t="s">
        <v>20</v>
      </c>
      <c r="C1217" s="10" t="s">
        <v>11</v>
      </c>
      <c r="D1217" s="10" t="s">
        <v>9</v>
      </c>
      <c r="E1217" s="4">
        <v>2</v>
      </c>
      <c r="F1217" s="4">
        <v>1984</v>
      </c>
      <c r="G1217" s="9">
        <v>125.13</v>
      </c>
    </row>
    <row r="1218" spans="1:7" ht="15.6" x14ac:dyDescent="0.3">
      <c r="A1218" s="16">
        <v>45552</v>
      </c>
      <c r="B1218" s="10" t="s">
        <v>19</v>
      </c>
      <c r="C1218" s="10" t="s">
        <v>14</v>
      </c>
      <c r="D1218" s="10" t="s">
        <v>9</v>
      </c>
      <c r="E1218" s="4">
        <v>6</v>
      </c>
      <c r="F1218" s="4">
        <v>5178</v>
      </c>
      <c r="G1218" s="9">
        <v>1321.58</v>
      </c>
    </row>
    <row r="1219" spans="1:7" ht="15.6" x14ac:dyDescent="0.3">
      <c r="A1219" s="16">
        <v>45057</v>
      </c>
      <c r="B1219" s="10" t="s">
        <v>19</v>
      </c>
      <c r="C1219" s="10" t="s">
        <v>14</v>
      </c>
      <c r="D1219" s="10" t="s">
        <v>16</v>
      </c>
      <c r="E1219" s="4">
        <v>1</v>
      </c>
      <c r="F1219" s="4">
        <v>281</v>
      </c>
      <c r="G1219" s="9">
        <v>30.51</v>
      </c>
    </row>
    <row r="1220" spans="1:7" ht="15.6" x14ac:dyDescent="0.3">
      <c r="A1220" s="16">
        <v>45622</v>
      </c>
      <c r="B1220" s="10" t="s">
        <v>20</v>
      </c>
      <c r="C1220" s="10" t="s">
        <v>11</v>
      </c>
      <c r="D1220" s="10" t="s">
        <v>15</v>
      </c>
      <c r="E1220" s="4">
        <v>9</v>
      </c>
      <c r="F1220" s="4">
        <v>3033</v>
      </c>
      <c r="G1220" s="9">
        <v>177.92</v>
      </c>
    </row>
    <row r="1221" spans="1:7" ht="15.6" x14ac:dyDescent="0.3">
      <c r="A1221" s="16">
        <v>44647</v>
      </c>
      <c r="B1221" s="10" t="s">
        <v>17</v>
      </c>
      <c r="C1221" s="10" t="s">
        <v>14</v>
      </c>
      <c r="D1221" s="10" t="s">
        <v>12</v>
      </c>
      <c r="E1221" s="4">
        <v>3</v>
      </c>
      <c r="F1221" s="4">
        <v>1107</v>
      </c>
      <c r="G1221" s="9">
        <v>65.88</v>
      </c>
    </row>
    <row r="1222" spans="1:7" ht="15.6" x14ac:dyDescent="0.3">
      <c r="A1222" s="16">
        <v>44661</v>
      </c>
      <c r="B1222" s="10" t="s">
        <v>10</v>
      </c>
      <c r="C1222" s="10" t="s">
        <v>11</v>
      </c>
      <c r="D1222" s="10" t="s">
        <v>15</v>
      </c>
      <c r="E1222" s="4">
        <v>3</v>
      </c>
      <c r="F1222" s="4">
        <v>1446</v>
      </c>
      <c r="G1222" s="9">
        <v>356.7</v>
      </c>
    </row>
    <row r="1223" spans="1:7" ht="15.6" x14ac:dyDescent="0.3">
      <c r="A1223" s="16">
        <v>45500</v>
      </c>
      <c r="B1223" s="10" t="s">
        <v>7</v>
      </c>
      <c r="C1223" s="10" t="s">
        <v>8</v>
      </c>
      <c r="D1223" s="10" t="s">
        <v>9</v>
      </c>
      <c r="E1223" s="4">
        <v>3</v>
      </c>
      <c r="F1223" s="4">
        <v>1335</v>
      </c>
      <c r="G1223" s="9">
        <v>263.04000000000002</v>
      </c>
    </row>
    <row r="1224" spans="1:7" ht="15.6" x14ac:dyDescent="0.3">
      <c r="A1224" s="16">
        <v>44949</v>
      </c>
      <c r="B1224" s="10" t="s">
        <v>10</v>
      </c>
      <c r="C1224" s="10" t="s">
        <v>11</v>
      </c>
      <c r="D1224" s="10" t="s">
        <v>15</v>
      </c>
      <c r="E1224" s="4">
        <v>2</v>
      </c>
      <c r="F1224" s="4">
        <v>266</v>
      </c>
      <c r="G1224" s="9">
        <v>20.11</v>
      </c>
    </row>
    <row r="1225" spans="1:7" ht="15.6" x14ac:dyDescent="0.3">
      <c r="A1225" s="16">
        <v>45404</v>
      </c>
      <c r="B1225" s="10" t="s">
        <v>21</v>
      </c>
      <c r="C1225" s="10" t="s">
        <v>14</v>
      </c>
      <c r="D1225" s="10" t="s">
        <v>16</v>
      </c>
      <c r="E1225" s="4">
        <v>6</v>
      </c>
      <c r="F1225" s="4">
        <v>648</v>
      </c>
      <c r="G1225" s="9">
        <v>162.30000000000001</v>
      </c>
    </row>
    <row r="1226" spans="1:7" ht="15.6" x14ac:dyDescent="0.3">
      <c r="A1226" s="16">
        <v>45000</v>
      </c>
      <c r="B1226" s="10" t="s">
        <v>13</v>
      </c>
      <c r="C1226" s="10" t="s">
        <v>14</v>
      </c>
      <c r="D1226" s="10" t="s">
        <v>15</v>
      </c>
      <c r="E1226" s="4">
        <v>2</v>
      </c>
      <c r="F1226" s="4">
        <v>344</v>
      </c>
      <c r="G1226" s="9">
        <v>80.87</v>
      </c>
    </row>
    <row r="1227" spans="1:7" ht="15.6" x14ac:dyDescent="0.3">
      <c r="A1227" s="16">
        <v>45437</v>
      </c>
      <c r="B1227" s="10" t="s">
        <v>21</v>
      </c>
      <c r="C1227" s="10" t="s">
        <v>14</v>
      </c>
      <c r="D1227" s="10" t="s">
        <v>16</v>
      </c>
      <c r="E1227" s="4">
        <v>6</v>
      </c>
      <c r="F1227" s="4">
        <v>5724</v>
      </c>
      <c r="G1227" s="9">
        <v>1640.19</v>
      </c>
    </row>
    <row r="1228" spans="1:7" ht="15.6" x14ac:dyDescent="0.3">
      <c r="A1228" s="16">
        <v>44636</v>
      </c>
      <c r="B1228" s="10" t="s">
        <v>18</v>
      </c>
      <c r="C1228" s="10" t="s">
        <v>11</v>
      </c>
      <c r="D1228" s="10" t="s">
        <v>12</v>
      </c>
      <c r="E1228" s="4">
        <v>5</v>
      </c>
      <c r="F1228" s="4">
        <v>4920</v>
      </c>
      <c r="G1228" s="9">
        <v>323.38</v>
      </c>
    </row>
    <row r="1229" spans="1:7" ht="15.6" x14ac:dyDescent="0.3">
      <c r="A1229" s="16">
        <v>44933</v>
      </c>
      <c r="B1229" s="10" t="s">
        <v>17</v>
      </c>
      <c r="C1229" s="10" t="s">
        <v>14</v>
      </c>
      <c r="D1229" s="10" t="s">
        <v>16</v>
      </c>
      <c r="E1229" s="4">
        <v>5</v>
      </c>
      <c r="F1229" s="4">
        <v>5440</v>
      </c>
      <c r="G1229" s="9">
        <v>457.04</v>
      </c>
    </row>
    <row r="1230" spans="1:7" ht="15.6" x14ac:dyDescent="0.3">
      <c r="A1230" s="16">
        <v>45407</v>
      </c>
      <c r="B1230" s="10" t="s">
        <v>21</v>
      </c>
      <c r="C1230" s="10" t="s">
        <v>14</v>
      </c>
      <c r="D1230" s="10" t="s">
        <v>16</v>
      </c>
      <c r="E1230" s="4">
        <v>7</v>
      </c>
      <c r="F1230" s="4">
        <v>7994</v>
      </c>
      <c r="G1230" s="9">
        <v>908.65</v>
      </c>
    </row>
    <row r="1231" spans="1:7" ht="15.6" x14ac:dyDescent="0.3">
      <c r="A1231" s="16">
        <v>45222</v>
      </c>
      <c r="B1231" s="10" t="s">
        <v>17</v>
      </c>
      <c r="C1231" s="10" t="s">
        <v>14</v>
      </c>
      <c r="D1231" s="10" t="s">
        <v>15</v>
      </c>
      <c r="E1231" s="4">
        <v>9</v>
      </c>
      <c r="F1231" s="4">
        <v>3780</v>
      </c>
      <c r="G1231" s="9">
        <v>724.36</v>
      </c>
    </row>
    <row r="1232" spans="1:7" ht="15.6" x14ac:dyDescent="0.3">
      <c r="A1232" s="16">
        <v>45073</v>
      </c>
      <c r="B1232" s="10" t="s">
        <v>21</v>
      </c>
      <c r="C1232" s="10" t="s">
        <v>14</v>
      </c>
      <c r="D1232" s="10" t="s">
        <v>9</v>
      </c>
      <c r="E1232" s="4">
        <v>1</v>
      </c>
      <c r="F1232" s="4">
        <v>1017</v>
      </c>
      <c r="G1232" s="9">
        <v>209.97</v>
      </c>
    </row>
    <row r="1233" spans="1:7" ht="15.6" x14ac:dyDescent="0.3">
      <c r="A1233" s="16">
        <v>44957</v>
      </c>
      <c r="B1233" s="10" t="s">
        <v>21</v>
      </c>
      <c r="C1233" s="10" t="s">
        <v>14</v>
      </c>
      <c r="D1233" s="10" t="s">
        <v>16</v>
      </c>
      <c r="E1233" s="4">
        <v>6</v>
      </c>
      <c r="F1233" s="4">
        <v>1578</v>
      </c>
      <c r="G1233" s="9">
        <v>82.85</v>
      </c>
    </row>
    <row r="1234" spans="1:7" ht="15.6" x14ac:dyDescent="0.3">
      <c r="A1234" s="16">
        <v>45208</v>
      </c>
      <c r="B1234" s="10" t="s">
        <v>21</v>
      </c>
      <c r="C1234" s="10" t="s">
        <v>14</v>
      </c>
      <c r="D1234" s="10" t="s">
        <v>15</v>
      </c>
      <c r="E1234" s="4">
        <v>2</v>
      </c>
      <c r="F1234" s="4">
        <v>912</v>
      </c>
      <c r="G1234" s="9">
        <v>161.37</v>
      </c>
    </row>
    <row r="1235" spans="1:7" ht="15.6" x14ac:dyDescent="0.3">
      <c r="A1235" s="16">
        <v>45411</v>
      </c>
      <c r="B1235" s="10" t="s">
        <v>23</v>
      </c>
      <c r="C1235" s="10" t="s">
        <v>14</v>
      </c>
      <c r="D1235" s="10" t="s">
        <v>16</v>
      </c>
      <c r="E1235" s="4">
        <v>6</v>
      </c>
      <c r="F1235" s="4">
        <v>2520</v>
      </c>
      <c r="G1235" s="9">
        <v>182.59</v>
      </c>
    </row>
    <row r="1236" spans="1:7" ht="15.6" x14ac:dyDescent="0.3">
      <c r="A1236" s="16">
        <v>45632</v>
      </c>
      <c r="B1236" s="10" t="s">
        <v>10</v>
      </c>
      <c r="C1236" s="10" t="s">
        <v>11</v>
      </c>
      <c r="D1236" s="10" t="s">
        <v>12</v>
      </c>
      <c r="E1236" s="4">
        <v>8</v>
      </c>
      <c r="F1236" s="4">
        <v>2632</v>
      </c>
      <c r="G1236" s="9">
        <v>262.55</v>
      </c>
    </row>
    <row r="1237" spans="1:7" ht="15.6" x14ac:dyDescent="0.3">
      <c r="A1237" s="16">
        <v>45117</v>
      </c>
      <c r="B1237" s="10" t="s">
        <v>20</v>
      </c>
      <c r="C1237" s="10" t="s">
        <v>11</v>
      </c>
      <c r="D1237" s="10" t="s">
        <v>16</v>
      </c>
      <c r="E1237" s="4">
        <v>6</v>
      </c>
      <c r="F1237" s="4">
        <v>6582</v>
      </c>
      <c r="G1237" s="9">
        <v>729.68</v>
      </c>
    </row>
    <row r="1238" spans="1:7" ht="15.6" x14ac:dyDescent="0.3">
      <c r="A1238" s="16">
        <v>45307</v>
      </c>
      <c r="B1238" s="10" t="s">
        <v>17</v>
      </c>
      <c r="C1238" s="10" t="s">
        <v>14</v>
      </c>
      <c r="D1238" s="10" t="s">
        <v>12</v>
      </c>
      <c r="E1238" s="4">
        <v>8</v>
      </c>
      <c r="F1238" s="4">
        <v>3432</v>
      </c>
      <c r="G1238" s="9">
        <v>172.69</v>
      </c>
    </row>
    <row r="1239" spans="1:7" ht="15.6" x14ac:dyDescent="0.3">
      <c r="A1239" s="16">
        <v>45179</v>
      </c>
      <c r="B1239" s="10" t="s">
        <v>22</v>
      </c>
      <c r="C1239" s="10" t="s">
        <v>11</v>
      </c>
      <c r="D1239" s="10" t="s">
        <v>15</v>
      </c>
      <c r="E1239" s="4">
        <v>2</v>
      </c>
      <c r="F1239" s="4">
        <v>1030</v>
      </c>
      <c r="G1239" s="9">
        <v>254.65</v>
      </c>
    </row>
    <row r="1240" spans="1:7" ht="15.6" x14ac:dyDescent="0.3">
      <c r="A1240" s="16">
        <v>44847</v>
      </c>
      <c r="B1240" s="10" t="s">
        <v>10</v>
      </c>
      <c r="C1240" s="10" t="s">
        <v>11</v>
      </c>
      <c r="D1240" s="10" t="s">
        <v>16</v>
      </c>
      <c r="E1240" s="4">
        <v>8</v>
      </c>
      <c r="F1240" s="4">
        <v>1192</v>
      </c>
      <c r="G1240" s="9">
        <v>289.91000000000003</v>
      </c>
    </row>
    <row r="1241" spans="1:7" ht="15.6" x14ac:dyDescent="0.3">
      <c r="A1241" s="16">
        <v>45497</v>
      </c>
      <c r="B1241" s="10" t="s">
        <v>7</v>
      </c>
      <c r="C1241" s="10" t="s">
        <v>8</v>
      </c>
      <c r="D1241" s="10" t="s">
        <v>16</v>
      </c>
      <c r="E1241" s="4">
        <v>9</v>
      </c>
      <c r="F1241" s="4">
        <v>7083</v>
      </c>
      <c r="G1241" s="9">
        <v>994.47</v>
      </c>
    </row>
    <row r="1242" spans="1:7" ht="15.6" x14ac:dyDescent="0.3">
      <c r="A1242" s="16">
        <v>44614</v>
      </c>
      <c r="B1242" s="10" t="s">
        <v>7</v>
      </c>
      <c r="C1242" s="10" t="s">
        <v>8</v>
      </c>
      <c r="D1242" s="10" t="s">
        <v>15</v>
      </c>
      <c r="E1242" s="4">
        <v>7</v>
      </c>
      <c r="F1242" s="4">
        <v>3675</v>
      </c>
      <c r="G1242" s="9">
        <v>227.14</v>
      </c>
    </row>
    <row r="1243" spans="1:7" ht="15.6" x14ac:dyDescent="0.3">
      <c r="A1243" s="16">
        <v>45229</v>
      </c>
      <c r="B1243" s="10" t="s">
        <v>20</v>
      </c>
      <c r="C1243" s="10" t="s">
        <v>11</v>
      </c>
      <c r="D1243" s="10" t="s">
        <v>9</v>
      </c>
      <c r="E1243" s="4">
        <v>4</v>
      </c>
      <c r="F1243" s="4">
        <v>4740</v>
      </c>
      <c r="G1243" s="9">
        <v>833.27</v>
      </c>
    </row>
    <row r="1244" spans="1:7" ht="15.6" x14ac:dyDescent="0.3">
      <c r="A1244" s="16">
        <v>45396</v>
      </c>
      <c r="B1244" s="10" t="s">
        <v>18</v>
      </c>
      <c r="C1244" s="10" t="s">
        <v>11</v>
      </c>
      <c r="D1244" s="10" t="s">
        <v>12</v>
      </c>
      <c r="E1244" s="4">
        <v>4</v>
      </c>
      <c r="F1244" s="4">
        <v>1716</v>
      </c>
      <c r="G1244" s="9">
        <v>364.96</v>
      </c>
    </row>
    <row r="1245" spans="1:7" ht="15.6" x14ac:dyDescent="0.3">
      <c r="A1245" s="16">
        <v>44964</v>
      </c>
      <c r="B1245" s="10" t="s">
        <v>7</v>
      </c>
      <c r="C1245" s="10" t="s">
        <v>8</v>
      </c>
      <c r="D1245" s="10" t="s">
        <v>15</v>
      </c>
      <c r="E1245" s="4">
        <v>7</v>
      </c>
      <c r="F1245" s="4">
        <v>3528</v>
      </c>
      <c r="G1245" s="9">
        <v>260.06</v>
      </c>
    </row>
    <row r="1246" spans="1:7" ht="15.6" x14ac:dyDescent="0.3">
      <c r="A1246" s="16">
        <v>44734</v>
      </c>
      <c r="B1246" s="10" t="s">
        <v>17</v>
      </c>
      <c r="C1246" s="10" t="s">
        <v>14</v>
      </c>
      <c r="D1246" s="10" t="s">
        <v>15</v>
      </c>
      <c r="E1246" s="4">
        <v>3</v>
      </c>
      <c r="F1246" s="4">
        <v>777</v>
      </c>
      <c r="G1246" s="9">
        <v>71.72</v>
      </c>
    </row>
    <row r="1247" spans="1:7" ht="15.6" x14ac:dyDescent="0.3">
      <c r="A1247" s="16">
        <v>44680</v>
      </c>
      <c r="B1247" s="10" t="s">
        <v>17</v>
      </c>
      <c r="C1247" s="10" t="s">
        <v>14</v>
      </c>
      <c r="D1247" s="10" t="s">
        <v>12</v>
      </c>
      <c r="E1247" s="4">
        <v>4</v>
      </c>
      <c r="F1247" s="4">
        <v>3368</v>
      </c>
      <c r="G1247" s="9">
        <v>558.92999999999995</v>
      </c>
    </row>
    <row r="1248" spans="1:7" ht="15.6" x14ac:dyDescent="0.3">
      <c r="A1248" s="16">
        <v>44845</v>
      </c>
      <c r="B1248" s="10" t="s">
        <v>13</v>
      </c>
      <c r="C1248" s="10" t="s">
        <v>14</v>
      </c>
      <c r="D1248" s="10" t="s">
        <v>9</v>
      </c>
      <c r="E1248" s="4">
        <v>4</v>
      </c>
      <c r="F1248" s="4">
        <v>4240</v>
      </c>
      <c r="G1248" s="9">
        <v>251.46</v>
      </c>
    </row>
    <row r="1249" spans="1:7" ht="15.6" x14ac:dyDescent="0.3">
      <c r="A1249" s="16">
        <v>44666</v>
      </c>
      <c r="B1249" s="10" t="s">
        <v>23</v>
      </c>
      <c r="C1249" s="10" t="s">
        <v>14</v>
      </c>
      <c r="D1249" s="10" t="s">
        <v>15</v>
      </c>
      <c r="E1249" s="4">
        <v>3</v>
      </c>
      <c r="F1249" s="4">
        <v>3285</v>
      </c>
      <c r="G1249" s="9">
        <v>292.87</v>
      </c>
    </row>
    <row r="1250" spans="1:7" ht="15.6" x14ac:dyDescent="0.3">
      <c r="A1250" s="16">
        <v>44940</v>
      </c>
      <c r="B1250" s="10" t="s">
        <v>21</v>
      </c>
      <c r="C1250" s="10" t="s">
        <v>14</v>
      </c>
      <c r="D1250" s="10" t="s">
        <v>15</v>
      </c>
      <c r="E1250" s="4">
        <v>6</v>
      </c>
      <c r="F1250" s="4">
        <v>4872</v>
      </c>
      <c r="G1250" s="9">
        <v>612.73</v>
      </c>
    </row>
    <row r="1251" spans="1:7" ht="15.6" x14ac:dyDescent="0.3">
      <c r="A1251" s="16">
        <v>44797</v>
      </c>
      <c r="B1251" s="10" t="s">
        <v>21</v>
      </c>
      <c r="C1251" s="10" t="s">
        <v>14</v>
      </c>
      <c r="D1251" s="10" t="s">
        <v>12</v>
      </c>
      <c r="E1251" s="4">
        <v>9</v>
      </c>
      <c r="F1251" s="4">
        <v>2466</v>
      </c>
      <c r="G1251" s="9">
        <v>638.41</v>
      </c>
    </row>
    <row r="1252" spans="1:7" ht="15.6" x14ac:dyDescent="0.3">
      <c r="A1252" s="16">
        <v>45591</v>
      </c>
      <c r="B1252" s="10" t="s">
        <v>13</v>
      </c>
      <c r="C1252" s="10" t="s">
        <v>14</v>
      </c>
      <c r="D1252" s="10" t="s">
        <v>16</v>
      </c>
      <c r="E1252" s="4">
        <v>5</v>
      </c>
      <c r="F1252" s="4">
        <v>2465</v>
      </c>
      <c r="G1252" s="9">
        <v>497.19</v>
      </c>
    </row>
    <row r="1253" spans="1:7" ht="15.6" x14ac:dyDescent="0.3">
      <c r="A1253" s="16">
        <v>45061</v>
      </c>
      <c r="B1253" s="10" t="s">
        <v>13</v>
      </c>
      <c r="C1253" s="10" t="s">
        <v>14</v>
      </c>
      <c r="D1253" s="10" t="s">
        <v>9</v>
      </c>
      <c r="E1253" s="4">
        <v>3</v>
      </c>
      <c r="F1253" s="4">
        <v>612</v>
      </c>
      <c r="G1253" s="9">
        <v>40.15</v>
      </c>
    </row>
    <row r="1254" spans="1:7" ht="15.6" x14ac:dyDescent="0.3">
      <c r="A1254" s="16">
        <v>44859</v>
      </c>
      <c r="B1254" s="10" t="s">
        <v>13</v>
      </c>
      <c r="C1254" s="10" t="s">
        <v>14</v>
      </c>
      <c r="D1254" s="10" t="s">
        <v>15</v>
      </c>
      <c r="E1254" s="4">
        <v>5</v>
      </c>
      <c r="F1254" s="4">
        <v>4170</v>
      </c>
      <c r="G1254" s="9">
        <v>658.98</v>
      </c>
    </row>
    <row r="1255" spans="1:7" ht="15.6" x14ac:dyDescent="0.3">
      <c r="A1255" s="16">
        <v>44998</v>
      </c>
      <c r="B1255" s="10" t="s">
        <v>17</v>
      </c>
      <c r="C1255" s="10" t="s">
        <v>14</v>
      </c>
      <c r="D1255" s="10" t="s">
        <v>15</v>
      </c>
      <c r="E1255" s="4">
        <v>8</v>
      </c>
      <c r="F1255" s="4">
        <v>1088</v>
      </c>
      <c r="G1255" s="9">
        <v>160.33000000000001</v>
      </c>
    </row>
    <row r="1256" spans="1:7" ht="15.6" x14ac:dyDescent="0.3">
      <c r="A1256" s="16">
        <v>45503</v>
      </c>
      <c r="B1256" s="10" t="s">
        <v>22</v>
      </c>
      <c r="C1256" s="10" t="s">
        <v>11</v>
      </c>
      <c r="D1256" s="10" t="s">
        <v>16</v>
      </c>
      <c r="E1256" s="4">
        <v>2</v>
      </c>
      <c r="F1256" s="4">
        <v>1626</v>
      </c>
      <c r="G1256" s="9">
        <v>354.49</v>
      </c>
    </row>
    <row r="1257" spans="1:7" ht="15.6" x14ac:dyDescent="0.3">
      <c r="A1257" s="16">
        <v>45236</v>
      </c>
      <c r="B1257" s="10" t="s">
        <v>21</v>
      </c>
      <c r="C1257" s="10" t="s">
        <v>14</v>
      </c>
      <c r="D1257" s="10" t="s">
        <v>9</v>
      </c>
      <c r="E1257" s="4">
        <v>6</v>
      </c>
      <c r="F1257" s="4">
        <v>6486</v>
      </c>
      <c r="G1257" s="9">
        <v>359.49</v>
      </c>
    </row>
    <row r="1258" spans="1:7" ht="15.6" x14ac:dyDescent="0.3">
      <c r="A1258" s="16">
        <v>44909</v>
      </c>
      <c r="B1258" s="10" t="s">
        <v>20</v>
      </c>
      <c r="C1258" s="10" t="s">
        <v>11</v>
      </c>
      <c r="D1258" s="10" t="s">
        <v>16</v>
      </c>
      <c r="E1258" s="4">
        <v>8</v>
      </c>
      <c r="F1258" s="4">
        <v>6968</v>
      </c>
      <c r="G1258" s="9">
        <v>1226.22</v>
      </c>
    </row>
    <row r="1259" spans="1:7" ht="15.6" x14ac:dyDescent="0.3">
      <c r="A1259" s="16">
        <v>45294</v>
      </c>
      <c r="B1259" s="10" t="s">
        <v>21</v>
      </c>
      <c r="C1259" s="10" t="s">
        <v>14</v>
      </c>
      <c r="D1259" s="10" t="s">
        <v>9</v>
      </c>
      <c r="E1259" s="4">
        <v>1</v>
      </c>
      <c r="F1259" s="4">
        <v>357</v>
      </c>
      <c r="G1259" s="9">
        <v>82.86</v>
      </c>
    </row>
    <row r="1260" spans="1:7" ht="15.6" x14ac:dyDescent="0.3">
      <c r="A1260" s="16">
        <v>45339</v>
      </c>
      <c r="B1260" s="10" t="s">
        <v>23</v>
      </c>
      <c r="C1260" s="10" t="s">
        <v>14</v>
      </c>
      <c r="D1260" s="10" t="s">
        <v>15</v>
      </c>
      <c r="E1260" s="4">
        <v>1</v>
      </c>
      <c r="F1260" s="4">
        <v>454</v>
      </c>
      <c r="G1260" s="9">
        <v>58.4</v>
      </c>
    </row>
    <row r="1261" spans="1:7" ht="15.6" x14ac:dyDescent="0.3">
      <c r="A1261" s="16">
        <v>45386</v>
      </c>
      <c r="B1261" s="10" t="s">
        <v>13</v>
      </c>
      <c r="C1261" s="10" t="s">
        <v>14</v>
      </c>
      <c r="D1261" s="10" t="s">
        <v>12</v>
      </c>
      <c r="E1261" s="4">
        <v>3</v>
      </c>
      <c r="F1261" s="4">
        <v>3582</v>
      </c>
      <c r="G1261" s="9">
        <v>501.47</v>
      </c>
    </row>
    <row r="1262" spans="1:7" ht="15.6" x14ac:dyDescent="0.3">
      <c r="A1262" s="16">
        <v>45468</v>
      </c>
      <c r="B1262" s="10" t="s">
        <v>13</v>
      </c>
      <c r="C1262" s="10" t="s">
        <v>14</v>
      </c>
      <c r="D1262" s="10" t="s">
        <v>16</v>
      </c>
      <c r="E1262" s="4">
        <v>9</v>
      </c>
      <c r="F1262" s="4">
        <v>3762</v>
      </c>
      <c r="G1262" s="9">
        <v>484.75</v>
      </c>
    </row>
    <row r="1263" spans="1:7" ht="15.6" x14ac:dyDescent="0.3">
      <c r="A1263" s="16">
        <v>45596</v>
      </c>
      <c r="B1263" s="10" t="s">
        <v>19</v>
      </c>
      <c r="C1263" s="10" t="s">
        <v>14</v>
      </c>
      <c r="D1263" s="10" t="s">
        <v>15</v>
      </c>
      <c r="E1263" s="4">
        <v>9</v>
      </c>
      <c r="F1263" s="4">
        <v>6642</v>
      </c>
      <c r="G1263" s="9">
        <v>394.48</v>
      </c>
    </row>
    <row r="1264" spans="1:7" ht="15.6" x14ac:dyDescent="0.3">
      <c r="A1264" s="16">
        <v>45560</v>
      </c>
      <c r="B1264" s="10" t="s">
        <v>20</v>
      </c>
      <c r="C1264" s="10" t="s">
        <v>11</v>
      </c>
      <c r="D1264" s="10" t="s">
        <v>16</v>
      </c>
      <c r="E1264" s="4">
        <v>4</v>
      </c>
      <c r="F1264" s="4">
        <v>408</v>
      </c>
      <c r="G1264" s="9">
        <v>45.2</v>
      </c>
    </row>
    <row r="1265" spans="1:7" ht="15.6" x14ac:dyDescent="0.3">
      <c r="A1265" s="16">
        <v>45359</v>
      </c>
      <c r="B1265" s="10" t="s">
        <v>13</v>
      </c>
      <c r="C1265" s="10" t="s">
        <v>14</v>
      </c>
      <c r="D1265" s="10" t="s">
        <v>16</v>
      </c>
      <c r="E1265" s="4">
        <v>1</v>
      </c>
      <c r="F1265" s="4">
        <v>105</v>
      </c>
      <c r="G1265" s="9">
        <v>25.26</v>
      </c>
    </row>
    <row r="1266" spans="1:7" ht="15.6" x14ac:dyDescent="0.3">
      <c r="A1266" s="16">
        <v>45416</v>
      </c>
      <c r="B1266" s="10" t="s">
        <v>13</v>
      </c>
      <c r="C1266" s="10" t="s">
        <v>14</v>
      </c>
      <c r="D1266" s="10" t="s">
        <v>16</v>
      </c>
      <c r="E1266" s="4">
        <v>3</v>
      </c>
      <c r="F1266" s="4">
        <v>2682</v>
      </c>
      <c r="G1266" s="9">
        <v>584.69000000000005</v>
      </c>
    </row>
    <row r="1267" spans="1:7" ht="15.6" x14ac:dyDescent="0.3">
      <c r="A1267" s="16">
        <v>44753</v>
      </c>
      <c r="B1267" s="10" t="s">
        <v>22</v>
      </c>
      <c r="C1267" s="10" t="s">
        <v>11</v>
      </c>
      <c r="D1267" s="10" t="s">
        <v>12</v>
      </c>
      <c r="E1267" s="4">
        <v>7</v>
      </c>
      <c r="F1267" s="4">
        <v>497</v>
      </c>
      <c r="G1267" s="9">
        <v>76.31</v>
      </c>
    </row>
    <row r="1268" spans="1:7" ht="15.6" x14ac:dyDescent="0.3">
      <c r="A1268" s="16">
        <v>44792</v>
      </c>
      <c r="B1268" s="10" t="s">
        <v>7</v>
      </c>
      <c r="C1268" s="10" t="s">
        <v>8</v>
      </c>
      <c r="D1268" s="10" t="s">
        <v>15</v>
      </c>
      <c r="E1268" s="4">
        <v>7</v>
      </c>
      <c r="F1268" s="4">
        <v>4823</v>
      </c>
      <c r="G1268" s="9">
        <v>420.58</v>
      </c>
    </row>
    <row r="1269" spans="1:7" ht="15.6" x14ac:dyDescent="0.3">
      <c r="A1269" s="16">
        <v>45566</v>
      </c>
      <c r="B1269" s="10" t="s">
        <v>19</v>
      </c>
      <c r="C1269" s="10" t="s">
        <v>14</v>
      </c>
      <c r="D1269" s="10" t="s">
        <v>9</v>
      </c>
      <c r="E1269" s="4">
        <v>8</v>
      </c>
      <c r="F1269" s="4">
        <v>4048</v>
      </c>
      <c r="G1269" s="9">
        <v>666.1</v>
      </c>
    </row>
    <row r="1270" spans="1:7" ht="15.6" x14ac:dyDescent="0.3">
      <c r="A1270" s="16">
        <v>45218</v>
      </c>
      <c r="B1270" s="10" t="s">
        <v>7</v>
      </c>
      <c r="C1270" s="10" t="s">
        <v>8</v>
      </c>
      <c r="D1270" s="10" t="s">
        <v>15</v>
      </c>
      <c r="E1270" s="4">
        <v>7</v>
      </c>
      <c r="F1270" s="4">
        <v>2758</v>
      </c>
      <c r="G1270" s="9">
        <v>459.02</v>
      </c>
    </row>
    <row r="1271" spans="1:7" ht="15.6" x14ac:dyDescent="0.3">
      <c r="A1271" s="16">
        <v>44918</v>
      </c>
      <c r="B1271" s="10" t="s">
        <v>21</v>
      </c>
      <c r="C1271" s="10" t="s">
        <v>14</v>
      </c>
      <c r="D1271" s="10" t="s">
        <v>9</v>
      </c>
      <c r="E1271" s="4">
        <v>8</v>
      </c>
      <c r="F1271" s="4">
        <v>4096</v>
      </c>
      <c r="G1271" s="9">
        <v>266.35000000000002</v>
      </c>
    </row>
    <row r="1272" spans="1:7" ht="15.6" x14ac:dyDescent="0.3">
      <c r="A1272" s="16">
        <v>45576</v>
      </c>
      <c r="B1272" s="10" t="s">
        <v>7</v>
      </c>
      <c r="C1272" s="10" t="s">
        <v>8</v>
      </c>
      <c r="D1272" s="10" t="s">
        <v>9</v>
      </c>
      <c r="E1272" s="4">
        <v>8</v>
      </c>
      <c r="F1272" s="4">
        <v>7264</v>
      </c>
      <c r="G1272" s="9">
        <v>1318</v>
      </c>
    </row>
    <row r="1273" spans="1:7" ht="15.6" x14ac:dyDescent="0.3">
      <c r="A1273" s="16">
        <v>44660</v>
      </c>
      <c r="B1273" s="10" t="s">
        <v>10</v>
      </c>
      <c r="C1273" s="10" t="s">
        <v>11</v>
      </c>
      <c r="D1273" s="10" t="s">
        <v>12</v>
      </c>
      <c r="E1273" s="4">
        <v>6</v>
      </c>
      <c r="F1273" s="4">
        <v>4302</v>
      </c>
      <c r="G1273" s="9">
        <v>957.38</v>
      </c>
    </row>
    <row r="1274" spans="1:7" ht="15.6" x14ac:dyDescent="0.3">
      <c r="A1274" s="16">
        <v>44623</v>
      </c>
      <c r="B1274" s="10" t="s">
        <v>7</v>
      </c>
      <c r="C1274" s="10" t="s">
        <v>8</v>
      </c>
      <c r="D1274" s="10" t="s">
        <v>9</v>
      </c>
      <c r="E1274" s="4">
        <v>7</v>
      </c>
      <c r="F1274" s="4">
        <v>3297</v>
      </c>
      <c r="G1274" s="9">
        <v>583.86</v>
      </c>
    </row>
    <row r="1275" spans="1:7" ht="15.6" x14ac:dyDescent="0.3">
      <c r="A1275" s="16">
        <v>44953</v>
      </c>
      <c r="B1275" s="10" t="s">
        <v>7</v>
      </c>
      <c r="C1275" s="10" t="s">
        <v>8</v>
      </c>
      <c r="D1275" s="10" t="s">
        <v>9</v>
      </c>
      <c r="E1275" s="4">
        <v>5</v>
      </c>
      <c r="F1275" s="4">
        <v>5960</v>
      </c>
      <c r="G1275" s="9">
        <v>1139.78</v>
      </c>
    </row>
    <row r="1276" spans="1:7" ht="15.6" x14ac:dyDescent="0.3">
      <c r="A1276" s="16">
        <v>45313</v>
      </c>
      <c r="B1276" s="10" t="s">
        <v>22</v>
      </c>
      <c r="C1276" s="10" t="s">
        <v>11</v>
      </c>
      <c r="D1276" s="10" t="s">
        <v>16</v>
      </c>
      <c r="E1276" s="4">
        <v>1</v>
      </c>
      <c r="F1276" s="4">
        <v>386</v>
      </c>
      <c r="G1276" s="9">
        <v>114.9</v>
      </c>
    </row>
    <row r="1277" spans="1:7" ht="15.6" x14ac:dyDescent="0.3">
      <c r="A1277" s="16">
        <v>44581</v>
      </c>
      <c r="B1277" s="10" t="s">
        <v>7</v>
      </c>
      <c r="C1277" s="10" t="s">
        <v>8</v>
      </c>
      <c r="D1277" s="10" t="s">
        <v>16</v>
      </c>
      <c r="E1277" s="4">
        <v>1</v>
      </c>
      <c r="F1277" s="4">
        <v>684</v>
      </c>
      <c r="G1277" s="9">
        <v>170.36</v>
      </c>
    </row>
    <row r="1278" spans="1:7" ht="15.6" x14ac:dyDescent="0.3">
      <c r="A1278" s="16">
        <v>44727</v>
      </c>
      <c r="B1278" s="10" t="s">
        <v>23</v>
      </c>
      <c r="C1278" s="10" t="s">
        <v>14</v>
      </c>
      <c r="D1278" s="10" t="s">
        <v>15</v>
      </c>
      <c r="E1278" s="4">
        <v>3</v>
      </c>
      <c r="F1278" s="4">
        <v>1275</v>
      </c>
      <c r="G1278" s="9">
        <v>168.64</v>
      </c>
    </row>
    <row r="1279" spans="1:7" ht="15.6" x14ac:dyDescent="0.3">
      <c r="A1279" s="16">
        <v>45064</v>
      </c>
      <c r="B1279" s="10" t="s">
        <v>10</v>
      </c>
      <c r="C1279" s="10" t="s">
        <v>11</v>
      </c>
      <c r="D1279" s="10" t="s">
        <v>9</v>
      </c>
      <c r="E1279" s="4">
        <v>9</v>
      </c>
      <c r="F1279" s="4">
        <v>5949</v>
      </c>
      <c r="G1279" s="9">
        <v>368.51</v>
      </c>
    </row>
    <row r="1280" spans="1:7" ht="15.6" x14ac:dyDescent="0.3">
      <c r="A1280" s="16">
        <v>44963</v>
      </c>
      <c r="B1280" s="10" t="s">
        <v>17</v>
      </c>
      <c r="C1280" s="10" t="s">
        <v>14</v>
      </c>
      <c r="D1280" s="10" t="s">
        <v>12</v>
      </c>
      <c r="E1280" s="4">
        <v>7</v>
      </c>
      <c r="F1280" s="4">
        <v>5159</v>
      </c>
      <c r="G1280" s="9">
        <v>755.22</v>
      </c>
    </row>
    <row r="1281" spans="1:7" ht="15.6" x14ac:dyDescent="0.3">
      <c r="A1281" s="16">
        <v>44743</v>
      </c>
      <c r="B1281" s="10" t="s">
        <v>20</v>
      </c>
      <c r="C1281" s="10" t="s">
        <v>11</v>
      </c>
      <c r="D1281" s="10" t="s">
        <v>9</v>
      </c>
      <c r="E1281" s="4">
        <v>4</v>
      </c>
      <c r="F1281" s="4">
        <v>1100</v>
      </c>
      <c r="G1281" s="9">
        <v>127.13</v>
      </c>
    </row>
    <row r="1282" spans="1:7" ht="15.6" x14ac:dyDescent="0.3">
      <c r="A1282" s="16">
        <v>45317</v>
      </c>
      <c r="B1282" s="10" t="s">
        <v>10</v>
      </c>
      <c r="C1282" s="10" t="s">
        <v>11</v>
      </c>
      <c r="D1282" s="10" t="s">
        <v>15</v>
      </c>
      <c r="E1282" s="4">
        <v>2</v>
      </c>
      <c r="F1282" s="4">
        <v>290</v>
      </c>
      <c r="G1282" s="9">
        <v>50.23</v>
      </c>
    </row>
    <row r="1283" spans="1:7" ht="15.6" x14ac:dyDescent="0.3">
      <c r="A1283" s="16">
        <v>45143</v>
      </c>
      <c r="B1283" s="10" t="s">
        <v>19</v>
      </c>
      <c r="C1283" s="10" t="s">
        <v>14</v>
      </c>
      <c r="D1283" s="10" t="s">
        <v>12</v>
      </c>
      <c r="E1283" s="4">
        <v>8</v>
      </c>
      <c r="F1283" s="4">
        <v>7144</v>
      </c>
      <c r="G1283" s="9">
        <v>492.1</v>
      </c>
    </row>
    <row r="1284" spans="1:7" ht="15.6" x14ac:dyDescent="0.3">
      <c r="A1284" s="16">
        <v>44782</v>
      </c>
      <c r="B1284" s="10" t="s">
        <v>22</v>
      </c>
      <c r="C1284" s="10" t="s">
        <v>11</v>
      </c>
      <c r="D1284" s="10" t="s">
        <v>16</v>
      </c>
      <c r="E1284" s="4">
        <v>5</v>
      </c>
      <c r="F1284" s="4">
        <v>4200</v>
      </c>
      <c r="G1284" s="9">
        <v>330.48</v>
      </c>
    </row>
    <row r="1285" spans="1:7" ht="15.6" x14ac:dyDescent="0.3">
      <c r="A1285" s="16">
        <v>44600</v>
      </c>
      <c r="B1285" s="10" t="s">
        <v>20</v>
      </c>
      <c r="C1285" s="10" t="s">
        <v>11</v>
      </c>
      <c r="D1285" s="10" t="s">
        <v>9</v>
      </c>
      <c r="E1285" s="4">
        <v>6</v>
      </c>
      <c r="F1285" s="4">
        <v>5022</v>
      </c>
      <c r="G1285" s="9">
        <v>291.89</v>
      </c>
    </row>
    <row r="1286" spans="1:7" ht="15.6" x14ac:dyDescent="0.3">
      <c r="A1286" s="16">
        <v>45639</v>
      </c>
      <c r="B1286" s="10" t="s">
        <v>21</v>
      </c>
      <c r="C1286" s="10" t="s">
        <v>14</v>
      </c>
      <c r="D1286" s="10" t="s">
        <v>16</v>
      </c>
      <c r="E1286" s="4">
        <v>2</v>
      </c>
      <c r="F1286" s="4">
        <v>2354</v>
      </c>
      <c r="G1286" s="9">
        <v>371.34</v>
      </c>
    </row>
    <row r="1287" spans="1:7" ht="15.6" x14ac:dyDescent="0.3">
      <c r="A1287" s="16">
        <v>45575</v>
      </c>
      <c r="B1287" s="10" t="s">
        <v>21</v>
      </c>
      <c r="C1287" s="10" t="s">
        <v>14</v>
      </c>
      <c r="D1287" s="10" t="s">
        <v>15</v>
      </c>
      <c r="E1287" s="4">
        <v>2</v>
      </c>
      <c r="F1287" s="4">
        <v>2032</v>
      </c>
      <c r="G1287" s="9">
        <v>149.69999999999999</v>
      </c>
    </row>
    <row r="1288" spans="1:7" ht="15.6" x14ac:dyDescent="0.3">
      <c r="A1288" s="16">
        <v>45580</v>
      </c>
      <c r="B1288" s="10" t="s">
        <v>7</v>
      </c>
      <c r="C1288" s="10" t="s">
        <v>8</v>
      </c>
      <c r="D1288" s="10" t="s">
        <v>15</v>
      </c>
      <c r="E1288" s="4">
        <v>8</v>
      </c>
      <c r="F1288" s="4">
        <v>9528</v>
      </c>
      <c r="G1288" s="9">
        <v>1942.35</v>
      </c>
    </row>
    <row r="1289" spans="1:7" ht="15.6" x14ac:dyDescent="0.3">
      <c r="A1289" s="16">
        <v>45437</v>
      </c>
      <c r="B1289" s="10" t="s">
        <v>22</v>
      </c>
      <c r="C1289" s="10" t="s">
        <v>11</v>
      </c>
      <c r="D1289" s="10" t="s">
        <v>15</v>
      </c>
      <c r="E1289" s="4">
        <v>2</v>
      </c>
      <c r="F1289" s="4">
        <v>2372</v>
      </c>
      <c r="G1289" s="9">
        <v>275.88</v>
      </c>
    </row>
    <row r="1290" spans="1:7" ht="15.6" x14ac:dyDescent="0.3">
      <c r="A1290" s="16">
        <v>44606</v>
      </c>
      <c r="B1290" s="10" t="s">
        <v>23</v>
      </c>
      <c r="C1290" s="10" t="s">
        <v>14</v>
      </c>
      <c r="D1290" s="10" t="s">
        <v>16</v>
      </c>
      <c r="E1290" s="4">
        <v>3</v>
      </c>
      <c r="F1290" s="4">
        <v>2703</v>
      </c>
      <c r="G1290" s="9">
        <v>609.75</v>
      </c>
    </row>
    <row r="1291" spans="1:7" ht="15.6" x14ac:dyDescent="0.3">
      <c r="A1291" s="16">
        <v>45050</v>
      </c>
      <c r="B1291" s="10" t="s">
        <v>23</v>
      </c>
      <c r="C1291" s="10" t="s">
        <v>14</v>
      </c>
      <c r="D1291" s="10" t="s">
        <v>15</v>
      </c>
      <c r="E1291" s="4">
        <v>4</v>
      </c>
      <c r="F1291" s="4">
        <v>1264</v>
      </c>
      <c r="G1291" s="9">
        <v>267.82</v>
      </c>
    </row>
    <row r="1292" spans="1:7" ht="15.6" x14ac:dyDescent="0.3">
      <c r="A1292" s="16">
        <v>45433</v>
      </c>
      <c r="B1292" s="10" t="s">
        <v>21</v>
      </c>
      <c r="C1292" s="10" t="s">
        <v>14</v>
      </c>
      <c r="D1292" s="10" t="s">
        <v>15</v>
      </c>
      <c r="E1292" s="4">
        <v>4</v>
      </c>
      <c r="F1292" s="4">
        <v>1624</v>
      </c>
      <c r="G1292" s="9">
        <v>333.74</v>
      </c>
    </row>
    <row r="1293" spans="1:7" ht="15.6" x14ac:dyDescent="0.3">
      <c r="A1293" s="16">
        <v>45060</v>
      </c>
      <c r="B1293" s="10" t="s">
        <v>10</v>
      </c>
      <c r="C1293" s="10" t="s">
        <v>11</v>
      </c>
      <c r="D1293" s="10" t="s">
        <v>16</v>
      </c>
      <c r="E1293" s="4">
        <v>8</v>
      </c>
      <c r="F1293" s="4">
        <v>2976</v>
      </c>
      <c r="G1293" s="9">
        <v>507.77</v>
      </c>
    </row>
    <row r="1294" spans="1:7" ht="15.6" x14ac:dyDescent="0.3">
      <c r="A1294" s="16">
        <v>45475</v>
      </c>
      <c r="B1294" s="10" t="s">
        <v>18</v>
      </c>
      <c r="C1294" s="10" t="s">
        <v>11</v>
      </c>
      <c r="D1294" s="10" t="s">
        <v>16</v>
      </c>
      <c r="E1294" s="4">
        <v>6</v>
      </c>
      <c r="F1294" s="4">
        <v>4998</v>
      </c>
      <c r="G1294" s="9">
        <v>863.82</v>
      </c>
    </row>
    <row r="1295" spans="1:7" ht="15.6" x14ac:dyDescent="0.3">
      <c r="A1295" s="16">
        <v>45400</v>
      </c>
      <c r="B1295" s="10" t="s">
        <v>7</v>
      </c>
      <c r="C1295" s="10" t="s">
        <v>8</v>
      </c>
      <c r="D1295" s="10" t="s">
        <v>15</v>
      </c>
      <c r="E1295" s="4">
        <v>1</v>
      </c>
      <c r="F1295" s="4">
        <v>445</v>
      </c>
      <c r="G1295" s="9">
        <v>29.57</v>
      </c>
    </row>
    <row r="1296" spans="1:7" ht="15.6" x14ac:dyDescent="0.3">
      <c r="A1296" s="16">
        <v>44854</v>
      </c>
      <c r="B1296" s="10" t="s">
        <v>7</v>
      </c>
      <c r="C1296" s="10" t="s">
        <v>8</v>
      </c>
      <c r="D1296" s="10" t="s">
        <v>16</v>
      </c>
      <c r="E1296" s="4">
        <v>1</v>
      </c>
      <c r="F1296" s="4">
        <v>98</v>
      </c>
      <c r="G1296" s="9">
        <v>28.57</v>
      </c>
    </row>
    <row r="1297" spans="1:7" ht="15.6" x14ac:dyDescent="0.3">
      <c r="A1297" s="16">
        <v>44795</v>
      </c>
      <c r="B1297" s="10" t="s">
        <v>13</v>
      </c>
      <c r="C1297" s="10" t="s">
        <v>14</v>
      </c>
      <c r="D1297" s="10" t="s">
        <v>9</v>
      </c>
      <c r="E1297" s="4">
        <v>7</v>
      </c>
      <c r="F1297" s="4">
        <v>4102</v>
      </c>
      <c r="G1297" s="9">
        <v>354.03</v>
      </c>
    </row>
    <row r="1298" spans="1:7" ht="15.6" x14ac:dyDescent="0.3">
      <c r="A1298" s="16">
        <v>44572</v>
      </c>
      <c r="B1298" s="10" t="s">
        <v>7</v>
      </c>
      <c r="C1298" s="10" t="s">
        <v>8</v>
      </c>
      <c r="D1298" s="10" t="s">
        <v>9</v>
      </c>
      <c r="E1298" s="4">
        <v>1</v>
      </c>
      <c r="F1298" s="4">
        <v>1016</v>
      </c>
      <c r="G1298" s="9">
        <v>171.31</v>
      </c>
    </row>
    <row r="1299" spans="1:7" ht="15.6" x14ac:dyDescent="0.3">
      <c r="A1299" s="16">
        <v>45156</v>
      </c>
      <c r="B1299" s="10" t="s">
        <v>18</v>
      </c>
      <c r="C1299" s="10" t="s">
        <v>11</v>
      </c>
      <c r="D1299" s="10" t="s">
        <v>15</v>
      </c>
      <c r="E1299" s="4">
        <v>4</v>
      </c>
      <c r="F1299" s="4">
        <v>1960</v>
      </c>
      <c r="G1299" s="9">
        <v>234.88</v>
      </c>
    </row>
    <row r="1300" spans="1:7" ht="15.6" x14ac:dyDescent="0.3">
      <c r="A1300" s="16">
        <v>45550</v>
      </c>
      <c r="B1300" s="10" t="s">
        <v>10</v>
      </c>
      <c r="C1300" s="10" t="s">
        <v>11</v>
      </c>
      <c r="D1300" s="10" t="s">
        <v>16</v>
      </c>
      <c r="E1300" s="4">
        <v>7</v>
      </c>
      <c r="F1300" s="4">
        <v>2751</v>
      </c>
      <c r="G1300" s="9">
        <v>675.95</v>
      </c>
    </row>
    <row r="1301" spans="1:7" ht="15.6" x14ac:dyDescent="0.3">
      <c r="A1301" s="16">
        <v>44757</v>
      </c>
      <c r="B1301" s="10" t="s">
        <v>21</v>
      </c>
      <c r="C1301" s="10" t="s">
        <v>14</v>
      </c>
      <c r="D1301" s="10" t="s">
        <v>12</v>
      </c>
      <c r="E1301" s="4">
        <v>7</v>
      </c>
      <c r="F1301" s="4">
        <v>4032</v>
      </c>
      <c r="G1301" s="9">
        <v>742.98</v>
      </c>
    </row>
    <row r="1302" spans="1:7" ht="15.6" x14ac:dyDescent="0.3">
      <c r="A1302" s="16">
        <v>45501</v>
      </c>
      <c r="B1302" s="10" t="s">
        <v>21</v>
      </c>
      <c r="C1302" s="10" t="s">
        <v>14</v>
      </c>
      <c r="D1302" s="10" t="s">
        <v>16</v>
      </c>
      <c r="E1302" s="4">
        <v>7</v>
      </c>
      <c r="F1302" s="4">
        <v>5978</v>
      </c>
      <c r="G1302" s="9">
        <v>1791.25</v>
      </c>
    </row>
    <row r="1303" spans="1:7" ht="15.6" x14ac:dyDescent="0.3">
      <c r="A1303" s="16">
        <v>45276</v>
      </c>
      <c r="B1303" s="10" t="s">
        <v>18</v>
      </c>
      <c r="C1303" s="10" t="s">
        <v>11</v>
      </c>
      <c r="D1303" s="10" t="s">
        <v>16</v>
      </c>
      <c r="E1303" s="4">
        <v>7</v>
      </c>
      <c r="F1303" s="4">
        <v>8050</v>
      </c>
      <c r="G1303" s="9">
        <v>2129.9699999999998</v>
      </c>
    </row>
    <row r="1304" spans="1:7" ht="15.6" x14ac:dyDescent="0.3">
      <c r="A1304" s="16">
        <v>45436</v>
      </c>
      <c r="B1304" s="10" t="s">
        <v>20</v>
      </c>
      <c r="C1304" s="10" t="s">
        <v>11</v>
      </c>
      <c r="D1304" s="10" t="s">
        <v>12</v>
      </c>
      <c r="E1304" s="4">
        <v>7</v>
      </c>
      <c r="F1304" s="4">
        <v>4648</v>
      </c>
      <c r="G1304" s="9">
        <v>1240.98</v>
      </c>
    </row>
    <row r="1305" spans="1:7" ht="15.6" x14ac:dyDescent="0.3">
      <c r="A1305" s="16">
        <v>44726</v>
      </c>
      <c r="B1305" s="10" t="s">
        <v>21</v>
      </c>
      <c r="C1305" s="10" t="s">
        <v>14</v>
      </c>
      <c r="D1305" s="10" t="s">
        <v>9</v>
      </c>
      <c r="E1305" s="4">
        <v>3</v>
      </c>
      <c r="F1305" s="4">
        <v>1119</v>
      </c>
      <c r="G1305" s="9">
        <v>108.68</v>
      </c>
    </row>
    <row r="1306" spans="1:7" ht="15.6" x14ac:dyDescent="0.3">
      <c r="A1306" s="16">
        <v>45091</v>
      </c>
      <c r="B1306" s="10" t="s">
        <v>7</v>
      </c>
      <c r="C1306" s="10" t="s">
        <v>8</v>
      </c>
      <c r="D1306" s="10" t="s">
        <v>15</v>
      </c>
      <c r="E1306" s="4">
        <v>9</v>
      </c>
      <c r="F1306" s="4">
        <v>2178</v>
      </c>
      <c r="G1306" s="9">
        <v>382.67</v>
      </c>
    </row>
    <row r="1307" spans="1:7" ht="15.6" x14ac:dyDescent="0.3">
      <c r="A1307" s="16">
        <v>45637</v>
      </c>
      <c r="B1307" s="10" t="s">
        <v>23</v>
      </c>
      <c r="C1307" s="10" t="s">
        <v>14</v>
      </c>
      <c r="D1307" s="10" t="s">
        <v>12</v>
      </c>
      <c r="E1307" s="4">
        <v>1</v>
      </c>
      <c r="F1307" s="4">
        <v>918</v>
      </c>
      <c r="G1307" s="9">
        <v>180.31</v>
      </c>
    </row>
    <row r="1308" spans="1:7" ht="15.6" x14ac:dyDescent="0.3">
      <c r="A1308" s="16">
        <v>44962</v>
      </c>
      <c r="B1308" s="10" t="s">
        <v>21</v>
      </c>
      <c r="C1308" s="10" t="s">
        <v>14</v>
      </c>
      <c r="D1308" s="10" t="s">
        <v>12</v>
      </c>
      <c r="E1308" s="4">
        <v>9</v>
      </c>
      <c r="F1308" s="4">
        <v>6903</v>
      </c>
      <c r="G1308" s="9">
        <v>837.35</v>
      </c>
    </row>
    <row r="1309" spans="1:7" ht="15.6" x14ac:dyDescent="0.3">
      <c r="A1309" s="16">
        <v>45159</v>
      </c>
      <c r="B1309" s="10" t="s">
        <v>22</v>
      </c>
      <c r="C1309" s="10" t="s">
        <v>11</v>
      </c>
      <c r="D1309" s="10" t="s">
        <v>9</v>
      </c>
      <c r="E1309" s="4">
        <v>5</v>
      </c>
      <c r="F1309" s="4">
        <v>4855</v>
      </c>
      <c r="G1309" s="9">
        <v>534.23</v>
      </c>
    </row>
    <row r="1310" spans="1:7" ht="15.6" x14ac:dyDescent="0.3">
      <c r="A1310" s="16">
        <v>45278</v>
      </c>
      <c r="B1310" s="10" t="s">
        <v>17</v>
      </c>
      <c r="C1310" s="10" t="s">
        <v>14</v>
      </c>
      <c r="D1310" s="10" t="s">
        <v>15</v>
      </c>
      <c r="E1310" s="4">
        <v>2</v>
      </c>
      <c r="F1310" s="4">
        <v>2158</v>
      </c>
      <c r="G1310" s="9">
        <v>483.94</v>
      </c>
    </row>
    <row r="1311" spans="1:7" ht="15.6" x14ac:dyDescent="0.3">
      <c r="A1311" s="16">
        <v>45029</v>
      </c>
      <c r="B1311" s="10" t="s">
        <v>10</v>
      </c>
      <c r="C1311" s="10" t="s">
        <v>11</v>
      </c>
      <c r="D1311" s="10" t="s">
        <v>9</v>
      </c>
      <c r="E1311" s="4">
        <v>7</v>
      </c>
      <c r="F1311" s="4">
        <v>4550</v>
      </c>
      <c r="G1311" s="9">
        <v>1077.8</v>
      </c>
    </row>
    <row r="1312" spans="1:7" ht="15.6" x14ac:dyDescent="0.3">
      <c r="A1312" s="16">
        <v>45193</v>
      </c>
      <c r="B1312" s="10" t="s">
        <v>13</v>
      </c>
      <c r="C1312" s="10" t="s">
        <v>14</v>
      </c>
      <c r="D1312" s="10" t="s">
        <v>16</v>
      </c>
      <c r="E1312" s="4">
        <v>4</v>
      </c>
      <c r="F1312" s="4">
        <v>3592</v>
      </c>
      <c r="G1312" s="9">
        <v>249.54</v>
      </c>
    </row>
    <row r="1313" spans="1:7" ht="15.6" x14ac:dyDescent="0.3">
      <c r="A1313" s="16">
        <v>44914</v>
      </c>
      <c r="B1313" s="10" t="s">
        <v>13</v>
      </c>
      <c r="C1313" s="10" t="s">
        <v>14</v>
      </c>
      <c r="D1313" s="10" t="s">
        <v>15</v>
      </c>
      <c r="E1313" s="4">
        <v>8</v>
      </c>
      <c r="F1313" s="4">
        <v>3488</v>
      </c>
      <c r="G1313" s="9">
        <v>943.25</v>
      </c>
    </row>
    <row r="1314" spans="1:7" ht="15.6" x14ac:dyDescent="0.3">
      <c r="A1314" s="16">
        <v>44702</v>
      </c>
      <c r="B1314" s="10" t="s">
        <v>20</v>
      </c>
      <c r="C1314" s="10" t="s">
        <v>11</v>
      </c>
      <c r="D1314" s="10" t="s">
        <v>9</v>
      </c>
      <c r="E1314" s="4">
        <v>2</v>
      </c>
      <c r="F1314" s="4">
        <v>1214</v>
      </c>
      <c r="G1314" s="9">
        <v>163.80000000000001</v>
      </c>
    </row>
    <row r="1315" spans="1:7" ht="15.6" x14ac:dyDescent="0.3">
      <c r="A1315" s="16">
        <v>45556</v>
      </c>
      <c r="B1315" s="10" t="s">
        <v>10</v>
      </c>
      <c r="C1315" s="10" t="s">
        <v>11</v>
      </c>
      <c r="D1315" s="10" t="s">
        <v>16</v>
      </c>
      <c r="E1315" s="4">
        <v>9</v>
      </c>
      <c r="F1315" s="4">
        <v>7200</v>
      </c>
      <c r="G1315" s="9">
        <v>1469.23</v>
      </c>
    </row>
    <row r="1316" spans="1:7" ht="15.6" x14ac:dyDescent="0.3">
      <c r="A1316" s="16">
        <v>45009</v>
      </c>
      <c r="B1316" s="10" t="s">
        <v>23</v>
      </c>
      <c r="C1316" s="10" t="s">
        <v>14</v>
      </c>
      <c r="D1316" s="10" t="s">
        <v>12</v>
      </c>
      <c r="E1316" s="4">
        <v>8</v>
      </c>
      <c r="F1316" s="4">
        <v>1808</v>
      </c>
      <c r="G1316" s="9">
        <v>339.31</v>
      </c>
    </row>
    <row r="1317" spans="1:7" ht="15.6" x14ac:dyDescent="0.3">
      <c r="A1317" s="16">
        <v>44924</v>
      </c>
      <c r="B1317" s="10" t="s">
        <v>17</v>
      </c>
      <c r="C1317" s="10" t="s">
        <v>14</v>
      </c>
      <c r="D1317" s="10" t="s">
        <v>16</v>
      </c>
      <c r="E1317" s="4">
        <v>9</v>
      </c>
      <c r="F1317" s="4">
        <v>7083</v>
      </c>
      <c r="G1317" s="9">
        <v>560.88</v>
      </c>
    </row>
    <row r="1318" spans="1:7" ht="15.6" x14ac:dyDescent="0.3">
      <c r="A1318" s="16">
        <v>45448</v>
      </c>
      <c r="B1318" s="10" t="s">
        <v>20</v>
      </c>
      <c r="C1318" s="10" t="s">
        <v>11</v>
      </c>
      <c r="D1318" s="10" t="s">
        <v>12</v>
      </c>
      <c r="E1318" s="4">
        <v>4</v>
      </c>
      <c r="F1318" s="4">
        <v>1060</v>
      </c>
      <c r="G1318" s="9">
        <v>260.20999999999998</v>
      </c>
    </row>
    <row r="1319" spans="1:7" ht="15.6" x14ac:dyDescent="0.3">
      <c r="A1319" s="16">
        <v>44882</v>
      </c>
      <c r="B1319" s="10" t="s">
        <v>19</v>
      </c>
      <c r="C1319" s="10" t="s">
        <v>14</v>
      </c>
      <c r="D1319" s="10" t="s">
        <v>15</v>
      </c>
      <c r="E1319" s="4">
        <v>9</v>
      </c>
      <c r="F1319" s="4">
        <v>7182</v>
      </c>
      <c r="G1319" s="9">
        <v>461.61</v>
      </c>
    </row>
    <row r="1320" spans="1:7" ht="15.6" x14ac:dyDescent="0.3">
      <c r="A1320" s="16">
        <v>45419</v>
      </c>
      <c r="B1320" s="10" t="s">
        <v>21</v>
      </c>
      <c r="C1320" s="10" t="s">
        <v>14</v>
      </c>
      <c r="D1320" s="10" t="s">
        <v>16</v>
      </c>
      <c r="E1320" s="4">
        <v>6</v>
      </c>
      <c r="F1320" s="4">
        <v>5532</v>
      </c>
      <c r="G1320" s="9">
        <v>552.74</v>
      </c>
    </row>
    <row r="1321" spans="1:7" ht="15.6" x14ac:dyDescent="0.3">
      <c r="A1321" s="16">
        <v>45527</v>
      </c>
      <c r="B1321" s="10" t="s">
        <v>18</v>
      </c>
      <c r="C1321" s="10" t="s">
        <v>11</v>
      </c>
      <c r="D1321" s="10" t="s">
        <v>15</v>
      </c>
      <c r="E1321" s="4">
        <v>8</v>
      </c>
      <c r="F1321" s="4">
        <v>1800</v>
      </c>
      <c r="G1321" s="9">
        <v>326.02999999999997</v>
      </c>
    </row>
    <row r="1322" spans="1:7" ht="15.6" x14ac:dyDescent="0.3">
      <c r="A1322" s="16">
        <v>45277</v>
      </c>
      <c r="B1322" s="10" t="s">
        <v>18</v>
      </c>
      <c r="C1322" s="10" t="s">
        <v>11</v>
      </c>
      <c r="D1322" s="10" t="s">
        <v>15</v>
      </c>
      <c r="E1322" s="4">
        <v>1</v>
      </c>
      <c r="F1322" s="4">
        <v>351</v>
      </c>
      <c r="G1322" s="9">
        <v>32.61</v>
      </c>
    </row>
    <row r="1323" spans="1:7" ht="15.6" x14ac:dyDescent="0.3">
      <c r="A1323" s="16">
        <v>44875</v>
      </c>
      <c r="B1323" s="10" t="s">
        <v>19</v>
      </c>
      <c r="C1323" s="10" t="s">
        <v>14</v>
      </c>
      <c r="D1323" s="10" t="s">
        <v>16</v>
      </c>
      <c r="E1323" s="4">
        <v>2</v>
      </c>
      <c r="F1323" s="4">
        <v>1200</v>
      </c>
      <c r="G1323" s="9">
        <v>191.43</v>
      </c>
    </row>
    <row r="1324" spans="1:7" ht="15.6" x14ac:dyDescent="0.3">
      <c r="A1324" s="16">
        <v>45261</v>
      </c>
      <c r="B1324" s="10" t="s">
        <v>13</v>
      </c>
      <c r="C1324" s="10" t="s">
        <v>14</v>
      </c>
      <c r="D1324" s="10" t="s">
        <v>15</v>
      </c>
      <c r="E1324" s="4">
        <v>9</v>
      </c>
      <c r="F1324" s="4">
        <v>1593</v>
      </c>
      <c r="G1324" s="9">
        <v>322.45999999999998</v>
      </c>
    </row>
    <row r="1325" spans="1:7" ht="15.6" x14ac:dyDescent="0.3">
      <c r="A1325" s="16">
        <v>45641</v>
      </c>
      <c r="B1325" s="10" t="s">
        <v>20</v>
      </c>
      <c r="C1325" s="10" t="s">
        <v>11</v>
      </c>
      <c r="D1325" s="10" t="s">
        <v>12</v>
      </c>
      <c r="E1325" s="4">
        <v>3</v>
      </c>
      <c r="F1325" s="4">
        <v>2580</v>
      </c>
      <c r="G1325" s="9">
        <v>448.02</v>
      </c>
    </row>
    <row r="1326" spans="1:7" ht="15.6" x14ac:dyDescent="0.3">
      <c r="A1326" s="16">
        <v>44632</v>
      </c>
      <c r="B1326" s="10" t="s">
        <v>22</v>
      </c>
      <c r="C1326" s="10" t="s">
        <v>11</v>
      </c>
      <c r="D1326" s="10" t="s">
        <v>12</v>
      </c>
      <c r="E1326" s="4">
        <v>6</v>
      </c>
      <c r="F1326" s="4">
        <v>6780</v>
      </c>
      <c r="G1326" s="9">
        <v>1794.97</v>
      </c>
    </row>
    <row r="1327" spans="1:7" ht="15.6" x14ac:dyDescent="0.3">
      <c r="A1327" s="16">
        <v>44645</v>
      </c>
      <c r="B1327" s="10" t="s">
        <v>21</v>
      </c>
      <c r="C1327" s="10" t="s">
        <v>14</v>
      </c>
      <c r="D1327" s="10" t="s">
        <v>15</v>
      </c>
      <c r="E1327" s="4">
        <v>2</v>
      </c>
      <c r="F1327" s="4">
        <v>1298</v>
      </c>
      <c r="G1327" s="9">
        <v>204.08</v>
      </c>
    </row>
    <row r="1328" spans="1:7" ht="15.6" x14ac:dyDescent="0.3">
      <c r="A1328" s="16">
        <v>45650</v>
      </c>
      <c r="B1328" s="10" t="s">
        <v>19</v>
      </c>
      <c r="C1328" s="10" t="s">
        <v>14</v>
      </c>
      <c r="D1328" s="10" t="s">
        <v>15</v>
      </c>
      <c r="E1328" s="4">
        <v>7</v>
      </c>
      <c r="F1328" s="4">
        <v>4585</v>
      </c>
      <c r="G1328" s="9">
        <v>383.97</v>
      </c>
    </row>
    <row r="1329" spans="1:7" ht="15.6" x14ac:dyDescent="0.3">
      <c r="A1329" s="16">
        <v>45032</v>
      </c>
      <c r="B1329" s="10" t="s">
        <v>13</v>
      </c>
      <c r="C1329" s="10" t="s">
        <v>14</v>
      </c>
      <c r="D1329" s="10" t="s">
        <v>9</v>
      </c>
      <c r="E1329" s="4">
        <v>1</v>
      </c>
      <c r="F1329" s="4">
        <v>516</v>
      </c>
      <c r="G1329" s="9">
        <v>70.53</v>
      </c>
    </row>
    <row r="1330" spans="1:7" ht="15.6" x14ac:dyDescent="0.3">
      <c r="A1330" s="16">
        <v>45426</v>
      </c>
      <c r="B1330" s="10" t="s">
        <v>13</v>
      </c>
      <c r="C1330" s="10" t="s">
        <v>14</v>
      </c>
      <c r="D1330" s="10" t="s">
        <v>16</v>
      </c>
      <c r="E1330" s="4">
        <v>4</v>
      </c>
      <c r="F1330" s="4">
        <v>1780</v>
      </c>
      <c r="G1330" s="9">
        <v>420.28</v>
      </c>
    </row>
    <row r="1331" spans="1:7" ht="15.6" x14ac:dyDescent="0.3">
      <c r="A1331" s="16">
        <v>44872</v>
      </c>
      <c r="B1331" s="10" t="s">
        <v>22</v>
      </c>
      <c r="C1331" s="10" t="s">
        <v>11</v>
      </c>
      <c r="D1331" s="10" t="s">
        <v>9</v>
      </c>
      <c r="E1331" s="4">
        <v>5</v>
      </c>
      <c r="F1331" s="4">
        <v>365</v>
      </c>
      <c r="G1331" s="9">
        <v>94.05</v>
      </c>
    </row>
    <row r="1332" spans="1:7" ht="15.6" x14ac:dyDescent="0.3">
      <c r="A1332" s="16">
        <v>44983</v>
      </c>
      <c r="B1332" s="10" t="s">
        <v>13</v>
      </c>
      <c r="C1332" s="10" t="s">
        <v>14</v>
      </c>
      <c r="D1332" s="10" t="s">
        <v>15</v>
      </c>
      <c r="E1332" s="4">
        <v>8</v>
      </c>
      <c r="F1332" s="4">
        <v>3896</v>
      </c>
      <c r="G1332" s="9">
        <v>735.66</v>
      </c>
    </row>
    <row r="1333" spans="1:7" ht="15.6" x14ac:dyDescent="0.3">
      <c r="A1333" s="16">
        <v>45410</v>
      </c>
      <c r="B1333" s="10" t="s">
        <v>23</v>
      </c>
      <c r="C1333" s="10" t="s">
        <v>14</v>
      </c>
      <c r="D1333" s="10" t="s">
        <v>15</v>
      </c>
      <c r="E1333" s="4">
        <v>1</v>
      </c>
      <c r="F1333" s="4">
        <v>636</v>
      </c>
      <c r="G1333" s="9">
        <v>169.24</v>
      </c>
    </row>
    <row r="1334" spans="1:7" ht="15.6" x14ac:dyDescent="0.3">
      <c r="A1334" s="16">
        <v>45500</v>
      </c>
      <c r="B1334" s="10" t="s">
        <v>20</v>
      </c>
      <c r="C1334" s="10" t="s">
        <v>11</v>
      </c>
      <c r="D1334" s="10" t="s">
        <v>12</v>
      </c>
      <c r="E1334" s="4">
        <v>7</v>
      </c>
      <c r="F1334" s="4">
        <v>637</v>
      </c>
      <c r="G1334" s="9">
        <v>87.86</v>
      </c>
    </row>
    <row r="1335" spans="1:7" ht="15.6" x14ac:dyDescent="0.3">
      <c r="A1335" s="16">
        <v>45195</v>
      </c>
      <c r="B1335" s="10" t="s">
        <v>22</v>
      </c>
      <c r="C1335" s="10" t="s">
        <v>11</v>
      </c>
      <c r="D1335" s="10" t="s">
        <v>15</v>
      </c>
      <c r="E1335" s="4">
        <v>3</v>
      </c>
      <c r="F1335" s="4">
        <v>1302</v>
      </c>
      <c r="G1335" s="9">
        <v>180.82</v>
      </c>
    </row>
    <row r="1336" spans="1:7" ht="15.6" x14ac:dyDescent="0.3">
      <c r="A1336" s="16">
        <v>45528</v>
      </c>
      <c r="B1336" s="10" t="s">
        <v>21</v>
      </c>
      <c r="C1336" s="10" t="s">
        <v>14</v>
      </c>
      <c r="D1336" s="10" t="s">
        <v>16</v>
      </c>
      <c r="E1336" s="4">
        <v>1</v>
      </c>
      <c r="F1336" s="4">
        <v>719</v>
      </c>
      <c r="G1336" s="9">
        <v>40.42</v>
      </c>
    </row>
    <row r="1337" spans="1:7" ht="15.6" x14ac:dyDescent="0.3">
      <c r="A1337" s="16">
        <v>45146</v>
      </c>
      <c r="B1337" s="10" t="s">
        <v>17</v>
      </c>
      <c r="C1337" s="10" t="s">
        <v>14</v>
      </c>
      <c r="D1337" s="10" t="s">
        <v>16</v>
      </c>
      <c r="E1337" s="4">
        <v>6</v>
      </c>
      <c r="F1337" s="4">
        <v>5106</v>
      </c>
      <c r="G1337" s="9">
        <v>1341.93</v>
      </c>
    </row>
    <row r="1338" spans="1:7" ht="15.6" x14ac:dyDescent="0.3">
      <c r="A1338" s="16">
        <v>45118</v>
      </c>
      <c r="B1338" s="10" t="s">
        <v>10</v>
      </c>
      <c r="C1338" s="10" t="s">
        <v>11</v>
      </c>
      <c r="D1338" s="10" t="s">
        <v>16</v>
      </c>
      <c r="E1338" s="4">
        <v>3</v>
      </c>
      <c r="F1338" s="4">
        <v>1215</v>
      </c>
      <c r="G1338" s="9">
        <v>129.80000000000001</v>
      </c>
    </row>
    <row r="1339" spans="1:7" ht="15.6" x14ac:dyDescent="0.3">
      <c r="A1339" s="16">
        <v>45435</v>
      </c>
      <c r="B1339" s="10" t="s">
        <v>17</v>
      </c>
      <c r="C1339" s="10" t="s">
        <v>14</v>
      </c>
      <c r="D1339" s="10" t="s">
        <v>12</v>
      </c>
      <c r="E1339" s="4">
        <v>9</v>
      </c>
      <c r="F1339" s="4">
        <v>1791</v>
      </c>
      <c r="G1339" s="9">
        <v>187.28</v>
      </c>
    </row>
    <row r="1340" spans="1:7" ht="15.6" x14ac:dyDescent="0.3">
      <c r="A1340" s="16">
        <v>45199</v>
      </c>
      <c r="B1340" s="10" t="s">
        <v>7</v>
      </c>
      <c r="C1340" s="10" t="s">
        <v>8</v>
      </c>
      <c r="D1340" s="10" t="s">
        <v>12</v>
      </c>
      <c r="E1340" s="4">
        <v>9</v>
      </c>
      <c r="F1340" s="4">
        <v>6255</v>
      </c>
      <c r="G1340" s="9">
        <v>452.46</v>
      </c>
    </row>
    <row r="1341" spans="1:7" ht="15.6" x14ac:dyDescent="0.3">
      <c r="A1341" s="16">
        <v>45048</v>
      </c>
      <c r="B1341" s="10" t="s">
        <v>7</v>
      </c>
      <c r="C1341" s="10" t="s">
        <v>8</v>
      </c>
      <c r="D1341" s="10" t="s">
        <v>12</v>
      </c>
      <c r="E1341" s="4">
        <v>5</v>
      </c>
      <c r="F1341" s="4">
        <v>4165</v>
      </c>
      <c r="G1341" s="9">
        <v>1012.37</v>
      </c>
    </row>
    <row r="1342" spans="1:7" ht="15.6" x14ac:dyDescent="0.3">
      <c r="A1342" s="16">
        <v>45291</v>
      </c>
      <c r="B1342" s="10" t="s">
        <v>20</v>
      </c>
      <c r="C1342" s="10" t="s">
        <v>11</v>
      </c>
      <c r="D1342" s="10" t="s">
        <v>15</v>
      </c>
      <c r="E1342" s="4">
        <v>5</v>
      </c>
      <c r="F1342" s="4">
        <v>5990</v>
      </c>
      <c r="G1342" s="9">
        <v>1192.1099999999999</v>
      </c>
    </row>
    <row r="1343" spans="1:7" ht="15.6" x14ac:dyDescent="0.3">
      <c r="A1343" s="16">
        <v>45261</v>
      </c>
      <c r="B1343" s="10" t="s">
        <v>13</v>
      </c>
      <c r="C1343" s="10" t="s">
        <v>14</v>
      </c>
      <c r="D1343" s="10" t="s">
        <v>15</v>
      </c>
      <c r="E1343" s="4">
        <v>1</v>
      </c>
      <c r="F1343" s="4">
        <v>847</v>
      </c>
      <c r="G1343" s="9">
        <v>142.74</v>
      </c>
    </row>
    <row r="1344" spans="1:7" ht="15.6" x14ac:dyDescent="0.3">
      <c r="A1344" s="16">
        <v>45326</v>
      </c>
      <c r="B1344" s="10" t="s">
        <v>17</v>
      </c>
      <c r="C1344" s="10" t="s">
        <v>14</v>
      </c>
      <c r="D1344" s="10" t="s">
        <v>12</v>
      </c>
      <c r="E1344" s="4">
        <v>8</v>
      </c>
      <c r="F1344" s="4">
        <v>688</v>
      </c>
      <c r="G1344" s="9">
        <v>131.26</v>
      </c>
    </row>
    <row r="1345" spans="1:7" ht="15.6" x14ac:dyDescent="0.3">
      <c r="A1345" s="16">
        <v>45101</v>
      </c>
      <c r="B1345" s="10" t="s">
        <v>13</v>
      </c>
      <c r="C1345" s="10" t="s">
        <v>14</v>
      </c>
      <c r="D1345" s="10" t="s">
        <v>12</v>
      </c>
      <c r="E1345" s="4">
        <v>2</v>
      </c>
      <c r="F1345" s="4">
        <v>1188</v>
      </c>
      <c r="G1345" s="9">
        <v>286.38</v>
      </c>
    </row>
    <row r="1346" spans="1:7" ht="15.6" x14ac:dyDescent="0.3">
      <c r="A1346" s="16">
        <v>45158</v>
      </c>
      <c r="B1346" s="10" t="s">
        <v>17</v>
      </c>
      <c r="C1346" s="10" t="s">
        <v>14</v>
      </c>
      <c r="D1346" s="10" t="s">
        <v>9</v>
      </c>
      <c r="E1346" s="4">
        <v>7</v>
      </c>
      <c r="F1346" s="4">
        <v>3101</v>
      </c>
      <c r="G1346" s="9">
        <v>926.09</v>
      </c>
    </row>
    <row r="1347" spans="1:7" ht="15.6" x14ac:dyDescent="0.3">
      <c r="A1347" s="16">
        <v>45656</v>
      </c>
      <c r="B1347" s="10" t="s">
        <v>18</v>
      </c>
      <c r="C1347" s="10" t="s">
        <v>11</v>
      </c>
      <c r="D1347" s="10" t="s">
        <v>16</v>
      </c>
      <c r="E1347" s="4">
        <v>9</v>
      </c>
      <c r="F1347" s="4">
        <v>8703</v>
      </c>
      <c r="G1347" s="9">
        <v>1562.88</v>
      </c>
    </row>
    <row r="1348" spans="1:7" ht="15.6" x14ac:dyDescent="0.3">
      <c r="A1348" s="16">
        <v>45594</v>
      </c>
      <c r="B1348" s="10" t="s">
        <v>7</v>
      </c>
      <c r="C1348" s="10" t="s">
        <v>8</v>
      </c>
      <c r="D1348" s="10" t="s">
        <v>16</v>
      </c>
      <c r="E1348" s="4">
        <v>9</v>
      </c>
      <c r="F1348" s="4">
        <v>9324</v>
      </c>
      <c r="G1348" s="9">
        <v>2416.9299999999998</v>
      </c>
    </row>
    <row r="1349" spans="1:7" ht="15.6" x14ac:dyDescent="0.3">
      <c r="A1349" s="16">
        <v>45555</v>
      </c>
      <c r="B1349" s="10" t="s">
        <v>23</v>
      </c>
      <c r="C1349" s="10" t="s">
        <v>14</v>
      </c>
      <c r="D1349" s="10" t="s">
        <v>9</v>
      </c>
      <c r="E1349" s="4">
        <v>1</v>
      </c>
      <c r="F1349" s="4">
        <v>749</v>
      </c>
      <c r="G1349" s="9">
        <v>68.17</v>
      </c>
    </row>
    <row r="1350" spans="1:7" ht="15.6" x14ac:dyDescent="0.3">
      <c r="A1350" s="16">
        <v>45613</v>
      </c>
      <c r="B1350" s="10" t="s">
        <v>19</v>
      </c>
      <c r="C1350" s="10" t="s">
        <v>14</v>
      </c>
      <c r="D1350" s="10" t="s">
        <v>16</v>
      </c>
      <c r="E1350" s="4">
        <v>4</v>
      </c>
      <c r="F1350" s="4">
        <v>3224</v>
      </c>
      <c r="G1350" s="9">
        <v>871.53</v>
      </c>
    </row>
    <row r="1351" spans="1:7" ht="15.6" x14ac:dyDescent="0.3">
      <c r="A1351" s="16">
        <v>45200</v>
      </c>
      <c r="B1351" s="10" t="s">
        <v>20</v>
      </c>
      <c r="C1351" s="10" t="s">
        <v>11</v>
      </c>
      <c r="D1351" s="10" t="s">
        <v>15</v>
      </c>
      <c r="E1351" s="4">
        <v>3</v>
      </c>
      <c r="F1351" s="4">
        <v>459</v>
      </c>
      <c r="G1351" s="9">
        <v>40.96</v>
      </c>
    </row>
    <row r="1352" spans="1:7" ht="15.6" x14ac:dyDescent="0.3">
      <c r="A1352" s="16">
        <v>45650</v>
      </c>
      <c r="B1352" s="10" t="s">
        <v>19</v>
      </c>
      <c r="C1352" s="10" t="s">
        <v>14</v>
      </c>
      <c r="D1352" s="10" t="s">
        <v>12</v>
      </c>
      <c r="E1352" s="4">
        <v>7</v>
      </c>
      <c r="F1352" s="4">
        <v>5726</v>
      </c>
      <c r="G1352" s="9">
        <v>976.14</v>
      </c>
    </row>
    <row r="1353" spans="1:7" ht="15.6" x14ac:dyDescent="0.3">
      <c r="A1353" s="16">
        <v>44671</v>
      </c>
      <c r="B1353" s="10" t="s">
        <v>22</v>
      </c>
      <c r="C1353" s="10" t="s">
        <v>11</v>
      </c>
      <c r="D1353" s="10" t="s">
        <v>16</v>
      </c>
      <c r="E1353" s="4">
        <v>4</v>
      </c>
      <c r="F1353" s="4">
        <v>616</v>
      </c>
      <c r="G1353" s="9">
        <v>175.75</v>
      </c>
    </row>
    <row r="1354" spans="1:7" ht="15.6" x14ac:dyDescent="0.3">
      <c r="A1354" s="16">
        <v>45650</v>
      </c>
      <c r="B1354" s="10" t="s">
        <v>23</v>
      </c>
      <c r="C1354" s="10" t="s">
        <v>14</v>
      </c>
      <c r="D1354" s="10" t="s">
        <v>9</v>
      </c>
      <c r="E1354" s="4">
        <v>2</v>
      </c>
      <c r="F1354" s="4">
        <v>1584</v>
      </c>
      <c r="G1354" s="9">
        <v>406.25</v>
      </c>
    </row>
    <row r="1355" spans="1:7" ht="15.6" x14ac:dyDescent="0.3">
      <c r="A1355" s="16">
        <v>45101</v>
      </c>
      <c r="B1355" s="10" t="s">
        <v>23</v>
      </c>
      <c r="C1355" s="10" t="s">
        <v>14</v>
      </c>
      <c r="D1355" s="10" t="s">
        <v>12</v>
      </c>
      <c r="E1355" s="4">
        <v>5</v>
      </c>
      <c r="F1355" s="4">
        <v>3205</v>
      </c>
      <c r="G1355" s="9">
        <v>368.41</v>
      </c>
    </row>
    <row r="1356" spans="1:7" ht="15.6" x14ac:dyDescent="0.3">
      <c r="A1356" s="16">
        <v>45553</v>
      </c>
      <c r="B1356" s="10" t="s">
        <v>7</v>
      </c>
      <c r="C1356" s="10" t="s">
        <v>8</v>
      </c>
      <c r="D1356" s="10" t="s">
        <v>12</v>
      </c>
      <c r="E1356" s="4">
        <v>1</v>
      </c>
      <c r="F1356" s="4">
        <v>958</v>
      </c>
      <c r="G1356" s="9">
        <v>186.76</v>
      </c>
    </row>
    <row r="1357" spans="1:7" ht="15.6" x14ac:dyDescent="0.3">
      <c r="A1357" s="16">
        <v>45278</v>
      </c>
      <c r="B1357" s="10" t="s">
        <v>23</v>
      </c>
      <c r="C1357" s="10" t="s">
        <v>14</v>
      </c>
      <c r="D1357" s="10" t="s">
        <v>12</v>
      </c>
      <c r="E1357" s="4">
        <v>9</v>
      </c>
      <c r="F1357" s="4">
        <v>5139</v>
      </c>
      <c r="G1357" s="9">
        <v>1315.93</v>
      </c>
    </row>
    <row r="1358" spans="1:7" ht="15.6" x14ac:dyDescent="0.3">
      <c r="A1358" s="16">
        <v>45605</v>
      </c>
      <c r="B1358" s="10" t="s">
        <v>21</v>
      </c>
      <c r="C1358" s="10" t="s">
        <v>14</v>
      </c>
      <c r="D1358" s="10" t="s">
        <v>16</v>
      </c>
      <c r="E1358" s="4">
        <v>5</v>
      </c>
      <c r="F1358" s="4">
        <v>3795</v>
      </c>
      <c r="G1358" s="9">
        <v>239.15</v>
      </c>
    </row>
    <row r="1359" spans="1:7" ht="15.6" x14ac:dyDescent="0.3">
      <c r="A1359" s="16">
        <v>45354</v>
      </c>
      <c r="B1359" s="10" t="s">
        <v>17</v>
      </c>
      <c r="C1359" s="10" t="s">
        <v>14</v>
      </c>
      <c r="D1359" s="10" t="s">
        <v>12</v>
      </c>
      <c r="E1359" s="4">
        <v>2</v>
      </c>
      <c r="F1359" s="4">
        <v>810</v>
      </c>
      <c r="G1359" s="9">
        <v>229.33</v>
      </c>
    </row>
    <row r="1360" spans="1:7" ht="15.6" x14ac:dyDescent="0.3">
      <c r="A1360" s="16">
        <v>45423</v>
      </c>
      <c r="B1360" s="10" t="s">
        <v>17</v>
      </c>
      <c r="C1360" s="10" t="s">
        <v>14</v>
      </c>
      <c r="D1360" s="10" t="s">
        <v>15</v>
      </c>
      <c r="E1360" s="4">
        <v>6</v>
      </c>
      <c r="F1360" s="4">
        <v>5106</v>
      </c>
      <c r="G1360" s="9">
        <v>1500.2</v>
      </c>
    </row>
    <row r="1361" spans="1:7" ht="15.6" x14ac:dyDescent="0.3">
      <c r="A1361" s="16">
        <v>45473</v>
      </c>
      <c r="B1361" s="10" t="s">
        <v>20</v>
      </c>
      <c r="C1361" s="10" t="s">
        <v>11</v>
      </c>
      <c r="D1361" s="10" t="s">
        <v>16</v>
      </c>
      <c r="E1361" s="4">
        <v>2</v>
      </c>
      <c r="F1361" s="4">
        <v>798</v>
      </c>
      <c r="G1361" s="9">
        <v>79.25</v>
      </c>
    </row>
    <row r="1362" spans="1:7" ht="15.6" x14ac:dyDescent="0.3">
      <c r="A1362" s="16">
        <v>44614</v>
      </c>
      <c r="B1362" s="10" t="s">
        <v>23</v>
      </c>
      <c r="C1362" s="10" t="s">
        <v>14</v>
      </c>
      <c r="D1362" s="10" t="s">
        <v>16</v>
      </c>
      <c r="E1362" s="4">
        <v>5</v>
      </c>
      <c r="F1362" s="4">
        <v>3165</v>
      </c>
      <c r="G1362" s="9">
        <v>895.33</v>
      </c>
    </row>
    <row r="1363" spans="1:7" ht="15.6" x14ac:dyDescent="0.3">
      <c r="A1363" s="16">
        <v>45190</v>
      </c>
      <c r="B1363" s="10" t="s">
        <v>13</v>
      </c>
      <c r="C1363" s="10" t="s">
        <v>14</v>
      </c>
      <c r="D1363" s="10" t="s">
        <v>12</v>
      </c>
      <c r="E1363" s="4">
        <v>5</v>
      </c>
      <c r="F1363" s="4">
        <v>5935</v>
      </c>
      <c r="G1363" s="9">
        <v>875.84</v>
      </c>
    </row>
    <row r="1364" spans="1:7" ht="15.6" x14ac:dyDescent="0.3">
      <c r="A1364" s="16">
        <v>44739</v>
      </c>
      <c r="B1364" s="10" t="s">
        <v>22</v>
      </c>
      <c r="C1364" s="10" t="s">
        <v>11</v>
      </c>
      <c r="D1364" s="10" t="s">
        <v>15</v>
      </c>
      <c r="E1364" s="4">
        <v>4</v>
      </c>
      <c r="F1364" s="4">
        <v>3352</v>
      </c>
      <c r="G1364" s="9">
        <v>663.15</v>
      </c>
    </row>
    <row r="1365" spans="1:7" ht="15.6" x14ac:dyDescent="0.3">
      <c r="A1365" s="16">
        <v>45320</v>
      </c>
      <c r="B1365" s="10" t="s">
        <v>21</v>
      </c>
      <c r="C1365" s="10" t="s">
        <v>14</v>
      </c>
      <c r="D1365" s="10" t="s">
        <v>16</v>
      </c>
      <c r="E1365" s="4">
        <v>9</v>
      </c>
      <c r="F1365" s="4">
        <v>8343</v>
      </c>
      <c r="G1365" s="9">
        <v>821</v>
      </c>
    </row>
    <row r="1366" spans="1:7" ht="15.6" x14ac:dyDescent="0.3">
      <c r="A1366" s="16">
        <v>44706</v>
      </c>
      <c r="B1366" s="10" t="s">
        <v>20</v>
      </c>
      <c r="C1366" s="10" t="s">
        <v>11</v>
      </c>
      <c r="D1366" s="10" t="s">
        <v>12</v>
      </c>
      <c r="E1366" s="4">
        <v>4</v>
      </c>
      <c r="F1366" s="4">
        <v>2604</v>
      </c>
      <c r="G1366" s="9">
        <v>411.38</v>
      </c>
    </row>
    <row r="1367" spans="1:7" ht="15.6" x14ac:dyDescent="0.3">
      <c r="A1367" s="16">
        <v>45227</v>
      </c>
      <c r="B1367" s="10" t="s">
        <v>18</v>
      </c>
      <c r="C1367" s="10" t="s">
        <v>11</v>
      </c>
      <c r="D1367" s="10" t="s">
        <v>16</v>
      </c>
      <c r="E1367" s="4">
        <v>1</v>
      </c>
      <c r="F1367" s="4">
        <v>526</v>
      </c>
      <c r="G1367" s="9">
        <v>108.88</v>
      </c>
    </row>
    <row r="1368" spans="1:7" ht="15.6" x14ac:dyDescent="0.3">
      <c r="A1368" s="16">
        <v>45242</v>
      </c>
      <c r="B1368" s="10" t="s">
        <v>20</v>
      </c>
      <c r="C1368" s="10" t="s">
        <v>11</v>
      </c>
      <c r="D1368" s="10" t="s">
        <v>16</v>
      </c>
      <c r="E1368" s="4">
        <v>9</v>
      </c>
      <c r="F1368" s="4">
        <v>5220</v>
      </c>
      <c r="G1368" s="9">
        <v>1324.01</v>
      </c>
    </row>
    <row r="1369" spans="1:7" ht="15.6" x14ac:dyDescent="0.3">
      <c r="A1369" s="16">
        <v>45242</v>
      </c>
      <c r="B1369" s="10" t="s">
        <v>7</v>
      </c>
      <c r="C1369" s="10" t="s">
        <v>8</v>
      </c>
      <c r="D1369" s="10" t="s">
        <v>9</v>
      </c>
      <c r="E1369" s="4">
        <v>9</v>
      </c>
      <c r="F1369" s="4">
        <v>1737</v>
      </c>
      <c r="G1369" s="9">
        <v>152.97999999999999</v>
      </c>
    </row>
    <row r="1370" spans="1:7" ht="15.6" x14ac:dyDescent="0.3">
      <c r="A1370" s="16">
        <v>44858</v>
      </c>
      <c r="B1370" s="10" t="s">
        <v>10</v>
      </c>
      <c r="C1370" s="10" t="s">
        <v>11</v>
      </c>
      <c r="D1370" s="10" t="s">
        <v>16</v>
      </c>
      <c r="E1370" s="4">
        <v>6</v>
      </c>
      <c r="F1370" s="4">
        <v>3186</v>
      </c>
      <c r="G1370" s="9">
        <v>841.04</v>
      </c>
    </row>
    <row r="1371" spans="1:7" ht="15.6" x14ac:dyDescent="0.3">
      <c r="A1371" s="16">
        <v>44939</v>
      </c>
      <c r="B1371" s="10" t="s">
        <v>21</v>
      </c>
      <c r="C1371" s="10" t="s">
        <v>14</v>
      </c>
      <c r="D1371" s="10" t="s">
        <v>16</v>
      </c>
      <c r="E1371" s="4">
        <v>6</v>
      </c>
      <c r="F1371" s="4">
        <v>7014</v>
      </c>
      <c r="G1371" s="9">
        <v>1202.25</v>
      </c>
    </row>
    <row r="1372" spans="1:7" ht="15.6" x14ac:dyDescent="0.3">
      <c r="A1372" s="16">
        <v>44943</v>
      </c>
      <c r="B1372" s="10" t="s">
        <v>10</v>
      </c>
      <c r="C1372" s="10" t="s">
        <v>11</v>
      </c>
      <c r="D1372" s="10" t="s">
        <v>15</v>
      </c>
      <c r="E1372" s="4">
        <v>9</v>
      </c>
      <c r="F1372" s="4">
        <v>3411</v>
      </c>
      <c r="G1372" s="9">
        <v>444.87</v>
      </c>
    </row>
    <row r="1373" spans="1:7" ht="15.6" x14ac:dyDescent="0.3">
      <c r="A1373" s="16">
        <v>44581</v>
      </c>
      <c r="B1373" s="10" t="s">
        <v>20</v>
      </c>
      <c r="C1373" s="10" t="s">
        <v>11</v>
      </c>
      <c r="D1373" s="10" t="s">
        <v>12</v>
      </c>
      <c r="E1373" s="4">
        <v>1</v>
      </c>
      <c r="F1373" s="4">
        <v>513</v>
      </c>
      <c r="G1373" s="9">
        <v>87.58</v>
      </c>
    </row>
    <row r="1374" spans="1:7" ht="15.6" x14ac:dyDescent="0.3">
      <c r="A1374" s="16">
        <v>44747</v>
      </c>
      <c r="B1374" s="10" t="s">
        <v>21</v>
      </c>
      <c r="C1374" s="10" t="s">
        <v>14</v>
      </c>
      <c r="D1374" s="10" t="s">
        <v>16</v>
      </c>
      <c r="E1374" s="4">
        <v>1</v>
      </c>
      <c r="F1374" s="4">
        <v>1104</v>
      </c>
      <c r="G1374" s="9">
        <v>277.85000000000002</v>
      </c>
    </row>
    <row r="1375" spans="1:7" ht="15.6" x14ac:dyDescent="0.3">
      <c r="A1375" s="16">
        <v>44784</v>
      </c>
      <c r="B1375" s="10" t="s">
        <v>21</v>
      </c>
      <c r="C1375" s="10" t="s">
        <v>14</v>
      </c>
      <c r="D1375" s="10" t="s">
        <v>12</v>
      </c>
      <c r="E1375" s="4">
        <v>9</v>
      </c>
      <c r="F1375" s="4">
        <v>2718</v>
      </c>
      <c r="G1375" s="9">
        <v>271.51</v>
      </c>
    </row>
    <row r="1376" spans="1:7" ht="15.6" x14ac:dyDescent="0.3">
      <c r="A1376" s="16">
        <v>45060</v>
      </c>
      <c r="B1376" s="10" t="s">
        <v>18</v>
      </c>
      <c r="C1376" s="10" t="s">
        <v>11</v>
      </c>
      <c r="D1376" s="10" t="s">
        <v>9</v>
      </c>
      <c r="E1376" s="4">
        <v>6</v>
      </c>
      <c r="F1376" s="4">
        <v>1662</v>
      </c>
      <c r="G1376" s="9">
        <v>416.3</v>
      </c>
    </row>
    <row r="1377" spans="1:7" ht="15.6" x14ac:dyDescent="0.3">
      <c r="A1377" s="16">
        <v>45276</v>
      </c>
      <c r="B1377" s="10" t="s">
        <v>10</v>
      </c>
      <c r="C1377" s="10" t="s">
        <v>11</v>
      </c>
      <c r="D1377" s="10" t="s">
        <v>16</v>
      </c>
      <c r="E1377" s="4">
        <v>5</v>
      </c>
      <c r="F1377" s="4">
        <v>1700</v>
      </c>
      <c r="G1377" s="9">
        <v>360.59</v>
      </c>
    </row>
    <row r="1378" spans="1:7" ht="15.6" x14ac:dyDescent="0.3">
      <c r="A1378" s="16">
        <v>45632</v>
      </c>
      <c r="B1378" s="10" t="s">
        <v>13</v>
      </c>
      <c r="C1378" s="10" t="s">
        <v>14</v>
      </c>
      <c r="D1378" s="10" t="s">
        <v>15</v>
      </c>
      <c r="E1378" s="4">
        <v>4</v>
      </c>
      <c r="F1378" s="4">
        <v>2932</v>
      </c>
      <c r="G1378" s="9">
        <v>597.65</v>
      </c>
    </row>
    <row r="1379" spans="1:7" ht="15.6" x14ac:dyDescent="0.3">
      <c r="A1379" s="16">
        <v>45212</v>
      </c>
      <c r="B1379" s="10" t="s">
        <v>10</v>
      </c>
      <c r="C1379" s="10" t="s">
        <v>11</v>
      </c>
      <c r="D1379" s="10" t="s">
        <v>9</v>
      </c>
      <c r="E1379" s="4">
        <v>4</v>
      </c>
      <c r="F1379" s="4">
        <v>3604</v>
      </c>
      <c r="G1379" s="9">
        <v>971.14</v>
      </c>
    </row>
    <row r="1380" spans="1:7" ht="15.6" x14ac:dyDescent="0.3">
      <c r="A1380" s="16">
        <v>45377</v>
      </c>
      <c r="B1380" s="10" t="s">
        <v>17</v>
      </c>
      <c r="C1380" s="10" t="s">
        <v>14</v>
      </c>
      <c r="D1380" s="10" t="s">
        <v>16</v>
      </c>
      <c r="E1380" s="4">
        <v>4</v>
      </c>
      <c r="F1380" s="4">
        <v>4596</v>
      </c>
      <c r="G1380" s="9">
        <v>553.58000000000004</v>
      </c>
    </row>
    <row r="1381" spans="1:7" ht="15.6" x14ac:dyDescent="0.3">
      <c r="A1381" s="16">
        <v>45387</v>
      </c>
      <c r="B1381" s="10" t="s">
        <v>19</v>
      </c>
      <c r="C1381" s="10" t="s">
        <v>14</v>
      </c>
      <c r="D1381" s="10" t="s">
        <v>12</v>
      </c>
      <c r="E1381" s="4">
        <v>6</v>
      </c>
      <c r="F1381" s="4">
        <v>930</v>
      </c>
      <c r="G1381" s="9">
        <v>68.239999999999995</v>
      </c>
    </row>
    <row r="1382" spans="1:7" ht="15.6" x14ac:dyDescent="0.3">
      <c r="A1382" s="16">
        <v>45101</v>
      </c>
      <c r="B1382" s="10" t="s">
        <v>13</v>
      </c>
      <c r="C1382" s="10" t="s">
        <v>14</v>
      </c>
      <c r="D1382" s="10" t="s">
        <v>9</v>
      </c>
      <c r="E1382" s="4">
        <v>3</v>
      </c>
      <c r="F1382" s="4">
        <v>2790</v>
      </c>
      <c r="G1382" s="9">
        <v>470.93</v>
      </c>
    </row>
    <row r="1383" spans="1:7" ht="15.6" x14ac:dyDescent="0.3">
      <c r="A1383" s="16">
        <v>44703</v>
      </c>
      <c r="B1383" s="10" t="s">
        <v>21</v>
      </c>
      <c r="C1383" s="10" t="s">
        <v>14</v>
      </c>
      <c r="D1383" s="10" t="s">
        <v>9</v>
      </c>
      <c r="E1383" s="4">
        <v>6</v>
      </c>
      <c r="F1383" s="4">
        <v>4596</v>
      </c>
      <c r="G1383" s="9">
        <v>1162.75</v>
      </c>
    </row>
    <row r="1384" spans="1:7" ht="15.6" x14ac:dyDescent="0.3">
      <c r="A1384" s="16">
        <v>45214</v>
      </c>
      <c r="B1384" s="10" t="s">
        <v>22</v>
      </c>
      <c r="C1384" s="10" t="s">
        <v>11</v>
      </c>
      <c r="D1384" s="10" t="s">
        <v>15</v>
      </c>
      <c r="E1384" s="4">
        <v>1</v>
      </c>
      <c r="F1384" s="4">
        <v>962</v>
      </c>
      <c r="G1384" s="9">
        <v>260.27999999999997</v>
      </c>
    </row>
    <row r="1385" spans="1:7" ht="15.6" x14ac:dyDescent="0.3">
      <c r="A1385" s="16">
        <v>45588</v>
      </c>
      <c r="B1385" s="10" t="s">
        <v>21</v>
      </c>
      <c r="C1385" s="10" t="s">
        <v>14</v>
      </c>
      <c r="D1385" s="10" t="s">
        <v>9</v>
      </c>
      <c r="E1385" s="4">
        <v>1</v>
      </c>
      <c r="F1385" s="4">
        <v>92</v>
      </c>
      <c r="G1385" s="9">
        <v>14.88</v>
      </c>
    </row>
    <row r="1386" spans="1:7" ht="15.6" x14ac:dyDescent="0.3">
      <c r="A1386" s="16">
        <v>45564</v>
      </c>
      <c r="B1386" s="10" t="s">
        <v>22</v>
      </c>
      <c r="C1386" s="10" t="s">
        <v>11</v>
      </c>
      <c r="D1386" s="10" t="s">
        <v>9</v>
      </c>
      <c r="E1386" s="4">
        <v>5</v>
      </c>
      <c r="F1386" s="4">
        <v>1130</v>
      </c>
      <c r="G1386" s="9">
        <v>254.99</v>
      </c>
    </row>
    <row r="1387" spans="1:7" ht="15.6" x14ac:dyDescent="0.3">
      <c r="A1387" s="16">
        <v>45411</v>
      </c>
      <c r="B1387" s="10" t="s">
        <v>18</v>
      </c>
      <c r="C1387" s="10" t="s">
        <v>11</v>
      </c>
      <c r="D1387" s="10" t="s">
        <v>12</v>
      </c>
      <c r="E1387" s="4">
        <v>6</v>
      </c>
      <c r="F1387" s="4">
        <v>6024</v>
      </c>
      <c r="G1387" s="9">
        <v>1706.41</v>
      </c>
    </row>
    <row r="1388" spans="1:7" ht="15.6" x14ac:dyDescent="0.3">
      <c r="A1388" s="16">
        <v>45307</v>
      </c>
      <c r="B1388" s="10" t="s">
        <v>7</v>
      </c>
      <c r="C1388" s="10" t="s">
        <v>8</v>
      </c>
      <c r="D1388" s="10" t="s">
        <v>15</v>
      </c>
      <c r="E1388" s="4">
        <v>1</v>
      </c>
      <c r="F1388" s="4">
        <v>879</v>
      </c>
      <c r="G1388" s="9">
        <v>135</v>
      </c>
    </row>
    <row r="1389" spans="1:7" ht="15.6" x14ac:dyDescent="0.3">
      <c r="A1389" s="16">
        <v>44718</v>
      </c>
      <c r="B1389" s="10" t="s">
        <v>20</v>
      </c>
      <c r="C1389" s="10" t="s">
        <v>11</v>
      </c>
      <c r="D1389" s="10" t="s">
        <v>12</v>
      </c>
      <c r="E1389" s="4">
        <v>8</v>
      </c>
      <c r="F1389" s="4">
        <v>2384</v>
      </c>
      <c r="G1389" s="9">
        <v>444.98</v>
      </c>
    </row>
    <row r="1390" spans="1:7" ht="15.6" x14ac:dyDescent="0.3">
      <c r="A1390" s="16">
        <v>45651</v>
      </c>
      <c r="B1390" s="10" t="s">
        <v>17</v>
      </c>
      <c r="C1390" s="10" t="s">
        <v>14</v>
      </c>
      <c r="D1390" s="10" t="s">
        <v>15</v>
      </c>
      <c r="E1390" s="4">
        <v>4</v>
      </c>
      <c r="F1390" s="4">
        <v>4644</v>
      </c>
      <c r="G1390" s="9">
        <v>277.26</v>
      </c>
    </row>
    <row r="1391" spans="1:7" ht="15.6" x14ac:dyDescent="0.3">
      <c r="A1391" s="16">
        <v>45386</v>
      </c>
      <c r="B1391" s="10" t="s">
        <v>22</v>
      </c>
      <c r="C1391" s="10" t="s">
        <v>11</v>
      </c>
      <c r="D1391" s="10" t="s">
        <v>12</v>
      </c>
      <c r="E1391" s="4">
        <v>1</v>
      </c>
      <c r="F1391" s="4">
        <v>607</v>
      </c>
      <c r="G1391" s="9">
        <v>79.78</v>
      </c>
    </row>
    <row r="1392" spans="1:7" ht="15.6" x14ac:dyDescent="0.3">
      <c r="A1392" s="16">
        <v>44833</v>
      </c>
      <c r="B1392" s="10" t="s">
        <v>10</v>
      </c>
      <c r="C1392" s="10" t="s">
        <v>11</v>
      </c>
      <c r="D1392" s="10" t="s">
        <v>15</v>
      </c>
      <c r="E1392" s="4">
        <v>7</v>
      </c>
      <c r="F1392" s="4">
        <v>770</v>
      </c>
      <c r="G1392" s="9">
        <v>129.11000000000001</v>
      </c>
    </row>
    <row r="1393" spans="1:7" ht="15.6" x14ac:dyDescent="0.3">
      <c r="A1393" s="16">
        <v>44871</v>
      </c>
      <c r="B1393" s="10" t="s">
        <v>22</v>
      </c>
      <c r="C1393" s="10" t="s">
        <v>11</v>
      </c>
      <c r="D1393" s="10" t="s">
        <v>15</v>
      </c>
      <c r="E1393" s="4">
        <v>1</v>
      </c>
      <c r="F1393" s="4">
        <v>711</v>
      </c>
      <c r="G1393" s="9">
        <v>158.88999999999999</v>
      </c>
    </row>
    <row r="1394" spans="1:7" ht="15.6" x14ac:dyDescent="0.3">
      <c r="A1394" s="16">
        <v>45140</v>
      </c>
      <c r="B1394" s="10" t="s">
        <v>22</v>
      </c>
      <c r="C1394" s="10" t="s">
        <v>11</v>
      </c>
      <c r="D1394" s="10" t="s">
        <v>15</v>
      </c>
      <c r="E1394" s="4">
        <v>2</v>
      </c>
      <c r="F1394" s="4">
        <v>1088</v>
      </c>
      <c r="G1394" s="9">
        <v>235.83</v>
      </c>
    </row>
    <row r="1395" spans="1:7" ht="15.6" x14ac:dyDescent="0.3">
      <c r="A1395" s="16">
        <v>45356</v>
      </c>
      <c r="B1395" s="10" t="s">
        <v>23</v>
      </c>
      <c r="C1395" s="10" t="s">
        <v>14</v>
      </c>
      <c r="D1395" s="10" t="s">
        <v>12</v>
      </c>
      <c r="E1395" s="4">
        <v>7</v>
      </c>
      <c r="F1395" s="4">
        <v>4704</v>
      </c>
      <c r="G1395" s="9">
        <v>513.14</v>
      </c>
    </row>
    <row r="1396" spans="1:7" ht="15.6" x14ac:dyDescent="0.3">
      <c r="A1396" s="16">
        <v>44910</v>
      </c>
      <c r="B1396" s="10" t="s">
        <v>23</v>
      </c>
      <c r="C1396" s="10" t="s">
        <v>14</v>
      </c>
      <c r="D1396" s="10" t="s">
        <v>12</v>
      </c>
      <c r="E1396" s="4">
        <v>5</v>
      </c>
      <c r="F1396" s="4">
        <v>660</v>
      </c>
      <c r="G1396" s="9">
        <v>90.86</v>
      </c>
    </row>
    <row r="1397" spans="1:7" ht="15.6" x14ac:dyDescent="0.3">
      <c r="A1397" s="16">
        <v>44890</v>
      </c>
      <c r="B1397" s="10" t="s">
        <v>18</v>
      </c>
      <c r="C1397" s="10" t="s">
        <v>11</v>
      </c>
      <c r="D1397" s="10" t="s">
        <v>15</v>
      </c>
      <c r="E1397" s="4">
        <v>5</v>
      </c>
      <c r="F1397" s="4">
        <v>4680</v>
      </c>
      <c r="G1397" s="9">
        <v>516.26</v>
      </c>
    </row>
    <row r="1398" spans="1:7" ht="15.6" x14ac:dyDescent="0.3">
      <c r="A1398" s="16">
        <v>44840</v>
      </c>
      <c r="B1398" s="10" t="s">
        <v>17</v>
      </c>
      <c r="C1398" s="10" t="s">
        <v>14</v>
      </c>
      <c r="D1398" s="10" t="s">
        <v>12</v>
      </c>
      <c r="E1398" s="4">
        <v>7</v>
      </c>
      <c r="F1398" s="4">
        <v>6797</v>
      </c>
      <c r="G1398" s="9">
        <v>665.29</v>
      </c>
    </row>
    <row r="1399" spans="1:7" ht="15.6" x14ac:dyDescent="0.3">
      <c r="A1399" s="16">
        <v>45637</v>
      </c>
      <c r="B1399" s="10" t="s">
        <v>10</v>
      </c>
      <c r="C1399" s="10" t="s">
        <v>11</v>
      </c>
      <c r="D1399" s="10" t="s">
        <v>9</v>
      </c>
      <c r="E1399" s="4">
        <v>9</v>
      </c>
      <c r="F1399" s="4">
        <v>558</v>
      </c>
      <c r="G1399" s="9">
        <v>38.86</v>
      </c>
    </row>
    <row r="1400" spans="1:7" ht="15.6" x14ac:dyDescent="0.3">
      <c r="A1400" s="16">
        <v>45182</v>
      </c>
      <c r="B1400" s="10" t="s">
        <v>20</v>
      </c>
      <c r="C1400" s="10" t="s">
        <v>11</v>
      </c>
      <c r="D1400" s="10" t="s">
        <v>12</v>
      </c>
      <c r="E1400" s="4">
        <v>4</v>
      </c>
      <c r="F1400" s="4">
        <v>4496</v>
      </c>
      <c r="G1400" s="9">
        <v>1115.75</v>
      </c>
    </row>
    <row r="1401" spans="1:7" ht="15.6" x14ac:dyDescent="0.3">
      <c r="A1401" s="16">
        <v>44709</v>
      </c>
      <c r="B1401" s="10" t="s">
        <v>22</v>
      </c>
      <c r="C1401" s="10" t="s">
        <v>11</v>
      </c>
      <c r="D1401" s="10" t="s">
        <v>15</v>
      </c>
      <c r="E1401" s="4">
        <v>1</v>
      </c>
      <c r="F1401" s="4">
        <v>713</v>
      </c>
      <c r="G1401" s="9">
        <v>62.78</v>
      </c>
    </row>
    <row r="1402" spans="1:7" ht="15.6" x14ac:dyDescent="0.3">
      <c r="A1402" s="16">
        <v>44790</v>
      </c>
      <c r="B1402" s="10" t="s">
        <v>17</v>
      </c>
      <c r="C1402" s="10" t="s">
        <v>14</v>
      </c>
      <c r="D1402" s="10" t="s">
        <v>12</v>
      </c>
      <c r="E1402" s="4">
        <v>2</v>
      </c>
      <c r="F1402" s="4">
        <v>1310</v>
      </c>
      <c r="G1402" s="9">
        <v>212.43</v>
      </c>
    </row>
    <row r="1403" spans="1:7" ht="15.6" x14ac:dyDescent="0.3">
      <c r="A1403" s="16">
        <v>45596</v>
      </c>
      <c r="B1403" s="10" t="s">
        <v>22</v>
      </c>
      <c r="C1403" s="10" t="s">
        <v>11</v>
      </c>
      <c r="D1403" s="10" t="s">
        <v>16</v>
      </c>
      <c r="E1403" s="4">
        <v>9</v>
      </c>
      <c r="F1403" s="4">
        <v>2853</v>
      </c>
      <c r="G1403" s="9">
        <v>564.04999999999995</v>
      </c>
    </row>
    <row r="1404" spans="1:7" ht="15.6" x14ac:dyDescent="0.3">
      <c r="A1404" s="16">
        <v>45250</v>
      </c>
      <c r="B1404" s="10" t="s">
        <v>17</v>
      </c>
      <c r="C1404" s="10" t="s">
        <v>14</v>
      </c>
      <c r="D1404" s="10" t="s">
        <v>15</v>
      </c>
      <c r="E1404" s="4">
        <v>2</v>
      </c>
      <c r="F1404" s="4">
        <v>2324</v>
      </c>
      <c r="G1404" s="9">
        <v>516.05999999999995</v>
      </c>
    </row>
    <row r="1405" spans="1:7" ht="15.6" x14ac:dyDescent="0.3">
      <c r="A1405" s="16">
        <v>45398</v>
      </c>
      <c r="B1405" s="10" t="s">
        <v>23</v>
      </c>
      <c r="C1405" s="10" t="s">
        <v>14</v>
      </c>
      <c r="D1405" s="10" t="s">
        <v>9</v>
      </c>
      <c r="E1405" s="4">
        <v>1</v>
      </c>
      <c r="F1405" s="4">
        <v>330</v>
      </c>
      <c r="G1405" s="9">
        <v>53.42</v>
      </c>
    </row>
    <row r="1406" spans="1:7" ht="15.6" x14ac:dyDescent="0.3">
      <c r="A1406" s="16">
        <v>45191</v>
      </c>
      <c r="B1406" s="10" t="s">
        <v>17</v>
      </c>
      <c r="C1406" s="10" t="s">
        <v>14</v>
      </c>
      <c r="D1406" s="10" t="s">
        <v>15</v>
      </c>
      <c r="E1406" s="4">
        <v>3</v>
      </c>
      <c r="F1406" s="4">
        <v>588</v>
      </c>
      <c r="G1406" s="9">
        <v>100.52</v>
      </c>
    </row>
    <row r="1407" spans="1:7" ht="15.6" x14ac:dyDescent="0.3">
      <c r="A1407" s="16">
        <v>45419</v>
      </c>
      <c r="B1407" s="10" t="s">
        <v>21</v>
      </c>
      <c r="C1407" s="10" t="s">
        <v>14</v>
      </c>
      <c r="D1407" s="10" t="s">
        <v>12</v>
      </c>
      <c r="E1407" s="4">
        <v>1</v>
      </c>
      <c r="F1407" s="4">
        <v>63</v>
      </c>
      <c r="G1407" s="9">
        <v>11.91</v>
      </c>
    </row>
    <row r="1408" spans="1:7" ht="15.6" x14ac:dyDescent="0.3">
      <c r="A1408" s="16">
        <v>44635</v>
      </c>
      <c r="B1408" s="10" t="s">
        <v>13</v>
      </c>
      <c r="C1408" s="10" t="s">
        <v>14</v>
      </c>
      <c r="D1408" s="10" t="s">
        <v>12</v>
      </c>
      <c r="E1408" s="4">
        <v>7</v>
      </c>
      <c r="F1408" s="4">
        <v>847</v>
      </c>
      <c r="G1408" s="9">
        <v>147.71</v>
      </c>
    </row>
    <row r="1409" spans="1:7" ht="15.6" x14ac:dyDescent="0.3">
      <c r="A1409" s="16">
        <v>45471</v>
      </c>
      <c r="B1409" s="10" t="s">
        <v>7</v>
      </c>
      <c r="C1409" s="10" t="s">
        <v>8</v>
      </c>
      <c r="D1409" s="10" t="s">
        <v>12</v>
      </c>
      <c r="E1409" s="4">
        <v>1</v>
      </c>
      <c r="F1409" s="4">
        <v>1037</v>
      </c>
      <c r="G1409" s="9">
        <v>56.89</v>
      </c>
    </row>
    <row r="1410" spans="1:7" ht="15.6" x14ac:dyDescent="0.3">
      <c r="A1410" s="16">
        <v>45297</v>
      </c>
      <c r="B1410" s="10" t="s">
        <v>10</v>
      </c>
      <c r="C1410" s="10" t="s">
        <v>11</v>
      </c>
      <c r="D1410" s="10" t="s">
        <v>9</v>
      </c>
      <c r="E1410" s="4">
        <v>1</v>
      </c>
      <c r="F1410" s="4">
        <v>373</v>
      </c>
      <c r="G1410" s="9">
        <v>72.17</v>
      </c>
    </row>
    <row r="1411" spans="1:7" ht="15.6" x14ac:dyDescent="0.3">
      <c r="A1411" s="16">
        <v>45280</v>
      </c>
      <c r="B1411" s="10" t="s">
        <v>23</v>
      </c>
      <c r="C1411" s="10" t="s">
        <v>14</v>
      </c>
      <c r="D1411" s="10" t="s">
        <v>9</v>
      </c>
      <c r="E1411" s="4">
        <v>1</v>
      </c>
      <c r="F1411" s="4">
        <v>1176</v>
      </c>
      <c r="G1411" s="9">
        <v>157.47</v>
      </c>
    </row>
    <row r="1412" spans="1:7" ht="15.6" x14ac:dyDescent="0.3">
      <c r="A1412" s="16">
        <v>44572</v>
      </c>
      <c r="B1412" s="10" t="s">
        <v>21</v>
      </c>
      <c r="C1412" s="10" t="s">
        <v>14</v>
      </c>
      <c r="D1412" s="10" t="s">
        <v>12</v>
      </c>
      <c r="E1412" s="4">
        <v>3</v>
      </c>
      <c r="F1412" s="4">
        <v>2139</v>
      </c>
      <c r="G1412" s="9">
        <v>422.52</v>
      </c>
    </row>
    <row r="1413" spans="1:7" ht="15.6" x14ac:dyDescent="0.3">
      <c r="A1413" s="16">
        <v>45637</v>
      </c>
      <c r="B1413" s="10" t="s">
        <v>20</v>
      </c>
      <c r="C1413" s="10" t="s">
        <v>11</v>
      </c>
      <c r="D1413" s="10" t="s">
        <v>16</v>
      </c>
      <c r="E1413" s="4">
        <v>9</v>
      </c>
      <c r="F1413" s="4">
        <v>4140</v>
      </c>
      <c r="G1413" s="9">
        <v>301.12</v>
      </c>
    </row>
    <row r="1414" spans="1:7" ht="15.6" x14ac:dyDescent="0.3">
      <c r="A1414" s="16">
        <v>45304</v>
      </c>
      <c r="B1414" s="10" t="s">
        <v>23</v>
      </c>
      <c r="C1414" s="10" t="s">
        <v>14</v>
      </c>
      <c r="D1414" s="10" t="s">
        <v>9</v>
      </c>
      <c r="E1414" s="4">
        <v>1</v>
      </c>
      <c r="F1414" s="4">
        <v>1038</v>
      </c>
      <c r="G1414" s="9">
        <v>63.23</v>
      </c>
    </row>
    <row r="1415" spans="1:7" ht="15.6" x14ac:dyDescent="0.3">
      <c r="A1415" s="16">
        <v>45501</v>
      </c>
      <c r="B1415" s="10" t="s">
        <v>20</v>
      </c>
      <c r="C1415" s="10" t="s">
        <v>11</v>
      </c>
      <c r="D1415" s="10" t="s">
        <v>12</v>
      </c>
      <c r="E1415" s="4">
        <v>8</v>
      </c>
      <c r="F1415" s="4">
        <v>2024</v>
      </c>
      <c r="G1415" s="9">
        <v>203.11</v>
      </c>
    </row>
    <row r="1416" spans="1:7" ht="15.6" x14ac:dyDescent="0.3">
      <c r="A1416" s="16">
        <v>44666</v>
      </c>
      <c r="B1416" s="10" t="s">
        <v>19</v>
      </c>
      <c r="C1416" s="10" t="s">
        <v>14</v>
      </c>
      <c r="D1416" s="10" t="s">
        <v>15</v>
      </c>
      <c r="E1416" s="4">
        <v>6</v>
      </c>
      <c r="F1416" s="4">
        <v>6624</v>
      </c>
      <c r="G1416" s="9">
        <v>1136.0899999999999</v>
      </c>
    </row>
    <row r="1417" spans="1:7" ht="15.6" x14ac:dyDescent="0.3">
      <c r="A1417" s="16">
        <v>45192</v>
      </c>
      <c r="B1417" s="10" t="s">
        <v>19</v>
      </c>
      <c r="C1417" s="10" t="s">
        <v>14</v>
      </c>
      <c r="D1417" s="10" t="s">
        <v>12</v>
      </c>
      <c r="E1417" s="4">
        <v>7</v>
      </c>
      <c r="F1417" s="4">
        <v>5019</v>
      </c>
      <c r="G1417" s="9">
        <v>1154.79</v>
      </c>
    </row>
    <row r="1418" spans="1:7" ht="15.6" x14ac:dyDescent="0.3">
      <c r="A1418" s="16">
        <v>45397</v>
      </c>
      <c r="B1418" s="10" t="s">
        <v>21</v>
      </c>
      <c r="C1418" s="10" t="s">
        <v>14</v>
      </c>
      <c r="D1418" s="10" t="s">
        <v>12</v>
      </c>
      <c r="E1418" s="4">
        <v>5</v>
      </c>
      <c r="F1418" s="4">
        <v>750</v>
      </c>
      <c r="G1418" s="9">
        <v>207.77</v>
      </c>
    </row>
    <row r="1419" spans="1:7" ht="15.6" x14ac:dyDescent="0.3">
      <c r="A1419" s="16">
        <v>45008</v>
      </c>
      <c r="B1419" s="10" t="s">
        <v>17</v>
      </c>
      <c r="C1419" s="10" t="s">
        <v>14</v>
      </c>
      <c r="D1419" s="10" t="s">
        <v>9</v>
      </c>
      <c r="E1419" s="4">
        <v>7</v>
      </c>
      <c r="F1419" s="4">
        <v>6461</v>
      </c>
      <c r="G1419" s="9">
        <v>1455.36</v>
      </c>
    </row>
    <row r="1420" spans="1:7" ht="15.6" x14ac:dyDescent="0.3">
      <c r="A1420" s="16">
        <v>45234</v>
      </c>
      <c r="B1420" s="10" t="s">
        <v>13</v>
      </c>
      <c r="C1420" s="10" t="s">
        <v>14</v>
      </c>
      <c r="D1420" s="10" t="s">
        <v>16</v>
      </c>
      <c r="E1420" s="4">
        <v>6</v>
      </c>
      <c r="F1420" s="4">
        <v>2946</v>
      </c>
      <c r="G1420" s="9">
        <v>208.01</v>
      </c>
    </row>
    <row r="1421" spans="1:7" ht="15.6" x14ac:dyDescent="0.3">
      <c r="A1421" s="16">
        <v>45436</v>
      </c>
      <c r="B1421" s="10" t="s">
        <v>20</v>
      </c>
      <c r="C1421" s="10" t="s">
        <v>11</v>
      </c>
      <c r="D1421" s="10" t="s">
        <v>15</v>
      </c>
      <c r="E1421" s="4">
        <v>1</v>
      </c>
      <c r="F1421" s="4">
        <v>618</v>
      </c>
      <c r="G1421" s="9">
        <v>81.040000000000006</v>
      </c>
    </row>
    <row r="1422" spans="1:7" ht="15.6" x14ac:dyDescent="0.3">
      <c r="A1422" s="16">
        <v>44647</v>
      </c>
      <c r="B1422" s="10" t="s">
        <v>7</v>
      </c>
      <c r="C1422" s="10" t="s">
        <v>8</v>
      </c>
      <c r="D1422" s="10" t="s">
        <v>15</v>
      </c>
      <c r="E1422" s="4">
        <v>2</v>
      </c>
      <c r="F1422" s="4">
        <v>1774</v>
      </c>
      <c r="G1422" s="9">
        <v>322.49</v>
      </c>
    </row>
    <row r="1423" spans="1:7" ht="15.6" x14ac:dyDescent="0.3">
      <c r="A1423" s="16">
        <v>44692</v>
      </c>
      <c r="B1423" s="10" t="s">
        <v>17</v>
      </c>
      <c r="C1423" s="10" t="s">
        <v>14</v>
      </c>
      <c r="D1423" s="10" t="s">
        <v>12</v>
      </c>
      <c r="E1423" s="4">
        <v>9</v>
      </c>
      <c r="F1423" s="4">
        <v>8586</v>
      </c>
      <c r="G1423" s="9">
        <v>700.37</v>
      </c>
    </row>
    <row r="1424" spans="1:7" ht="15.6" x14ac:dyDescent="0.3">
      <c r="A1424" s="16">
        <v>45335</v>
      </c>
      <c r="B1424" s="10" t="s">
        <v>23</v>
      </c>
      <c r="C1424" s="10" t="s">
        <v>14</v>
      </c>
      <c r="D1424" s="10" t="s">
        <v>15</v>
      </c>
      <c r="E1424" s="4">
        <v>5</v>
      </c>
      <c r="F1424" s="4">
        <v>2000</v>
      </c>
      <c r="G1424" s="9">
        <v>232.41</v>
      </c>
    </row>
    <row r="1425" spans="1:7" ht="15.6" x14ac:dyDescent="0.3">
      <c r="A1425" s="16">
        <v>44973</v>
      </c>
      <c r="B1425" s="10" t="s">
        <v>10</v>
      </c>
      <c r="C1425" s="10" t="s">
        <v>11</v>
      </c>
      <c r="D1425" s="10" t="s">
        <v>12</v>
      </c>
      <c r="E1425" s="4">
        <v>1</v>
      </c>
      <c r="F1425" s="4">
        <v>849</v>
      </c>
      <c r="G1425" s="9">
        <v>205.88</v>
      </c>
    </row>
    <row r="1426" spans="1:7" ht="15.6" x14ac:dyDescent="0.3">
      <c r="A1426" s="16">
        <v>45151</v>
      </c>
      <c r="B1426" s="10" t="s">
        <v>10</v>
      </c>
      <c r="C1426" s="10" t="s">
        <v>11</v>
      </c>
      <c r="D1426" s="10" t="s">
        <v>12</v>
      </c>
      <c r="E1426" s="4">
        <v>6</v>
      </c>
      <c r="F1426" s="4">
        <v>3186</v>
      </c>
      <c r="G1426" s="9">
        <v>374.63</v>
      </c>
    </row>
    <row r="1427" spans="1:7" ht="15.6" x14ac:dyDescent="0.3">
      <c r="A1427" s="16">
        <v>45427</v>
      </c>
      <c r="B1427" s="10" t="s">
        <v>20</v>
      </c>
      <c r="C1427" s="10" t="s">
        <v>11</v>
      </c>
      <c r="D1427" s="10" t="s">
        <v>15</v>
      </c>
      <c r="E1427" s="4">
        <v>4</v>
      </c>
      <c r="F1427" s="4">
        <v>2536</v>
      </c>
      <c r="G1427" s="9">
        <v>495.13</v>
      </c>
    </row>
    <row r="1428" spans="1:7" ht="15.6" x14ac:dyDescent="0.3">
      <c r="A1428" s="16">
        <v>45421</v>
      </c>
      <c r="B1428" s="10" t="s">
        <v>19</v>
      </c>
      <c r="C1428" s="10" t="s">
        <v>14</v>
      </c>
      <c r="D1428" s="10" t="s">
        <v>15</v>
      </c>
      <c r="E1428" s="4">
        <v>2</v>
      </c>
      <c r="F1428" s="4">
        <v>1306</v>
      </c>
      <c r="G1428" s="9">
        <v>228.41</v>
      </c>
    </row>
    <row r="1429" spans="1:7" ht="15.6" x14ac:dyDescent="0.3">
      <c r="A1429" s="16">
        <v>44683</v>
      </c>
      <c r="B1429" s="10" t="s">
        <v>13</v>
      </c>
      <c r="C1429" s="10" t="s">
        <v>14</v>
      </c>
      <c r="D1429" s="10" t="s">
        <v>12</v>
      </c>
      <c r="E1429" s="4">
        <v>3</v>
      </c>
      <c r="F1429" s="4">
        <v>2508</v>
      </c>
      <c r="G1429" s="9">
        <v>631.85</v>
      </c>
    </row>
    <row r="1430" spans="1:7" ht="15.6" x14ac:dyDescent="0.3">
      <c r="A1430" s="16">
        <v>45486</v>
      </c>
      <c r="B1430" s="10" t="s">
        <v>13</v>
      </c>
      <c r="C1430" s="10" t="s">
        <v>14</v>
      </c>
      <c r="D1430" s="10" t="s">
        <v>9</v>
      </c>
      <c r="E1430" s="4">
        <v>8</v>
      </c>
      <c r="F1430" s="4">
        <v>1048</v>
      </c>
      <c r="G1430" s="9">
        <v>107.56</v>
      </c>
    </row>
    <row r="1431" spans="1:7" ht="15.6" x14ac:dyDescent="0.3">
      <c r="A1431" s="16">
        <v>44884</v>
      </c>
      <c r="B1431" s="10" t="s">
        <v>22</v>
      </c>
      <c r="C1431" s="10" t="s">
        <v>11</v>
      </c>
      <c r="D1431" s="10" t="s">
        <v>12</v>
      </c>
      <c r="E1431" s="4">
        <v>4</v>
      </c>
      <c r="F1431" s="4">
        <v>1516</v>
      </c>
      <c r="G1431" s="9">
        <v>256.95999999999998</v>
      </c>
    </row>
    <row r="1432" spans="1:7" ht="15.6" x14ac:dyDescent="0.3">
      <c r="A1432" s="16">
        <v>45355</v>
      </c>
      <c r="B1432" s="10" t="s">
        <v>21</v>
      </c>
      <c r="C1432" s="10" t="s">
        <v>14</v>
      </c>
      <c r="D1432" s="10" t="s">
        <v>16</v>
      </c>
      <c r="E1432" s="4">
        <v>9</v>
      </c>
      <c r="F1432" s="4">
        <v>10458</v>
      </c>
      <c r="G1432" s="9">
        <v>1835.21</v>
      </c>
    </row>
    <row r="1433" spans="1:7" ht="15.6" x14ac:dyDescent="0.3">
      <c r="A1433" s="16">
        <v>45432</v>
      </c>
      <c r="B1433" s="10" t="s">
        <v>18</v>
      </c>
      <c r="C1433" s="10" t="s">
        <v>11</v>
      </c>
      <c r="D1433" s="10" t="s">
        <v>12</v>
      </c>
      <c r="E1433" s="4">
        <v>9</v>
      </c>
      <c r="F1433" s="4">
        <v>2754</v>
      </c>
      <c r="G1433" s="9">
        <v>259.16000000000003</v>
      </c>
    </row>
    <row r="1434" spans="1:7" ht="15.6" x14ac:dyDescent="0.3">
      <c r="A1434" s="16">
        <v>44832</v>
      </c>
      <c r="B1434" s="10" t="s">
        <v>7</v>
      </c>
      <c r="C1434" s="10" t="s">
        <v>8</v>
      </c>
      <c r="D1434" s="10" t="s">
        <v>16</v>
      </c>
      <c r="E1434" s="4">
        <v>4</v>
      </c>
      <c r="F1434" s="4">
        <v>3432</v>
      </c>
      <c r="G1434" s="9">
        <v>364.27</v>
      </c>
    </row>
    <row r="1435" spans="1:7" ht="15.6" x14ac:dyDescent="0.3">
      <c r="A1435" s="16">
        <v>44920</v>
      </c>
      <c r="B1435" s="10" t="s">
        <v>20</v>
      </c>
      <c r="C1435" s="10" t="s">
        <v>11</v>
      </c>
      <c r="D1435" s="10" t="s">
        <v>15</v>
      </c>
      <c r="E1435" s="4">
        <v>2</v>
      </c>
      <c r="F1435" s="4">
        <v>1234</v>
      </c>
      <c r="G1435" s="9">
        <v>257.89</v>
      </c>
    </row>
    <row r="1436" spans="1:7" ht="15.6" x14ac:dyDescent="0.3">
      <c r="A1436" s="16">
        <v>44772</v>
      </c>
      <c r="B1436" s="10" t="s">
        <v>20</v>
      </c>
      <c r="C1436" s="10" t="s">
        <v>11</v>
      </c>
      <c r="D1436" s="10" t="s">
        <v>12</v>
      </c>
      <c r="E1436" s="4">
        <v>1</v>
      </c>
      <c r="F1436" s="4">
        <v>847</v>
      </c>
      <c r="G1436" s="9">
        <v>146.25</v>
      </c>
    </row>
    <row r="1437" spans="1:7" ht="15.6" x14ac:dyDescent="0.3">
      <c r="A1437" s="16">
        <v>44857</v>
      </c>
      <c r="B1437" s="10" t="s">
        <v>22</v>
      </c>
      <c r="C1437" s="10" t="s">
        <v>11</v>
      </c>
      <c r="D1437" s="10" t="s">
        <v>15</v>
      </c>
      <c r="E1437" s="4">
        <v>7</v>
      </c>
      <c r="F1437" s="4">
        <v>7672</v>
      </c>
      <c r="G1437" s="9">
        <v>896.11</v>
      </c>
    </row>
    <row r="1438" spans="1:7" ht="15.6" x14ac:dyDescent="0.3">
      <c r="A1438" s="16">
        <v>45386</v>
      </c>
      <c r="B1438" s="10" t="s">
        <v>20</v>
      </c>
      <c r="C1438" s="10" t="s">
        <v>11</v>
      </c>
      <c r="D1438" s="10" t="s">
        <v>9</v>
      </c>
      <c r="E1438" s="4">
        <v>9</v>
      </c>
      <c r="F1438" s="4">
        <v>7596</v>
      </c>
      <c r="G1438" s="9">
        <v>1454.15</v>
      </c>
    </row>
    <row r="1439" spans="1:7" ht="15.6" x14ac:dyDescent="0.3">
      <c r="A1439" s="16">
        <v>45598</v>
      </c>
      <c r="B1439" s="10" t="s">
        <v>22</v>
      </c>
      <c r="C1439" s="10" t="s">
        <v>11</v>
      </c>
      <c r="D1439" s="10" t="s">
        <v>12</v>
      </c>
      <c r="E1439" s="4">
        <v>7</v>
      </c>
      <c r="F1439" s="4">
        <v>7252</v>
      </c>
      <c r="G1439" s="9">
        <v>1357.27</v>
      </c>
    </row>
    <row r="1440" spans="1:7" ht="15.6" x14ac:dyDescent="0.3">
      <c r="A1440" s="16">
        <v>45631</v>
      </c>
      <c r="B1440" s="10" t="s">
        <v>19</v>
      </c>
      <c r="C1440" s="10" t="s">
        <v>14</v>
      </c>
      <c r="D1440" s="10" t="s">
        <v>16</v>
      </c>
      <c r="E1440" s="4">
        <v>6</v>
      </c>
      <c r="F1440" s="4">
        <v>732</v>
      </c>
      <c r="G1440" s="9">
        <v>136.59</v>
      </c>
    </row>
    <row r="1441" spans="1:7" ht="15.6" x14ac:dyDescent="0.3">
      <c r="A1441" s="16">
        <v>45104</v>
      </c>
      <c r="B1441" s="10" t="s">
        <v>21</v>
      </c>
      <c r="C1441" s="10" t="s">
        <v>14</v>
      </c>
      <c r="D1441" s="10" t="s">
        <v>16</v>
      </c>
      <c r="E1441" s="4">
        <v>1</v>
      </c>
      <c r="F1441" s="4">
        <v>173</v>
      </c>
      <c r="G1441" s="9">
        <v>20.96</v>
      </c>
    </row>
    <row r="1442" spans="1:7" ht="15.6" x14ac:dyDescent="0.3">
      <c r="A1442" s="16">
        <v>45003</v>
      </c>
      <c r="B1442" s="10" t="s">
        <v>17</v>
      </c>
      <c r="C1442" s="10" t="s">
        <v>14</v>
      </c>
      <c r="D1442" s="10" t="s">
        <v>9</v>
      </c>
      <c r="E1442" s="4">
        <v>3</v>
      </c>
      <c r="F1442" s="4">
        <v>2805</v>
      </c>
      <c r="G1442" s="9">
        <v>749.5</v>
      </c>
    </row>
    <row r="1443" spans="1:7" ht="15.6" x14ac:dyDescent="0.3">
      <c r="A1443" s="16">
        <v>45187</v>
      </c>
      <c r="B1443" s="10" t="s">
        <v>21</v>
      </c>
      <c r="C1443" s="10" t="s">
        <v>14</v>
      </c>
      <c r="D1443" s="10" t="s">
        <v>16</v>
      </c>
      <c r="E1443" s="4">
        <v>8</v>
      </c>
      <c r="F1443" s="4">
        <v>7048</v>
      </c>
      <c r="G1443" s="9">
        <v>391.96</v>
      </c>
    </row>
    <row r="1444" spans="1:7" ht="15.6" x14ac:dyDescent="0.3">
      <c r="A1444" s="16">
        <v>45520</v>
      </c>
      <c r="B1444" s="10" t="s">
        <v>10</v>
      </c>
      <c r="C1444" s="10" t="s">
        <v>11</v>
      </c>
      <c r="D1444" s="10" t="s">
        <v>12</v>
      </c>
      <c r="E1444" s="4">
        <v>6</v>
      </c>
      <c r="F1444" s="4">
        <v>4698</v>
      </c>
      <c r="G1444" s="9">
        <v>1020.11</v>
      </c>
    </row>
    <row r="1445" spans="1:7" ht="15.6" x14ac:dyDescent="0.3">
      <c r="A1445" s="16">
        <v>45308</v>
      </c>
      <c r="B1445" s="10" t="s">
        <v>19</v>
      </c>
      <c r="C1445" s="10" t="s">
        <v>14</v>
      </c>
      <c r="D1445" s="10" t="s">
        <v>15</v>
      </c>
      <c r="E1445" s="4">
        <v>1</v>
      </c>
      <c r="F1445" s="4">
        <v>565</v>
      </c>
      <c r="G1445" s="9">
        <v>148.79</v>
      </c>
    </row>
    <row r="1446" spans="1:7" ht="15.6" x14ac:dyDescent="0.3">
      <c r="A1446" s="16">
        <v>45094</v>
      </c>
      <c r="B1446" s="10" t="s">
        <v>20</v>
      </c>
      <c r="C1446" s="10" t="s">
        <v>11</v>
      </c>
      <c r="D1446" s="10" t="s">
        <v>9</v>
      </c>
      <c r="E1446" s="4">
        <v>1</v>
      </c>
      <c r="F1446" s="4">
        <v>672</v>
      </c>
      <c r="G1446" s="9">
        <v>198.75</v>
      </c>
    </row>
    <row r="1447" spans="1:7" ht="15.6" x14ac:dyDescent="0.3">
      <c r="A1447" s="16">
        <v>44766</v>
      </c>
      <c r="B1447" s="10" t="s">
        <v>17</v>
      </c>
      <c r="C1447" s="10" t="s">
        <v>14</v>
      </c>
      <c r="D1447" s="10" t="s">
        <v>15</v>
      </c>
      <c r="E1447" s="4">
        <v>6</v>
      </c>
      <c r="F1447" s="4">
        <v>2604</v>
      </c>
      <c r="G1447" s="9">
        <v>566.34</v>
      </c>
    </row>
    <row r="1448" spans="1:7" ht="15.6" x14ac:dyDescent="0.3">
      <c r="A1448" s="16">
        <v>45443</v>
      </c>
      <c r="B1448" s="10" t="s">
        <v>13</v>
      </c>
      <c r="C1448" s="10" t="s">
        <v>14</v>
      </c>
      <c r="D1448" s="10" t="s">
        <v>16</v>
      </c>
      <c r="E1448" s="4">
        <v>6</v>
      </c>
      <c r="F1448" s="4">
        <v>5124</v>
      </c>
      <c r="G1448" s="9">
        <v>501.5</v>
      </c>
    </row>
    <row r="1449" spans="1:7" ht="15.6" x14ac:dyDescent="0.3">
      <c r="A1449" s="16">
        <v>44787</v>
      </c>
      <c r="B1449" s="10" t="s">
        <v>19</v>
      </c>
      <c r="C1449" s="10" t="s">
        <v>14</v>
      </c>
      <c r="D1449" s="10" t="s">
        <v>16</v>
      </c>
      <c r="E1449" s="4">
        <v>5</v>
      </c>
      <c r="F1449" s="4">
        <v>2455</v>
      </c>
      <c r="G1449" s="9">
        <v>714.35</v>
      </c>
    </row>
    <row r="1450" spans="1:7" ht="15.6" x14ac:dyDescent="0.3">
      <c r="A1450" s="16">
        <v>44621</v>
      </c>
      <c r="B1450" s="10" t="s">
        <v>7</v>
      </c>
      <c r="C1450" s="10" t="s">
        <v>8</v>
      </c>
      <c r="D1450" s="10" t="s">
        <v>9</v>
      </c>
      <c r="E1450" s="4">
        <v>2</v>
      </c>
      <c r="F1450" s="4">
        <v>1796</v>
      </c>
      <c r="G1450" s="9">
        <v>225.15</v>
      </c>
    </row>
    <row r="1451" spans="1:7" ht="15.6" x14ac:dyDescent="0.3">
      <c r="A1451" s="16">
        <v>44586</v>
      </c>
      <c r="B1451" s="10" t="s">
        <v>23</v>
      </c>
      <c r="C1451" s="10" t="s">
        <v>14</v>
      </c>
      <c r="D1451" s="10" t="s">
        <v>15</v>
      </c>
      <c r="E1451" s="4">
        <v>1</v>
      </c>
      <c r="F1451" s="4">
        <v>288</v>
      </c>
      <c r="G1451" s="9">
        <v>61.85</v>
      </c>
    </row>
    <row r="1452" spans="1:7" ht="15.6" x14ac:dyDescent="0.3">
      <c r="A1452" s="16">
        <v>45130</v>
      </c>
      <c r="B1452" s="10" t="s">
        <v>23</v>
      </c>
      <c r="C1452" s="10" t="s">
        <v>14</v>
      </c>
      <c r="D1452" s="10" t="s">
        <v>9</v>
      </c>
      <c r="E1452" s="4">
        <v>5</v>
      </c>
      <c r="F1452" s="4">
        <v>2160</v>
      </c>
      <c r="G1452" s="9">
        <v>553.41</v>
      </c>
    </row>
    <row r="1453" spans="1:7" ht="15.6" x14ac:dyDescent="0.3">
      <c r="A1453" s="16">
        <v>44630</v>
      </c>
      <c r="B1453" s="10" t="s">
        <v>13</v>
      </c>
      <c r="C1453" s="10" t="s">
        <v>14</v>
      </c>
      <c r="D1453" s="10" t="s">
        <v>16</v>
      </c>
      <c r="E1453" s="4">
        <v>1</v>
      </c>
      <c r="F1453" s="4">
        <v>105</v>
      </c>
      <c r="G1453" s="9">
        <v>27.36</v>
      </c>
    </row>
    <row r="1454" spans="1:7" ht="15.6" x14ac:dyDescent="0.3">
      <c r="A1454" s="16">
        <v>45051</v>
      </c>
      <c r="B1454" s="10" t="s">
        <v>20</v>
      </c>
      <c r="C1454" s="10" t="s">
        <v>11</v>
      </c>
      <c r="D1454" s="10" t="s">
        <v>15</v>
      </c>
      <c r="E1454" s="4">
        <v>9</v>
      </c>
      <c r="F1454" s="4">
        <v>7578</v>
      </c>
      <c r="G1454" s="9">
        <v>1596.64</v>
      </c>
    </row>
    <row r="1455" spans="1:7" ht="15.6" x14ac:dyDescent="0.3">
      <c r="A1455" s="16">
        <v>44995</v>
      </c>
      <c r="B1455" s="10" t="s">
        <v>18</v>
      </c>
      <c r="C1455" s="10" t="s">
        <v>11</v>
      </c>
      <c r="D1455" s="10" t="s">
        <v>15</v>
      </c>
      <c r="E1455" s="4">
        <v>1</v>
      </c>
      <c r="F1455" s="4">
        <v>365</v>
      </c>
      <c r="G1455" s="9">
        <v>50.1</v>
      </c>
    </row>
    <row r="1456" spans="1:7" ht="15.6" x14ac:dyDescent="0.3">
      <c r="A1456" s="16">
        <v>45405</v>
      </c>
      <c r="B1456" s="10" t="s">
        <v>17</v>
      </c>
      <c r="C1456" s="10" t="s">
        <v>14</v>
      </c>
      <c r="D1456" s="10" t="s">
        <v>16</v>
      </c>
      <c r="E1456" s="4">
        <v>8</v>
      </c>
      <c r="F1456" s="4">
        <v>3752</v>
      </c>
      <c r="G1456" s="9">
        <v>537.98</v>
      </c>
    </row>
    <row r="1457" spans="1:7" ht="15.6" x14ac:dyDescent="0.3">
      <c r="A1457" s="16">
        <v>45525</v>
      </c>
      <c r="B1457" s="10" t="s">
        <v>22</v>
      </c>
      <c r="C1457" s="10" t="s">
        <v>11</v>
      </c>
      <c r="D1457" s="10" t="s">
        <v>9</v>
      </c>
      <c r="E1457" s="4">
        <v>2</v>
      </c>
      <c r="F1457" s="4">
        <v>1384</v>
      </c>
      <c r="G1457" s="9">
        <v>316.20999999999998</v>
      </c>
    </row>
    <row r="1458" spans="1:7" ht="15.6" x14ac:dyDescent="0.3">
      <c r="A1458" s="16">
        <v>44978</v>
      </c>
      <c r="B1458" s="10" t="s">
        <v>21</v>
      </c>
      <c r="C1458" s="10" t="s">
        <v>14</v>
      </c>
      <c r="D1458" s="10" t="s">
        <v>16</v>
      </c>
      <c r="E1458" s="4">
        <v>5</v>
      </c>
      <c r="F1458" s="4">
        <v>475</v>
      </c>
      <c r="G1458" s="9">
        <v>76.22</v>
      </c>
    </row>
    <row r="1459" spans="1:7" ht="15.6" x14ac:dyDescent="0.3">
      <c r="A1459" s="16">
        <v>44935</v>
      </c>
      <c r="B1459" s="10" t="s">
        <v>7</v>
      </c>
      <c r="C1459" s="10" t="s">
        <v>8</v>
      </c>
      <c r="D1459" s="10" t="s">
        <v>16</v>
      </c>
      <c r="E1459" s="4">
        <v>4</v>
      </c>
      <c r="F1459" s="4">
        <v>1116</v>
      </c>
      <c r="G1459" s="9">
        <v>242.31</v>
      </c>
    </row>
    <row r="1460" spans="1:7" ht="15.6" x14ac:dyDescent="0.3">
      <c r="A1460" s="16">
        <v>45162</v>
      </c>
      <c r="B1460" s="10" t="s">
        <v>21</v>
      </c>
      <c r="C1460" s="10" t="s">
        <v>14</v>
      </c>
      <c r="D1460" s="10" t="s">
        <v>16</v>
      </c>
      <c r="E1460" s="4">
        <v>1</v>
      </c>
      <c r="F1460" s="4">
        <v>137</v>
      </c>
      <c r="G1460" s="9">
        <v>39.35</v>
      </c>
    </row>
    <row r="1461" spans="1:7" ht="15.6" x14ac:dyDescent="0.3">
      <c r="A1461" s="16">
        <v>44573</v>
      </c>
      <c r="B1461" s="10" t="s">
        <v>18</v>
      </c>
      <c r="C1461" s="10" t="s">
        <v>11</v>
      </c>
      <c r="D1461" s="10" t="s">
        <v>15</v>
      </c>
      <c r="E1461" s="4">
        <v>6</v>
      </c>
      <c r="F1461" s="4">
        <v>738</v>
      </c>
      <c r="G1461" s="9">
        <v>158.96</v>
      </c>
    </row>
    <row r="1462" spans="1:7" ht="15.6" x14ac:dyDescent="0.3">
      <c r="A1462" s="16">
        <v>45208</v>
      </c>
      <c r="B1462" s="10" t="s">
        <v>17</v>
      </c>
      <c r="C1462" s="10" t="s">
        <v>14</v>
      </c>
      <c r="D1462" s="10" t="s">
        <v>16</v>
      </c>
      <c r="E1462" s="4">
        <v>3</v>
      </c>
      <c r="F1462" s="4">
        <v>1821</v>
      </c>
      <c r="G1462" s="9">
        <v>543.01</v>
      </c>
    </row>
    <row r="1463" spans="1:7" ht="15.6" x14ac:dyDescent="0.3">
      <c r="A1463" s="16">
        <v>44673</v>
      </c>
      <c r="B1463" s="10" t="s">
        <v>22</v>
      </c>
      <c r="C1463" s="10" t="s">
        <v>11</v>
      </c>
      <c r="D1463" s="10" t="s">
        <v>16</v>
      </c>
      <c r="E1463" s="4">
        <v>7</v>
      </c>
      <c r="F1463" s="4">
        <v>3654</v>
      </c>
      <c r="G1463" s="9">
        <v>670.16</v>
      </c>
    </row>
    <row r="1464" spans="1:7" ht="15.6" x14ac:dyDescent="0.3">
      <c r="A1464" s="16">
        <v>45487</v>
      </c>
      <c r="B1464" s="10" t="s">
        <v>22</v>
      </c>
      <c r="C1464" s="10" t="s">
        <v>11</v>
      </c>
      <c r="D1464" s="10" t="s">
        <v>12</v>
      </c>
      <c r="E1464" s="4">
        <v>6</v>
      </c>
      <c r="F1464" s="4">
        <v>2592</v>
      </c>
      <c r="G1464" s="9">
        <v>404.89</v>
      </c>
    </row>
    <row r="1465" spans="1:7" ht="15.6" x14ac:dyDescent="0.3">
      <c r="A1465" s="16">
        <v>44676</v>
      </c>
      <c r="B1465" s="10" t="s">
        <v>17</v>
      </c>
      <c r="C1465" s="10" t="s">
        <v>14</v>
      </c>
      <c r="D1465" s="10" t="s">
        <v>12</v>
      </c>
      <c r="E1465" s="4">
        <v>6</v>
      </c>
      <c r="F1465" s="4">
        <v>996</v>
      </c>
      <c r="G1465" s="9">
        <v>225.75</v>
      </c>
    </row>
    <row r="1466" spans="1:7" ht="15.6" x14ac:dyDescent="0.3">
      <c r="A1466" s="16">
        <v>45483</v>
      </c>
      <c r="B1466" s="10" t="s">
        <v>10</v>
      </c>
      <c r="C1466" s="10" t="s">
        <v>11</v>
      </c>
      <c r="D1466" s="10" t="s">
        <v>9</v>
      </c>
      <c r="E1466" s="4">
        <v>1</v>
      </c>
      <c r="F1466" s="4">
        <v>693</v>
      </c>
      <c r="G1466" s="9">
        <v>62.75</v>
      </c>
    </row>
    <row r="1467" spans="1:7" ht="15.6" x14ac:dyDescent="0.3">
      <c r="A1467" s="16">
        <v>45223</v>
      </c>
      <c r="B1467" s="10" t="s">
        <v>22</v>
      </c>
      <c r="C1467" s="10" t="s">
        <v>11</v>
      </c>
      <c r="D1467" s="10" t="s">
        <v>12</v>
      </c>
      <c r="E1467" s="4">
        <v>3</v>
      </c>
      <c r="F1467" s="4">
        <v>513</v>
      </c>
      <c r="G1467" s="9">
        <v>48.23</v>
      </c>
    </row>
    <row r="1468" spans="1:7" ht="15.6" x14ac:dyDescent="0.3">
      <c r="A1468" s="16">
        <v>45429</v>
      </c>
      <c r="B1468" s="10" t="s">
        <v>19</v>
      </c>
      <c r="C1468" s="10" t="s">
        <v>14</v>
      </c>
      <c r="D1468" s="10" t="s">
        <v>12</v>
      </c>
      <c r="E1468" s="4">
        <v>8</v>
      </c>
      <c r="F1468" s="4">
        <v>5736</v>
      </c>
      <c r="G1468" s="9">
        <v>937.62</v>
      </c>
    </row>
    <row r="1469" spans="1:7" ht="15.6" x14ac:dyDescent="0.3">
      <c r="A1469" s="16">
        <v>45022</v>
      </c>
      <c r="B1469" s="10" t="s">
        <v>10</v>
      </c>
      <c r="C1469" s="10" t="s">
        <v>11</v>
      </c>
      <c r="D1469" s="10" t="s">
        <v>12</v>
      </c>
      <c r="E1469" s="4">
        <v>2</v>
      </c>
      <c r="F1469" s="4">
        <v>1458</v>
      </c>
      <c r="G1469" s="9">
        <v>208.93</v>
      </c>
    </row>
    <row r="1470" spans="1:7" ht="15.6" x14ac:dyDescent="0.3">
      <c r="A1470" s="16">
        <v>44898</v>
      </c>
      <c r="B1470" s="10" t="s">
        <v>21</v>
      </c>
      <c r="C1470" s="10" t="s">
        <v>14</v>
      </c>
      <c r="D1470" s="10" t="s">
        <v>12</v>
      </c>
      <c r="E1470" s="4">
        <v>8</v>
      </c>
      <c r="F1470" s="4">
        <v>5496</v>
      </c>
      <c r="G1470" s="9">
        <v>1104.93</v>
      </c>
    </row>
    <row r="1471" spans="1:7" ht="15.6" x14ac:dyDescent="0.3">
      <c r="A1471" s="16">
        <v>44568</v>
      </c>
      <c r="B1471" s="10" t="s">
        <v>13</v>
      </c>
      <c r="C1471" s="10" t="s">
        <v>14</v>
      </c>
      <c r="D1471" s="10" t="s">
        <v>9</v>
      </c>
      <c r="E1471" s="4">
        <v>3</v>
      </c>
      <c r="F1471" s="4">
        <v>3183</v>
      </c>
      <c r="G1471" s="9">
        <v>358.87</v>
      </c>
    </row>
    <row r="1472" spans="1:7" ht="15.6" x14ac:dyDescent="0.3">
      <c r="A1472" s="16">
        <v>45134</v>
      </c>
      <c r="B1472" s="10" t="s">
        <v>18</v>
      </c>
      <c r="C1472" s="10" t="s">
        <v>11</v>
      </c>
      <c r="D1472" s="10" t="s">
        <v>12</v>
      </c>
      <c r="E1472" s="4">
        <v>6</v>
      </c>
      <c r="F1472" s="4">
        <v>3990</v>
      </c>
      <c r="G1472" s="9">
        <v>975.5</v>
      </c>
    </row>
    <row r="1473" spans="1:7" ht="15.6" x14ac:dyDescent="0.3">
      <c r="A1473" s="16">
        <v>45327</v>
      </c>
      <c r="B1473" s="10" t="s">
        <v>21</v>
      </c>
      <c r="C1473" s="10" t="s">
        <v>14</v>
      </c>
      <c r="D1473" s="10" t="s">
        <v>16</v>
      </c>
      <c r="E1473" s="4">
        <v>2</v>
      </c>
      <c r="F1473" s="4">
        <v>582</v>
      </c>
      <c r="G1473" s="9">
        <v>76.45</v>
      </c>
    </row>
    <row r="1474" spans="1:7" ht="15.6" x14ac:dyDescent="0.3">
      <c r="A1474" s="16">
        <v>44684</v>
      </c>
      <c r="B1474" s="10" t="s">
        <v>7</v>
      </c>
      <c r="C1474" s="10" t="s">
        <v>8</v>
      </c>
      <c r="D1474" s="10" t="s">
        <v>15</v>
      </c>
      <c r="E1474" s="4">
        <v>5</v>
      </c>
      <c r="F1474" s="4">
        <v>3340</v>
      </c>
      <c r="G1474" s="9">
        <v>845.53</v>
      </c>
    </row>
    <row r="1475" spans="1:7" ht="15.6" x14ac:dyDescent="0.3">
      <c r="A1475" s="16">
        <v>45168</v>
      </c>
      <c r="B1475" s="10" t="s">
        <v>20</v>
      </c>
      <c r="C1475" s="10" t="s">
        <v>11</v>
      </c>
      <c r="D1475" s="10" t="s">
        <v>16</v>
      </c>
      <c r="E1475" s="4">
        <v>1</v>
      </c>
      <c r="F1475" s="4">
        <v>890</v>
      </c>
      <c r="G1475" s="9">
        <v>59.1</v>
      </c>
    </row>
    <row r="1476" spans="1:7" ht="15.6" x14ac:dyDescent="0.3">
      <c r="A1476" s="16">
        <v>45557</v>
      </c>
      <c r="B1476" s="10" t="s">
        <v>7</v>
      </c>
      <c r="C1476" s="10" t="s">
        <v>8</v>
      </c>
      <c r="D1476" s="10" t="s">
        <v>12</v>
      </c>
      <c r="E1476" s="4">
        <v>6</v>
      </c>
      <c r="F1476" s="4">
        <v>4890</v>
      </c>
      <c r="G1476" s="9">
        <v>689.01</v>
      </c>
    </row>
    <row r="1477" spans="1:7" ht="15.6" x14ac:dyDescent="0.3">
      <c r="A1477" s="16">
        <v>45218</v>
      </c>
      <c r="B1477" s="10" t="s">
        <v>22</v>
      </c>
      <c r="C1477" s="10" t="s">
        <v>11</v>
      </c>
      <c r="D1477" s="10" t="s">
        <v>12</v>
      </c>
      <c r="E1477" s="4">
        <v>3</v>
      </c>
      <c r="F1477" s="4">
        <v>2625</v>
      </c>
      <c r="G1477" s="9">
        <v>349.61</v>
      </c>
    </row>
    <row r="1478" spans="1:7" ht="15.6" x14ac:dyDescent="0.3">
      <c r="A1478" s="16">
        <v>44818</v>
      </c>
      <c r="B1478" s="10" t="s">
        <v>19</v>
      </c>
      <c r="C1478" s="10" t="s">
        <v>14</v>
      </c>
      <c r="D1478" s="10" t="s">
        <v>9</v>
      </c>
      <c r="E1478" s="4">
        <v>4</v>
      </c>
      <c r="F1478" s="4">
        <v>1440</v>
      </c>
      <c r="G1478" s="9">
        <v>200.09</v>
      </c>
    </row>
    <row r="1479" spans="1:7" ht="15.6" x14ac:dyDescent="0.3">
      <c r="A1479" s="16">
        <v>45652</v>
      </c>
      <c r="B1479" s="10" t="s">
        <v>18</v>
      </c>
      <c r="C1479" s="10" t="s">
        <v>11</v>
      </c>
      <c r="D1479" s="10" t="s">
        <v>9</v>
      </c>
      <c r="E1479" s="4">
        <v>5</v>
      </c>
      <c r="F1479" s="4">
        <v>505</v>
      </c>
      <c r="G1479" s="9">
        <v>93.85</v>
      </c>
    </row>
    <row r="1480" spans="1:7" ht="15.6" x14ac:dyDescent="0.3">
      <c r="A1480" s="16">
        <v>44589</v>
      </c>
      <c r="B1480" s="10" t="s">
        <v>23</v>
      </c>
      <c r="C1480" s="10" t="s">
        <v>14</v>
      </c>
      <c r="D1480" s="10" t="s">
        <v>9</v>
      </c>
      <c r="E1480" s="4">
        <v>8</v>
      </c>
      <c r="F1480" s="4">
        <v>8192</v>
      </c>
      <c r="G1480" s="9">
        <v>1822.87</v>
      </c>
    </row>
    <row r="1481" spans="1:7" ht="15.6" x14ac:dyDescent="0.3">
      <c r="A1481" s="16">
        <v>45147</v>
      </c>
      <c r="B1481" s="10" t="s">
        <v>22</v>
      </c>
      <c r="C1481" s="10" t="s">
        <v>11</v>
      </c>
      <c r="D1481" s="10" t="s">
        <v>12</v>
      </c>
      <c r="E1481" s="4">
        <v>3</v>
      </c>
      <c r="F1481" s="4">
        <v>1920</v>
      </c>
      <c r="G1481" s="9">
        <v>144.30000000000001</v>
      </c>
    </row>
    <row r="1482" spans="1:7" ht="15.6" x14ac:dyDescent="0.3">
      <c r="A1482" s="16">
        <v>44852</v>
      </c>
      <c r="B1482" s="10" t="s">
        <v>19</v>
      </c>
      <c r="C1482" s="10" t="s">
        <v>14</v>
      </c>
      <c r="D1482" s="10" t="s">
        <v>16</v>
      </c>
      <c r="E1482" s="4">
        <v>8</v>
      </c>
      <c r="F1482" s="4">
        <v>8768</v>
      </c>
      <c r="G1482" s="9">
        <v>1065.8</v>
      </c>
    </row>
    <row r="1483" spans="1:7" ht="15.6" x14ac:dyDescent="0.3">
      <c r="A1483" s="16">
        <v>44846</v>
      </c>
      <c r="B1483" s="10" t="s">
        <v>10</v>
      </c>
      <c r="C1483" s="10" t="s">
        <v>11</v>
      </c>
      <c r="D1483" s="10" t="s">
        <v>9</v>
      </c>
      <c r="E1483" s="4">
        <v>1</v>
      </c>
      <c r="F1483" s="4">
        <v>1140</v>
      </c>
      <c r="G1483" s="9">
        <v>117.05</v>
      </c>
    </row>
    <row r="1484" spans="1:7" ht="15.6" x14ac:dyDescent="0.3">
      <c r="A1484" s="16">
        <v>44949</v>
      </c>
      <c r="B1484" s="10" t="s">
        <v>23</v>
      </c>
      <c r="C1484" s="10" t="s">
        <v>14</v>
      </c>
      <c r="D1484" s="10" t="s">
        <v>9</v>
      </c>
      <c r="E1484" s="4">
        <v>4</v>
      </c>
      <c r="F1484" s="4">
        <v>952</v>
      </c>
      <c r="G1484" s="9">
        <v>264.61</v>
      </c>
    </row>
    <row r="1485" spans="1:7" ht="15.6" x14ac:dyDescent="0.3">
      <c r="A1485" s="16">
        <v>45414</v>
      </c>
      <c r="B1485" s="10" t="s">
        <v>21</v>
      </c>
      <c r="C1485" s="10" t="s">
        <v>14</v>
      </c>
      <c r="D1485" s="10" t="s">
        <v>9</v>
      </c>
      <c r="E1485" s="4">
        <v>1</v>
      </c>
      <c r="F1485" s="4">
        <v>225</v>
      </c>
      <c r="G1485" s="9">
        <v>51.07</v>
      </c>
    </row>
    <row r="1486" spans="1:7" ht="15.6" x14ac:dyDescent="0.3">
      <c r="A1486" s="16">
        <v>44774</v>
      </c>
      <c r="B1486" s="10" t="s">
        <v>7</v>
      </c>
      <c r="C1486" s="10" t="s">
        <v>8</v>
      </c>
      <c r="D1486" s="10" t="s">
        <v>15</v>
      </c>
      <c r="E1486" s="4">
        <v>4</v>
      </c>
      <c r="F1486" s="4">
        <v>1304</v>
      </c>
      <c r="G1486" s="9">
        <v>336.95</v>
      </c>
    </row>
    <row r="1487" spans="1:7" ht="15.6" x14ac:dyDescent="0.3">
      <c r="A1487" s="16">
        <v>45102</v>
      </c>
      <c r="B1487" s="10" t="s">
        <v>17</v>
      </c>
      <c r="C1487" s="10" t="s">
        <v>14</v>
      </c>
      <c r="D1487" s="10" t="s">
        <v>12</v>
      </c>
      <c r="E1487" s="4">
        <v>3</v>
      </c>
      <c r="F1487" s="4">
        <v>1029</v>
      </c>
      <c r="G1487" s="9">
        <v>206.83</v>
      </c>
    </row>
    <row r="1488" spans="1:7" ht="15.6" x14ac:dyDescent="0.3">
      <c r="A1488" s="16">
        <v>45351</v>
      </c>
      <c r="B1488" s="10" t="s">
        <v>7</v>
      </c>
      <c r="C1488" s="10" t="s">
        <v>8</v>
      </c>
      <c r="D1488" s="10" t="s">
        <v>15</v>
      </c>
      <c r="E1488" s="4">
        <v>3</v>
      </c>
      <c r="F1488" s="4">
        <v>3402</v>
      </c>
      <c r="G1488" s="9">
        <v>442.67</v>
      </c>
    </row>
    <row r="1489" spans="1:7" ht="15.6" x14ac:dyDescent="0.3">
      <c r="A1489" s="16">
        <v>44705</v>
      </c>
      <c r="B1489" s="10" t="s">
        <v>23</v>
      </c>
      <c r="C1489" s="10" t="s">
        <v>14</v>
      </c>
      <c r="D1489" s="10" t="s">
        <v>9</v>
      </c>
      <c r="E1489" s="4">
        <v>9</v>
      </c>
      <c r="F1489" s="4">
        <v>8460</v>
      </c>
      <c r="G1489" s="9">
        <v>1201.94</v>
      </c>
    </row>
    <row r="1490" spans="1:7" ht="15.6" x14ac:dyDescent="0.3">
      <c r="A1490" s="16">
        <v>45358</v>
      </c>
      <c r="B1490" s="10" t="s">
        <v>20</v>
      </c>
      <c r="C1490" s="10" t="s">
        <v>11</v>
      </c>
      <c r="D1490" s="10" t="s">
        <v>9</v>
      </c>
      <c r="E1490" s="4">
        <v>1</v>
      </c>
      <c r="F1490" s="4">
        <v>104</v>
      </c>
      <c r="G1490" s="9">
        <v>26.86</v>
      </c>
    </row>
    <row r="1491" spans="1:7" ht="15.6" x14ac:dyDescent="0.3">
      <c r="A1491" s="16">
        <v>45278</v>
      </c>
      <c r="B1491" s="10" t="s">
        <v>20</v>
      </c>
      <c r="C1491" s="10" t="s">
        <v>11</v>
      </c>
      <c r="D1491" s="10" t="s">
        <v>16</v>
      </c>
      <c r="E1491" s="4">
        <v>9</v>
      </c>
      <c r="F1491" s="4">
        <v>10665</v>
      </c>
      <c r="G1491" s="9">
        <v>1595.08</v>
      </c>
    </row>
    <row r="1492" spans="1:7" ht="15.6" x14ac:dyDescent="0.3">
      <c r="A1492" s="16">
        <v>45150</v>
      </c>
      <c r="B1492" s="10" t="s">
        <v>19</v>
      </c>
      <c r="C1492" s="10" t="s">
        <v>14</v>
      </c>
      <c r="D1492" s="10" t="s">
        <v>12</v>
      </c>
      <c r="E1492" s="4">
        <v>8</v>
      </c>
      <c r="F1492" s="4">
        <v>984</v>
      </c>
      <c r="G1492" s="9">
        <v>183.07</v>
      </c>
    </row>
    <row r="1493" spans="1:7" ht="15.6" x14ac:dyDescent="0.3">
      <c r="A1493" s="16">
        <v>45553</v>
      </c>
      <c r="B1493" s="10" t="s">
        <v>21</v>
      </c>
      <c r="C1493" s="10" t="s">
        <v>14</v>
      </c>
      <c r="D1493" s="10" t="s">
        <v>9</v>
      </c>
      <c r="E1493" s="4">
        <v>4</v>
      </c>
      <c r="F1493" s="4">
        <v>2064</v>
      </c>
      <c r="G1493" s="9">
        <v>359.3</v>
      </c>
    </row>
    <row r="1494" spans="1:7" ht="15.6" x14ac:dyDescent="0.3">
      <c r="A1494" s="16">
        <v>44628</v>
      </c>
      <c r="B1494" s="10" t="s">
        <v>23</v>
      </c>
      <c r="C1494" s="10" t="s">
        <v>14</v>
      </c>
      <c r="D1494" s="10" t="s">
        <v>9</v>
      </c>
      <c r="E1494" s="4">
        <v>2</v>
      </c>
      <c r="F1494" s="4">
        <v>594</v>
      </c>
      <c r="G1494" s="9">
        <v>172.47</v>
      </c>
    </row>
    <row r="1495" spans="1:7" ht="15.6" x14ac:dyDescent="0.3">
      <c r="A1495" s="16">
        <v>45224</v>
      </c>
      <c r="B1495" s="10" t="s">
        <v>7</v>
      </c>
      <c r="C1495" s="10" t="s">
        <v>8</v>
      </c>
      <c r="D1495" s="10" t="s">
        <v>15</v>
      </c>
      <c r="E1495" s="4">
        <v>8</v>
      </c>
      <c r="F1495" s="4">
        <v>6016</v>
      </c>
      <c r="G1495" s="9">
        <v>898.33</v>
      </c>
    </row>
    <row r="1496" spans="1:7" ht="15.6" x14ac:dyDescent="0.3">
      <c r="A1496" s="16">
        <v>45526</v>
      </c>
      <c r="B1496" s="10" t="s">
        <v>21</v>
      </c>
      <c r="C1496" s="10" t="s">
        <v>14</v>
      </c>
      <c r="D1496" s="10" t="s">
        <v>9</v>
      </c>
      <c r="E1496" s="4">
        <v>8</v>
      </c>
      <c r="F1496" s="4">
        <v>2864</v>
      </c>
      <c r="G1496" s="9">
        <v>195.16</v>
      </c>
    </row>
    <row r="1497" spans="1:7" ht="15.6" x14ac:dyDescent="0.3">
      <c r="A1497" s="16">
        <v>45490</v>
      </c>
      <c r="B1497" s="10" t="s">
        <v>13</v>
      </c>
      <c r="C1497" s="10" t="s">
        <v>14</v>
      </c>
      <c r="D1497" s="10" t="s">
        <v>9</v>
      </c>
      <c r="E1497" s="4">
        <v>4</v>
      </c>
      <c r="F1497" s="4">
        <v>724</v>
      </c>
      <c r="G1497" s="9">
        <v>186.95</v>
      </c>
    </row>
    <row r="1498" spans="1:7" ht="15.6" x14ac:dyDescent="0.3">
      <c r="A1498" s="16">
        <v>45333</v>
      </c>
      <c r="B1498" s="10" t="s">
        <v>10</v>
      </c>
      <c r="C1498" s="10" t="s">
        <v>11</v>
      </c>
      <c r="D1498" s="10" t="s">
        <v>12</v>
      </c>
      <c r="E1498" s="4">
        <v>6</v>
      </c>
      <c r="F1498" s="4">
        <v>4098</v>
      </c>
      <c r="G1498" s="9">
        <v>1174.46</v>
      </c>
    </row>
    <row r="1499" spans="1:7" ht="15.6" x14ac:dyDescent="0.3">
      <c r="A1499" s="16">
        <v>45089</v>
      </c>
      <c r="B1499" s="10" t="s">
        <v>20</v>
      </c>
      <c r="C1499" s="10" t="s">
        <v>11</v>
      </c>
      <c r="D1499" s="10" t="s">
        <v>9</v>
      </c>
      <c r="E1499" s="4">
        <v>1</v>
      </c>
      <c r="F1499" s="4">
        <v>338</v>
      </c>
      <c r="G1499" s="9">
        <v>32.61</v>
      </c>
    </row>
    <row r="1500" spans="1:7" ht="15.6" x14ac:dyDescent="0.3">
      <c r="A1500" s="16">
        <v>45360</v>
      </c>
      <c r="B1500" s="10" t="s">
        <v>7</v>
      </c>
      <c r="C1500" s="10" t="s">
        <v>8</v>
      </c>
      <c r="D1500" s="10" t="s">
        <v>16</v>
      </c>
      <c r="E1500" s="4">
        <v>8</v>
      </c>
      <c r="F1500" s="4">
        <v>9280</v>
      </c>
      <c r="G1500" s="9">
        <v>1596.88</v>
      </c>
    </row>
    <row r="1501" spans="1:7" ht="15.6" x14ac:dyDescent="0.3">
      <c r="A1501" s="16">
        <v>44667</v>
      </c>
      <c r="B1501" s="10" t="s">
        <v>19</v>
      </c>
      <c r="C1501" s="10" t="s">
        <v>14</v>
      </c>
      <c r="D1501" s="10" t="s">
        <v>12</v>
      </c>
      <c r="E1501" s="4">
        <v>1</v>
      </c>
      <c r="F1501" s="4">
        <v>890</v>
      </c>
      <c r="G1501" s="9">
        <v>57.04</v>
      </c>
    </row>
    <row r="1502" spans="1:7" ht="15.6" x14ac:dyDescent="0.3">
      <c r="A1502" s="16">
        <v>45042</v>
      </c>
      <c r="B1502" s="10" t="s">
        <v>13</v>
      </c>
      <c r="C1502" s="10" t="s">
        <v>14</v>
      </c>
      <c r="D1502" s="10" t="s">
        <v>15</v>
      </c>
      <c r="E1502" s="4">
        <v>2</v>
      </c>
      <c r="F1502" s="4">
        <v>1790</v>
      </c>
      <c r="G1502" s="9">
        <v>442.75</v>
      </c>
    </row>
    <row r="1503" spans="1:7" ht="15.6" x14ac:dyDescent="0.3">
      <c r="A1503" s="16">
        <v>45200</v>
      </c>
      <c r="B1503" s="10" t="s">
        <v>13</v>
      </c>
      <c r="C1503" s="10" t="s">
        <v>14</v>
      </c>
      <c r="D1503" s="10" t="s">
        <v>9</v>
      </c>
      <c r="E1503" s="4">
        <v>9</v>
      </c>
      <c r="F1503" s="4">
        <v>8523</v>
      </c>
      <c r="G1503" s="9">
        <v>978.97</v>
      </c>
    </row>
    <row r="1504" spans="1:7" ht="15.6" x14ac:dyDescent="0.3">
      <c r="A1504" s="16">
        <v>44978</v>
      </c>
      <c r="B1504" s="10" t="s">
        <v>18</v>
      </c>
      <c r="C1504" s="10" t="s">
        <v>11</v>
      </c>
      <c r="D1504" s="10" t="s">
        <v>16</v>
      </c>
      <c r="E1504" s="4">
        <v>9</v>
      </c>
      <c r="F1504" s="4">
        <v>7776</v>
      </c>
      <c r="G1504" s="9">
        <v>677.74</v>
      </c>
    </row>
    <row r="1505" spans="1:7" ht="15.6" x14ac:dyDescent="0.3">
      <c r="A1505" s="16">
        <v>45371</v>
      </c>
      <c r="B1505" s="10" t="s">
        <v>10</v>
      </c>
      <c r="C1505" s="10" t="s">
        <v>11</v>
      </c>
      <c r="D1505" s="10" t="s">
        <v>9</v>
      </c>
      <c r="E1505" s="4">
        <v>7</v>
      </c>
      <c r="F1505" s="4">
        <v>3031</v>
      </c>
      <c r="G1505" s="9">
        <v>417.5</v>
      </c>
    </row>
    <row r="1506" spans="1:7" ht="15.6" x14ac:dyDescent="0.3">
      <c r="A1506" s="16">
        <v>44836</v>
      </c>
      <c r="B1506" s="10" t="s">
        <v>17</v>
      </c>
      <c r="C1506" s="10" t="s">
        <v>14</v>
      </c>
      <c r="D1506" s="10" t="s">
        <v>15</v>
      </c>
      <c r="E1506" s="4">
        <v>9</v>
      </c>
      <c r="F1506" s="4">
        <v>4698</v>
      </c>
      <c r="G1506" s="9">
        <v>1262.47</v>
      </c>
    </row>
    <row r="1507" spans="1:7" ht="15.6" x14ac:dyDescent="0.3">
      <c r="A1507" s="16">
        <v>45090</v>
      </c>
      <c r="B1507" s="10" t="s">
        <v>22</v>
      </c>
      <c r="C1507" s="10" t="s">
        <v>11</v>
      </c>
      <c r="D1507" s="10" t="s">
        <v>16</v>
      </c>
      <c r="E1507" s="4">
        <v>9</v>
      </c>
      <c r="F1507" s="4">
        <v>4851</v>
      </c>
      <c r="G1507" s="9">
        <v>1408.41</v>
      </c>
    </row>
    <row r="1508" spans="1:7" ht="15.6" x14ac:dyDescent="0.3">
      <c r="A1508" s="16">
        <v>44948</v>
      </c>
      <c r="B1508" s="10" t="s">
        <v>17</v>
      </c>
      <c r="C1508" s="10" t="s">
        <v>14</v>
      </c>
      <c r="D1508" s="10" t="s">
        <v>12</v>
      </c>
      <c r="E1508" s="4">
        <v>6</v>
      </c>
      <c r="F1508" s="4">
        <v>4542</v>
      </c>
      <c r="G1508" s="9">
        <v>1169.1600000000001</v>
      </c>
    </row>
    <row r="1509" spans="1:7" ht="15.6" x14ac:dyDescent="0.3">
      <c r="A1509" s="16">
        <v>44825</v>
      </c>
      <c r="B1509" s="10" t="s">
        <v>18</v>
      </c>
      <c r="C1509" s="10" t="s">
        <v>11</v>
      </c>
      <c r="D1509" s="10" t="s">
        <v>9</v>
      </c>
      <c r="E1509" s="4">
        <v>2</v>
      </c>
      <c r="F1509" s="4">
        <v>978</v>
      </c>
      <c r="G1509" s="9">
        <v>210.75</v>
      </c>
    </row>
    <row r="1510" spans="1:7" ht="15.6" x14ac:dyDescent="0.3">
      <c r="A1510" s="16">
        <v>44565</v>
      </c>
      <c r="B1510" s="10" t="s">
        <v>10</v>
      </c>
      <c r="C1510" s="10" t="s">
        <v>11</v>
      </c>
      <c r="D1510" s="10" t="s">
        <v>15</v>
      </c>
      <c r="E1510" s="4">
        <v>9</v>
      </c>
      <c r="F1510" s="4">
        <v>9378</v>
      </c>
      <c r="G1510" s="9">
        <v>1740.97</v>
      </c>
    </row>
    <row r="1511" spans="1:7" ht="15.6" x14ac:dyDescent="0.3">
      <c r="A1511" s="16">
        <v>45144</v>
      </c>
      <c r="B1511" s="10" t="s">
        <v>19</v>
      </c>
      <c r="C1511" s="10" t="s">
        <v>14</v>
      </c>
      <c r="D1511" s="10" t="s">
        <v>9</v>
      </c>
      <c r="E1511" s="4">
        <v>8</v>
      </c>
      <c r="F1511" s="4">
        <v>9464</v>
      </c>
      <c r="G1511" s="9">
        <v>2043.73</v>
      </c>
    </row>
    <row r="1512" spans="1:7" ht="15.6" x14ac:dyDescent="0.3">
      <c r="A1512" s="16">
        <v>45604</v>
      </c>
      <c r="B1512" s="10" t="s">
        <v>7</v>
      </c>
      <c r="C1512" s="10" t="s">
        <v>8</v>
      </c>
      <c r="D1512" s="10" t="s">
        <v>16</v>
      </c>
      <c r="E1512" s="4">
        <v>8</v>
      </c>
      <c r="F1512" s="4">
        <v>1720</v>
      </c>
      <c r="G1512" s="9">
        <v>401.26</v>
      </c>
    </row>
    <row r="1513" spans="1:7" ht="15.6" x14ac:dyDescent="0.3">
      <c r="A1513" s="16">
        <v>44753</v>
      </c>
      <c r="B1513" s="10" t="s">
        <v>22</v>
      </c>
      <c r="C1513" s="10" t="s">
        <v>11</v>
      </c>
      <c r="D1513" s="10" t="s">
        <v>16</v>
      </c>
      <c r="E1513" s="4">
        <v>8</v>
      </c>
      <c r="F1513" s="4">
        <v>4752</v>
      </c>
      <c r="G1513" s="9">
        <v>1124.22</v>
      </c>
    </row>
    <row r="1514" spans="1:7" ht="15.6" x14ac:dyDescent="0.3">
      <c r="A1514" s="16">
        <v>45222</v>
      </c>
      <c r="B1514" s="10" t="s">
        <v>22</v>
      </c>
      <c r="C1514" s="10" t="s">
        <v>11</v>
      </c>
      <c r="D1514" s="10" t="s">
        <v>15</v>
      </c>
      <c r="E1514" s="4">
        <v>4</v>
      </c>
      <c r="F1514" s="4">
        <v>584</v>
      </c>
      <c r="G1514" s="9">
        <v>127.28</v>
      </c>
    </row>
    <row r="1515" spans="1:7" ht="15.6" x14ac:dyDescent="0.3">
      <c r="A1515" s="16">
        <v>45501</v>
      </c>
      <c r="B1515" s="10" t="s">
        <v>17</v>
      </c>
      <c r="C1515" s="10" t="s">
        <v>14</v>
      </c>
      <c r="D1515" s="10" t="s">
        <v>9</v>
      </c>
      <c r="E1515" s="4">
        <v>9</v>
      </c>
      <c r="F1515" s="4">
        <v>4554</v>
      </c>
      <c r="G1515" s="9">
        <v>1031.0899999999999</v>
      </c>
    </row>
    <row r="1516" spans="1:7" ht="15.6" x14ac:dyDescent="0.3">
      <c r="A1516" s="16">
        <v>44765</v>
      </c>
      <c r="B1516" s="10" t="s">
        <v>13</v>
      </c>
      <c r="C1516" s="10" t="s">
        <v>14</v>
      </c>
      <c r="D1516" s="10" t="s">
        <v>15</v>
      </c>
      <c r="E1516" s="4">
        <v>2</v>
      </c>
      <c r="F1516" s="4">
        <v>2392</v>
      </c>
      <c r="G1516" s="9">
        <v>483.39</v>
      </c>
    </row>
    <row r="1517" spans="1:7" ht="15.6" x14ac:dyDescent="0.3">
      <c r="A1517" s="16">
        <v>45250</v>
      </c>
      <c r="B1517" s="10" t="s">
        <v>17</v>
      </c>
      <c r="C1517" s="10" t="s">
        <v>14</v>
      </c>
      <c r="D1517" s="10" t="s">
        <v>15</v>
      </c>
      <c r="E1517" s="4">
        <v>7</v>
      </c>
      <c r="F1517" s="4">
        <v>3962</v>
      </c>
      <c r="G1517" s="9">
        <v>916.13</v>
      </c>
    </row>
    <row r="1518" spans="1:7" ht="15.6" x14ac:dyDescent="0.3">
      <c r="A1518" s="16">
        <v>45067</v>
      </c>
      <c r="B1518" s="10" t="s">
        <v>23</v>
      </c>
      <c r="C1518" s="10" t="s">
        <v>14</v>
      </c>
      <c r="D1518" s="10" t="s">
        <v>9</v>
      </c>
      <c r="E1518" s="4">
        <v>3</v>
      </c>
      <c r="F1518" s="4">
        <v>1308</v>
      </c>
      <c r="G1518" s="9">
        <v>141.04</v>
      </c>
    </row>
    <row r="1519" spans="1:7" ht="15.6" x14ac:dyDescent="0.3">
      <c r="A1519" s="16">
        <v>45184</v>
      </c>
      <c r="B1519" s="10" t="s">
        <v>7</v>
      </c>
      <c r="C1519" s="10" t="s">
        <v>8</v>
      </c>
      <c r="D1519" s="10" t="s">
        <v>15</v>
      </c>
      <c r="E1519" s="4">
        <v>8</v>
      </c>
      <c r="F1519" s="4">
        <v>5912</v>
      </c>
      <c r="G1519" s="9">
        <v>1153.18</v>
      </c>
    </row>
    <row r="1520" spans="1:7" ht="15.6" x14ac:dyDescent="0.3">
      <c r="A1520" s="16">
        <v>45056</v>
      </c>
      <c r="B1520" s="10" t="s">
        <v>17</v>
      </c>
      <c r="C1520" s="10" t="s">
        <v>14</v>
      </c>
      <c r="D1520" s="10" t="s">
        <v>15</v>
      </c>
      <c r="E1520" s="4">
        <v>7</v>
      </c>
      <c r="F1520" s="4">
        <v>5831</v>
      </c>
      <c r="G1520" s="9">
        <v>1416.31</v>
      </c>
    </row>
    <row r="1521" spans="1:7" ht="15.6" x14ac:dyDescent="0.3">
      <c r="A1521" s="16">
        <v>44906</v>
      </c>
      <c r="B1521" s="10" t="s">
        <v>17</v>
      </c>
      <c r="C1521" s="10" t="s">
        <v>14</v>
      </c>
      <c r="D1521" s="10" t="s">
        <v>16</v>
      </c>
      <c r="E1521" s="4">
        <v>7</v>
      </c>
      <c r="F1521" s="4">
        <v>5572</v>
      </c>
      <c r="G1521" s="9">
        <v>690.68</v>
      </c>
    </row>
    <row r="1522" spans="1:7" ht="15.6" x14ac:dyDescent="0.3">
      <c r="A1522" s="16">
        <v>45149</v>
      </c>
      <c r="B1522" s="10" t="s">
        <v>20</v>
      </c>
      <c r="C1522" s="10" t="s">
        <v>11</v>
      </c>
      <c r="D1522" s="10" t="s">
        <v>9</v>
      </c>
      <c r="E1522" s="4">
        <v>6</v>
      </c>
      <c r="F1522" s="4">
        <v>5214</v>
      </c>
      <c r="G1522" s="9">
        <v>1093.04</v>
      </c>
    </row>
    <row r="1523" spans="1:7" ht="15.6" x14ac:dyDescent="0.3">
      <c r="A1523" s="16">
        <v>44730</v>
      </c>
      <c r="B1523" s="10" t="s">
        <v>10</v>
      </c>
      <c r="C1523" s="10" t="s">
        <v>11</v>
      </c>
      <c r="D1523" s="10" t="s">
        <v>12</v>
      </c>
      <c r="E1523" s="4">
        <v>9</v>
      </c>
      <c r="F1523" s="4">
        <v>6705</v>
      </c>
      <c r="G1523" s="9">
        <v>1283.78</v>
      </c>
    </row>
    <row r="1524" spans="1:7" ht="15.6" x14ac:dyDescent="0.3">
      <c r="A1524" s="16">
        <v>44954</v>
      </c>
      <c r="B1524" s="10" t="s">
        <v>18</v>
      </c>
      <c r="C1524" s="10" t="s">
        <v>11</v>
      </c>
      <c r="D1524" s="10" t="s">
        <v>9</v>
      </c>
      <c r="E1524" s="4">
        <v>1</v>
      </c>
      <c r="F1524" s="4">
        <v>426</v>
      </c>
      <c r="G1524" s="9">
        <v>93.83</v>
      </c>
    </row>
    <row r="1525" spans="1:7" ht="15.6" x14ac:dyDescent="0.3">
      <c r="A1525" s="16">
        <v>45602</v>
      </c>
      <c r="B1525" s="10" t="s">
        <v>21</v>
      </c>
      <c r="C1525" s="10" t="s">
        <v>14</v>
      </c>
      <c r="D1525" s="10" t="s">
        <v>16</v>
      </c>
      <c r="E1525" s="4">
        <v>2</v>
      </c>
      <c r="F1525" s="4">
        <v>2204</v>
      </c>
      <c r="G1525" s="9">
        <v>523.82000000000005</v>
      </c>
    </row>
    <row r="1526" spans="1:7" ht="15.6" x14ac:dyDescent="0.3">
      <c r="A1526" s="16">
        <v>44798</v>
      </c>
      <c r="B1526" s="10" t="s">
        <v>21</v>
      </c>
      <c r="C1526" s="10" t="s">
        <v>14</v>
      </c>
      <c r="D1526" s="10" t="s">
        <v>9</v>
      </c>
      <c r="E1526" s="4">
        <v>3</v>
      </c>
      <c r="F1526" s="4">
        <v>2652</v>
      </c>
      <c r="G1526" s="9">
        <v>161.66999999999999</v>
      </c>
    </row>
    <row r="1527" spans="1:7" ht="15.6" x14ac:dyDescent="0.3">
      <c r="A1527" s="16">
        <v>45114</v>
      </c>
      <c r="B1527" s="10" t="s">
        <v>7</v>
      </c>
      <c r="C1527" s="10" t="s">
        <v>8</v>
      </c>
      <c r="D1527" s="10" t="s">
        <v>15</v>
      </c>
      <c r="E1527" s="4">
        <v>6</v>
      </c>
      <c r="F1527" s="4">
        <v>3132</v>
      </c>
      <c r="G1527" s="9">
        <v>919.52</v>
      </c>
    </row>
    <row r="1528" spans="1:7" ht="15.6" x14ac:dyDescent="0.3">
      <c r="A1528" s="16">
        <v>45447</v>
      </c>
      <c r="B1528" s="10" t="s">
        <v>7</v>
      </c>
      <c r="C1528" s="10" t="s">
        <v>8</v>
      </c>
      <c r="D1528" s="10" t="s">
        <v>16</v>
      </c>
      <c r="E1528" s="4">
        <v>5</v>
      </c>
      <c r="F1528" s="4">
        <v>1830</v>
      </c>
      <c r="G1528" s="9">
        <v>437.35</v>
      </c>
    </row>
    <row r="1529" spans="1:7" ht="15.6" x14ac:dyDescent="0.3">
      <c r="A1529" s="16">
        <v>45318</v>
      </c>
      <c r="B1529" s="10" t="s">
        <v>23</v>
      </c>
      <c r="C1529" s="10" t="s">
        <v>14</v>
      </c>
      <c r="D1529" s="10" t="s">
        <v>12</v>
      </c>
      <c r="E1529" s="4">
        <v>9</v>
      </c>
      <c r="F1529" s="4">
        <v>2763</v>
      </c>
      <c r="G1529" s="9">
        <v>676.25</v>
      </c>
    </row>
    <row r="1530" spans="1:7" ht="15.6" x14ac:dyDescent="0.3">
      <c r="A1530" s="16">
        <v>44821</v>
      </c>
      <c r="B1530" s="10" t="s">
        <v>20</v>
      </c>
      <c r="C1530" s="10" t="s">
        <v>11</v>
      </c>
      <c r="D1530" s="10" t="s">
        <v>9</v>
      </c>
      <c r="E1530" s="4">
        <v>8</v>
      </c>
      <c r="F1530" s="4">
        <v>9056</v>
      </c>
      <c r="G1530" s="9">
        <v>2281.9699999999998</v>
      </c>
    </row>
    <row r="1531" spans="1:7" ht="15.6" x14ac:dyDescent="0.3">
      <c r="A1531" s="16">
        <v>44630</v>
      </c>
      <c r="B1531" s="10" t="s">
        <v>17</v>
      </c>
      <c r="C1531" s="10" t="s">
        <v>14</v>
      </c>
      <c r="D1531" s="10" t="s">
        <v>9</v>
      </c>
      <c r="E1531" s="4">
        <v>7</v>
      </c>
      <c r="F1531" s="4">
        <v>5439</v>
      </c>
      <c r="G1531" s="9">
        <v>1416.62</v>
      </c>
    </row>
    <row r="1532" spans="1:7" ht="15.6" x14ac:dyDescent="0.3">
      <c r="A1532" s="16">
        <v>44774</v>
      </c>
      <c r="B1532" s="10" t="s">
        <v>17</v>
      </c>
      <c r="C1532" s="10" t="s">
        <v>14</v>
      </c>
      <c r="D1532" s="10" t="s">
        <v>15</v>
      </c>
      <c r="E1532" s="4">
        <v>6</v>
      </c>
      <c r="F1532" s="4">
        <v>828</v>
      </c>
      <c r="G1532" s="9">
        <v>47.91</v>
      </c>
    </row>
    <row r="1533" spans="1:7" ht="15.6" x14ac:dyDescent="0.3">
      <c r="A1533" s="16">
        <v>45566</v>
      </c>
      <c r="B1533" s="10" t="s">
        <v>19</v>
      </c>
      <c r="C1533" s="10" t="s">
        <v>14</v>
      </c>
      <c r="D1533" s="10" t="s">
        <v>12</v>
      </c>
      <c r="E1533" s="4">
        <v>5</v>
      </c>
      <c r="F1533" s="4">
        <v>1910</v>
      </c>
      <c r="G1533" s="9">
        <v>463.07</v>
      </c>
    </row>
    <row r="1534" spans="1:7" ht="15.6" x14ac:dyDescent="0.3">
      <c r="A1534" s="16">
        <v>44976</v>
      </c>
      <c r="B1534" s="10" t="s">
        <v>13</v>
      </c>
      <c r="C1534" s="10" t="s">
        <v>14</v>
      </c>
      <c r="D1534" s="10" t="s">
        <v>9</v>
      </c>
      <c r="E1534" s="4">
        <v>2</v>
      </c>
      <c r="F1534" s="4">
        <v>1874</v>
      </c>
      <c r="G1534" s="9">
        <v>333.86</v>
      </c>
    </row>
    <row r="1535" spans="1:7" ht="15.6" x14ac:dyDescent="0.3">
      <c r="A1535" s="16">
        <v>45140</v>
      </c>
      <c r="B1535" s="10" t="s">
        <v>10</v>
      </c>
      <c r="C1535" s="10" t="s">
        <v>11</v>
      </c>
      <c r="D1535" s="10" t="s">
        <v>12</v>
      </c>
      <c r="E1535" s="4">
        <v>1</v>
      </c>
      <c r="F1535" s="4">
        <v>1032</v>
      </c>
      <c r="G1535" s="9">
        <v>291.41000000000003</v>
      </c>
    </row>
    <row r="1536" spans="1:7" ht="15.6" x14ac:dyDescent="0.3">
      <c r="A1536" s="16">
        <v>45103</v>
      </c>
      <c r="B1536" s="10" t="s">
        <v>22</v>
      </c>
      <c r="C1536" s="10" t="s">
        <v>11</v>
      </c>
      <c r="D1536" s="10" t="s">
        <v>12</v>
      </c>
      <c r="E1536" s="4">
        <v>3</v>
      </c>
      <c r="F1536" s="4">
        <v>3264</v>
      </c>
      <c r="G1536" s="9">
        <v>556.86</v>
      </c>
    </row>
    <row r="1537" spans="1:7" ht="15.6" x14ac:dyDescent="0.3">
      <c r="A1537" s="16">
        <v>44891</v>
      </c>
      <c r="B1537" s="10" t="s">
        <v>21</v>
      </c>
      <c r="C1537" s="10" t="s">
        <v>14</v>
      </c>
      <c r="D1537" s="10" t="s">
        <v>16</v>
      </c>
      <c r="E1537" s="4">
        <v>1</v>
      </c>
      <c r="F1537" s="4">
        <v>877</v>
      </c>
      <c r="G1537" s="9">
        <v>110.99</v>
      </c>
    </row>
    <row r="1538" spans="1:7" ht="15.6" x14ac:dyDescent="0.3">
      <c r="A1538" s="16">
        <v>44704</v>
      </c>
      <c r="B1538" s="10" t="s">
        <v>17</v>
      </c>
      <c r="C1538" s="10" t="s">
        <v>14</v>
      </c>
      <c r="D1538" s="10" t="s">
        <v>9</v>
      </c>
      <c r="E1538" s="4">
        <v>3</v>
      </c>
      <c r="F1538" s="4">
        <v>924</v>
      </c>
      <c r="G1538" s="9">
        <v>183.18</v>
      </c>
    </row>
    <row r="1539" spans="1:7" ht="15.6" x14ac:dyDescent="0.3">
      <c r="A1539" s="16">
        <v>45042</v>
      </c>
      <c r="B1539" s="10" t="s">
        <v>17</v>
      </c>
      <c r="C1539" s="10" t="s">
        <v>14</v>
      </c>
      <c r="D1539" s="10" t="s">
        <v>16</v>
      </c>
      <c r="E1539" s="4">
        <v>3</v>
      </c>
      <c r="F1539" s="4">
        <v>417</v>
      </c>
      <c r="G1539" s="9">
        <v>114.42</v>
      </c>
    </row>
    <row r="1540" spans="1:7" ht="15.6" x14ac:dyDescent="0.3">
      <c r="A1540" s="16">
        <v>45343</v>
      </c>
      <c r="B1540" s="10" t="s">
        <v>23</v>
      </c>
      <c r="C1540" s="10" t="s">
        <v>14</v>
      </c>
      <c r="D1540" s="10" t="s">
        <v>16</v>
      </c>
      <c r="E1540" s="4">
        <v>5</v>
      </c>
      <c r="F1540" s="4">
        <v>2670</v>
      </c>
      <c r="G1540" s="9">
        <v>155.88999999999999</v>
      </c>
    </row>
    <row r="1541" spans="1:7" ht="15.6" x14ac:dyDescent="0.3">
      <c r="A1541" s="16">
        <v>45461</v>
      </c>
      <c r="B1541" s="10" t="s">
        <v>22</v>
      </c>
      <c r="C1541" s="10" t="s">
        <v>11</v>
      </c>
      <c r="D1541" s="10" t="s">
        <v>15</v>
      </c>
      <c r="E1541" s="4">
        <v>7</v>
      </c>
      <c r="F1541" s="4">
        <v>2716</v>
      </c>
      <c r="G1541" s="9">
        <v>512.09</v>
      </c>
    </row>
    <row r="1542" spans="1:7" ht="15.6" x14ac:dyDescent="0.3">
      <c r="A1542" s="16">
        <v>45064</v>
      </c>
      <c r="B1542" s="10" t="s">
        <v>18</v>
      </c>
      <c r="C1542" s="10" t="s">
        <v>11</v>
      </c>
      <c r="D1542" s="10" t="s">
        <v>16</v>
      </c>
      <c r="E1542" s="4">
        <v>9</v>
      </c>
      <c r="F1542" s="4">
        <v>10134</v>
      </c>
      <c r="G1542" s="9">
        <v>1334.37</v>
      </c>
    </row>
    <row r="1543" spans="1:7" ht="15.6" x14ac:dyDescent="0.3">
      <c r="A1543" s="16">
        <v>44580</v>
      </c>
      <c r="B1543" s="10" t="s">
        <v>20</v>
      </c>
      <c r="C1543" s="10" t="s">
        <v>11</v>
      </c>
      <c r="D1543" s="10" t="s">
        <v>9</v>
      </c>
      <c r="E1543" s="4">
        <v>5</v>
      </c>
      <c r="F1543" s="4">
        <v>5500</v>
      </c>
      <c r="G1543" s="9">
        <v>1230.98</v>
      </c>
    </row>
    <row r="1544" spans="1:7" ht="15.6" x14ac:dyDescent="0.3">
      <c r="A1544" s="16">
        <v>45633</v>
      </c>
      <c r="B1544" s="10" t="s">
        <v>13</v>
      </c>
      <c r="C1544" s="10" t="s">
        <v>14</v>
      </c>
      <c r="D1544" s="10" t="s">
        <v>12</v>
      </c>
      <c r="E1544" s="4">
        <v>6</v>
      </c>
      <c r="F1544" s="4">
        <v>6228</v>
      </c>
      <c r="G1544" s="9">
        <v>1756.82</v>
      </c>
    </row>
    <row r="1545" spans="1:7" ht="15.6" x14ac:dyDescent="0.3">
      <c r="A1545" s="16">
        <v>45459</v>
      </c>
      <c r="B1545" s="10" t="s">
        <v>23</v>
      </c>
      <c r="C1545" s="10" t="s">
        <v>14</v>
      </c>
      <c r="D1545" s="10" t="s">
        <v>16</v>
      </c>
      <c r="E1545" s="4">
        <v>7</v>
      </c>
      <c r="F1545" s="4">
        <v>1092</v>
      </c>
      <c r="G1545" s="9">
        <v>274.77</v>
      </c>
    </row>
    <row r="1546" spans="1:7" ht="15.6" x14ac:dyDescent="0.3">
      <c r="A1546" s="16">
        <v>45101</v>
      </c>
      <c r="B1546" s="10" t="s">
        <v>20</v>
      </c>
      <c r="C1546" s="10" t="s">
        <v>11</v>
      </c>
      <c r="D1546" s="10" t="s">
        <v>16</v>
      </c>
      <c r="E1546" s="4">
        <v>5</v>
      </c>
      <c r="F1546" s="4">
        <v>3255</v>
      </c>
      <c r="G1546" s="9">
        <v>332.54</v>
      </c>
    </row>
    <row r="1547" spans="1:7" ht="15.6" x14ac:dyDescent="0.3">
      <c r="A1547" s="16">
        <v>44740</v>
      </c>
      <c r="B1547" s="10" t="s">
        <v>13</v>
      </c>
      <c r="C1547" s="10" t="s">
        <v>14</v>
      </c>
      <c r="D1547" s="10" t="s">
        <v>16</v>
      </c>
      <c r="E1547" s="4">
        <v>5</v>
      </c>
      <c r="F1547" s="4">
        <v>5645</v>
      </c>
      <c r="G1547" s="9">
        <v>1320.86</v>
      </c>
    </row>
    <row r="1548" spans="1:7" ht="15.6" x14ac:dyDescent="0.3">
      <c r="A1548" s="16">
        <v>45371</v>
      </c>
      <c r="B1548" s="10" t="s">
        <v>21</v>
      </c>
      <c r="C1548" s="10" t="s">
        <v>14</v>
      </c>
      <c r="D1548" s="10" t="s">
        <v>9</v>
      </c>
      <c r="E1548" s="4">
        <v>9</v>
      </c>
      <c r="F1548" s="4">
        <v>7578</v>
      </c>
      <c r="G1548" s="9">
        <v>466.87</v>
      </c>
    </row>
    <row r="1549" spans="1:7" ht="15.6" x14ac:dyDescent="0.3">
      <c r="A1549" s="16">
        <v>45037</v>
      </c>
      <c r="B1549" s="10" t="s">
        <v>22</v>
      </c>
      <c r="C1549" s="10" t="s">
        <v>11</v>
      </c>
      <c r="D1549" s="10" t="s">
        <v>15</v>
      </c>
      <c r="E1549" s="4">
        <v>9</v>
      </c>
      <c r="F1549" s="4">
        <v>6282</v>
      </c>
      <c r="G1549" s="9">
        <v>1594.61</v>
      </c>
    </row>
    <row r="1550" spans="1:7" ht="15.6" x14ac:dyDescent="0.3">
      <c r="A1550" s="16">
        <v>45655</v>
      </c>
      <c r="B1550" s="10" t="s">
        <v>23</v>
      </c>
      <c r="C1550" s="10" t="s">
        <v>14</v>
      </c>
      <c r="D1550" s="10" t="s">
        <v>15</v>
      </c>
      <c r="E1550" s="4">
        <v>6</v>
      </c>
      <c r="F1550" s="4">
        <v>2364</v>
      </c>
      <c r="G1550" s="9">
        <v>639.29</v>
      </c>
    </row>
    <row r="1551" spans="1:7" ht="15.6" x14ac:dyDescent="0.3">
      <c r="A1551" s="16">
        <v>45272</v>
      </c>
      <c r="B1551" s="10" t="s">
        <v>22</v>
      </c>
      <c r="C1551" s="10" t="s">
        <v>11</v>
      </c>
      <c r="D1551" s="10" t="s">
        <v>9</v>
      </c>
      <c r="E1551" s="4">
        <v>8</v>
      </c>
      <c r="F1551" s="4">
        <v>6880</v>
      </c>
      <c r="G1551" s="9">
        <v>1570.91</v>
      </c>
    </row>
    <row r="1552" spans="1:7" ht="15.6" x14ac:dyDescent="0.3">
      <c r="A1552" s="16">
        <v>44864</v>
      </c>
      <c r="B1552" s="10" t="s">
        <v>21</v>
      </c>
      <c r="C1552" s="10" t="s">
        <v>14</v>
      </c>
      <c r="D1552" s="10" t="s">
        <v>12</v>
      </c>
      <c r="E1552" s="4">
        <v>6</v>
      </c>
      <c r="F1552" s="4">
        <v>3288</v>
      </c>
      <c r="G1552" s="9">
        <v>249.02</v>
      </c>
    </row>
    <row r="1553" spans="1:7" ht="15.6" x14ac:dyDescent="0.3">
      <c r="A1553" s="16">
        <v>45323</v>
      </c>
      <c r="B1553" s="10" t="s">
        <v>20</v>
      </c>
      <c r="C1553" s="10" t="s">
        <v>11</v>
      </c>
      <c r="D1553" s="10" t="s">
        <v>12</v>
      </c>
      <c r="E1553" s="4">
        <v>6</v>
      </c>
      <c r="F1553" s="4">
        <v>5292</v>
      </c>
      <c r="G1553" s="9">
        <v>659.58</v>
      </c>
    </row>
    <row r="1554" spans="1:7" ht="15.6" x14ac:dyDescent="0.3">
      <c r="A1554" s="16">
        <v>45236</v>
      </c>
      <c r="B1554" s="10" t="s">
        <v>7</v>
      </c>
      <c r="C1554" s="10" t="s">
        <v>8</v>
      </c>
      <c r="D1554" s="10" t="s">
        <v>9</v>
      </c>
      <c r="E1554" s="4">
        <v>3</v>
      </c>
      <c r="F1554" s="4">
        <v>3522</v>
      </c>
      <c r="G1554" s="9">
        <v>883.41</v>
      </c>
    </row>
    <row r="1555" spans="1:7" ht="15.6" x14ac:dyDescent="0.3">
      <c r="A1555" s="16">
        <v>44842</v>
      </c>
      <c r="B1555" s="10" t="s">
        <v>19</v>
      </c>
      <c r="C1555" s="10" t="s">
        <v>14</v>
      </c>
      <c r="D1555" s="10" t="s">
        <v>16</v>
      </c>
      <c r="E1555" s="4">
        <v>2</v>
      </c>
      <c r="F1555" s="4">
        <v>1518</v>
      </c>
      <c r="G1555" s="9">
        <v>87.6</v>
      </c>
    </row>
    <row r="1556" spans="1:7" ht="15.6" x14ac:dyDescent="0.3">
      <c r="A1556" s="16">
        <v>45094</v>
      </c>
      <c r="B1556" s="10" t="s">
        <v>13</v>
      </c>
      <c r="C1556" s="10" t="s">
        <v>14</v>
      </c>
      <c r="D1556" s="10" t="s">
        <v>9</v>
      </c>
      <c r="E1556" s="4">
        <v>7</v>
      </c>
      <c r="F1556" s="4">
        <v>2457</v>
      </c>
      <c r="G1556" s="9">
        <v>690.55</v>
      </c>
    </row>
    <row r="1557" spans="1:7" ht="15.6" x14ac:dyDescent="0.3">
      <c r="A1557" s="16">
        <v>45300</v>
      </c>
      <c r="B1557" s="10" t="s">
        <v>18</v>
      </c>
      <c r="C1557" s="10" t="s">
        <v>11</v>
      </c>
      <c r="D1557" s="10" t="s">
        <v>16</v>
      </c>
      <c r="E1557" s="4">
        <v>1</v>
      </c>
      <c r="F1557" s="4">
        <v>309</v>
      </c>
      <c r="G1557" s="9">
        <v>62.08</v>
      </c>
    </row>
    <row r="1558" spans="1:7" ht="15.6" x14ac:dyDescent="0.3">
      <c r="A1558" s="16">
        <v>44585</v>
      </c>
      <c r="B1558" s="10" t="s">
        <v>20</v>
      </c>
      <c r="C1558" s="10" t="s">
        <v>11</v>
      </c>
      <c r="D1558" s="10" t="s">
        <v>9</v>
      </c>
      <c r="E1558" s="4">
        <v>6</v>
      </c>
      <c r="F1558" s="4">
        <v>6192</v>
      </c>
      <c r="G1558" s="9">
        <v>717.46</v>
      </c>
    </row>
    <row r="1559" spans="1:7" ht="15.6" x14ac:dyDescent="0.3">
      <c r="A1559" s="16">
        <v>44716</v>
      </c>
      <c r="B1559" s="10" t="s">
        <v>17</v>
      </c>
      <c r="C1559" s="10" t="s">
        <v>14</v>
      </c>
      <c r="D1559" s="10" t="s">
        <v>12</v>
      </c>
      <c r="E1559" s="4">
        <v>5</v>
      </c>
      <c r="F1559" s="4">
        <v>4235</v>
      </c>
      <c r="G1559" s="9">
        <v>747.96</v>
      </c>
    </row>
    <row r="1560" spans="1:7" ht="15.6" x14ac:dyDescent="0.3">
      <c r="A1560" s="16">
        <v>44786</v>
      </c>
      <c r="B1560" s="10" t="s">
        <v>19</v>
      </c>
      <c r="C1560" s="10" t="s">
        <v>14</v>
      </c>
      <c r="D1560" s="10" t="s">
        <v>9</v>
      </c>
      <c r="E1560" s="4">
        <v>9</v>
      </c>
      <c r="F1560" s="4">
        <v>7128</v>
      </c>
      <c r="G1560" s="9">
        <v>457.11</v>
      </c>
    </row>
    <row r="1561" spans="1:7" ht="15.6" x14ac:dyDescent="0.3">
      <c r="A1561" s="16">
        <v>45496</v>
      </c>
      <c r="B1561" s="10" t="s">
        <v>13</v>
      </c>
      <c r="C1561" s="10" t="s">
        <v>14</v>
      </c>
      <c r="D1561" s="10" t="s">
        <v>9</v>
      </c>
      <c r="E1561" s="4">
        <v>5</v>
      </c>
      <c r="F1561" s="4">
        <v>5660</v>
      </c>
      <c r="G1561" s="9">
        <v>641.69000000000005</v>
      </c>
    </row>
    <row r="1562" spans="1:7" ht="15.6" x14ac:dyDescent="0.3">
      <c r="A1562" s="16">
        <v>45435</v>
      </c>
      <c r="B1562" s="10" t="s">
        <v>21</v>
      </c>
      <c r="C1562" s="10" t="s">
        <v>14</v>
      </c>
      <c r="D1562" s="10" t="s">
        <v>15</v>
      </c>
      <c r="E1562" s="4">
        <v>1</v>
      </c>
      <c r="F1562" s="4">
        <v>787</v>
      </c>
      <c r="G1562" s="9">
        <v>120.38</v>
      </c>
    </row>
    <row r="1563" spans="1:7" ht="15.6" x14ac:dyDescent="0.3">
      <c r="A1563" s="16">
        <v>44878</v>
      </c>
      <c r="B1563" s="10" t="s">
        <v>10</v>
      </c>
      <c r="C1563" s="10" t="s">
        <v>11</v>
      </c>
      <c r="D1563" s="10" t="s">
        <v>16</v>
      </c>
      <c r="E1563" s="4">
        <v>3</v>
      </c>
      <c r="F1563" s="4">
        <v>375</v>
      </c>
      <c r="G1563" s="9">
        <v>107.26</v>
      </c>
    </row>
    <row r="1564" spans="1:7" ht="15.6" x14ac:dyDescent="0.3">
      <c r="A1564" s="16">
        <v>45157</v>
      </c>
      <c r="B1564" s="10" t="s">
        <v>17</v>
      </c>
      <c r="C1564" s="10" t="s">
        <v>14</v>
      </c>
      <c r="D1564" s="10" t="s">
        <v>15</v>
      </c>
      <c r="E1564" s="4">
        <v>4</v>
      </c>
      <c r="F1564" s="4">
        <v>296</v>
      </c>
      <c r="G1564" s="9">
        <v>44.79</v>
      </c>
    </row>
    <row r="1565" spans="1:7" ht="15.6" x14ac:dyDescent="0.3">
      <c r="A1565" s="16">
        <v>44562</v>
      </c>
      <c r="B1565" s="10" t="s">
        <v>22</v>
      </c>
      <c r="C1565" s="10" t="s">
        <v>11</v>
      </c>
      <c r="D1565" s="10" t="s">
        <v>12</v>
      </c>
      <c r="E1565" s="4">
        <v>6</v>
      </c>
      <c r="F1565" s="4">
        <v>6372</v>
      </c>
      <c r="G1565" s="9">
        <v>570.75</v>
      </c>
    </row>
    <row r="1566" spans="1:7" ht="15.6" x14ac:dyDescent="0.3">
      <c r="A1566" s="16">
        <v>45459</v>
      </c>
      <c r="B1566" s="10" t="s">
        <v>10</v>
      </c>
      <c r="C1566" s="10" t="s">
        <v>11</v>
      </c>
      <c r="D1566" s="10" t="s">
        <v>16</v>
      </c>
      <c r="E1566" s="4">
        <v>6</v>
      </c>
      <c r="F1566" s="4">
        <v>2214</v>
      </c>
      <c r="G1566" s="9">
        <v>322.73</v>
      </c>
    </row>
    <row r="1567" spans="1:7" ht="15.6" x14ac:dyDescent="0.3">
      <c r="A1567" s="16">
        <v>45551</v>
      </c>
      <c r="B1567" s="10" t="s">
        <v>18</v>
      </c>
      <c r="C1567" s="10" t="s">
        <v>11</v>
      </c>
      <c r="D1567" s="10" t="s">
        <v>15</v>
      </c>
      <c r="E1567" s="4">
        <v>6</v>
      </c>
      <c r="F1567" s="4">
        <v>2640</v>
      </c>
      <c r="G1567" s="9">
        <v>734.44</v>
      </c>
    </row>
    <row r="1568" spans="1:7" ht="15.6" x14ac:dyDescent="0.3">
      <c r="A1568" s="16">
        <v>45238</v>
      </c>
      <c r="B1568" s="10" t="s">
        <v>17</v>
      </c>
      <c r="C1568" s="10" t="s">
        <v>14</v>
      </c>
      <c r="D1568" s="10" t="s">
        <v>15</v>
      </c>
      <c r="E1568" s="4">
        <v>7</v>
      </c>
      <c r="F1568" s="4">
        <v>2240</v>
      </c>
      <c r="G1568" s="9">
        <v>580.47</v>
      </c>
    </row>
    <row r="1569" spans="1:7" ht="15.6" x14ac:dyDescent="0.3">
      <c r="A1569" s="16">
        <v>45052</v>
      </c>
      <c r="B1569" s="10" t="s">
        <v>19</v>
      </c>
      <c r="C1569" s="10" t="s">
        <v>14</v>
      </c>
      <c r="D1569" s="10" t="s">
        <v>12</v>
      </c>
      <c r="E1569" s="4">
        <v>7</v>
      </c>
      <c r="F1569" s="4">
        <v>6258</v>
      </c>
      <c r="G1569" s="9">
        <v>1347.74</v>
      </c>
    </row>
    <row r="1570" spans="1:7" ht="15.6" x14ac:dyDescent="0.3">
      <c r="A1570" s="16">
        <v>45293</v>
      </c>
      <c r="B1570" s="10" t="s">
        <v>7</v>
      </c>
      <c r="C1570" s="10" t="s">
        <v>8</v>
      </c>
      <c r="D1570" s="10" t="s">
        <v>16</v>
      </c>
      <c r="E1570" s="4">
        <v>8</v>
      </c>
      <c r="F1570" s="4">
        <v>3816</v>
      </c>
      <c r="G1570" s="9">
        <v>574.57000000000005</v>
      </c>
    </row>
    <row r="1571" spans="1:7" ht="15.6" x14ac:dyDescent="0.3">
      <c r="A1571" s="16">
        <v>44696</v>
      </c>
      <c r="B1571" s="10" t="s">
        <v>19</v>
      </c>
      <c r="C1571" s="10" t="s">
        <v>14</v>
      </c>
      <c r="D1571" s="10" t="s">
        <v>15</v>
      </c>
      <c r="E1571" s="4">
        <v>2</v>
      </c>
      <c r="F1571" s="4">
        <v>390</v>
      </c>
      <c r="G1571" s="9">
        <v>115.48</v>
      </c>
    </row>
    <row r="1572" spans="1:7" ht="15.6" x14ac:dyDescent="0.3">
      <c r="A1572" s="16">
        <v>45474</v>
      </c>
      <c r="B1572" s="10" t="s">
        <v>13</v>
      </c>
      <c r="C1572" s="10" t="s">
        <v>14</v>
      </c>
      <c r="D1572" s="10" t="s">
        <v>15</v>
      </c>
      <c r="E1572" s="4">
        <v>7</v>
      </c>
      <c r="F1572" s="4">
        <v>630</v>
      </c>
      <c r="G1572" s="9">
        <v>83.28</v>
      </c>
    </row>
    <row r="1573" spans="1:7" ht="15.6" x14ac:dyDescent="0.3">
      <c r="A1573" s="16">
        <v>44805</v>
      </c>
      <c r="B1573" s="10" t="s">
        <v>21</v>
      </c>
      <c r="C1573" s="10" t="s">
        <v>14</v>
      </c>
      <c r="D1573" s="10" t="s">
        <v>15</v>
      </c>
      <c r="E1573" s="4">
        <v>4</v>
      </c>
      <c r="F1573" s="4">
        <v>3868</v>
      </c>
      <c r="G1573" s="9">
        <v>819.26</v>
      </c>
    </row>
    <row r="1574" spans="1:7" ht="15.6" x14ac:dyDescent="0.3">
      <c r="A1574" s="16">
        <v>45104</v>
      </c>
      <c r="B1574" s="10" t="s">
        <v>20</v>
      </c>
      <c r="C1574" s="10" t="s">
        <v>11</v>
      </c>
      <c r="D1574" s="10" t="s">
        <v>9</v>
      </c>
      <c r="E1574" s="4">
        <v>1</v>
      </c>
      <c r="F1574" s="4">
        <v>777</v>
      </c>
      <c r="G1574" s="9">
        <v>211.31</v>
      </c>
    </row>
    <row r="1575" spans="1:7" ht="15.6" x14ac:dyDescent="0.3">
      <c r="A1575" s="16">
        <v>45440</v>
      </c>
      <c r="B1575" s="10" t="s">
        <v>20</v>
      </c>
      <c r="C1575" s="10" t="s">
        <v>11</v>
      </c>
      <c r="D1575" s="10" t="s">
        <v>9</v>
      </c>
      <c r="E1575" s="4">
        <v>3</v>
      </c>
      <c r="F1575" s="4">
        <v>1347</v>
      </c>
      <c r="G1575" s="9">
        <v>196.59</v>
      </c>
    </row>
    <row r="1576" spans="1:7" ht="15.6" x14ac:dyDescent="0.3">
      <c r="A1576" s="16">
        <v>45063</v>
      </c>
      <c r="B1576" s="10" t="s">
        <v>23</v>
      </c>
      <c r="C1576" s="10" t="s">
        <v>14</v>
      </c>
      <c r="D1576" s="10" t="s">
        <v>12</v>
      </c>
      <c r="E1576" s="4">
        <v>9</v>
      </c>
      <c r="F1576" s="4">
        <v>7272</v>
      </c>
      <c r="G1576" s="9">
        <v>500.32</v>
      </c>
    </row>
    <row r="1577" spans="1:7" ht="15.6" x14ac:dyDescent="0.3">
      <c r="A1577" s="16">
        <v>45563</v>
      </c>
      <c r="B1577" s="10" t="s">
        <v>7</v>
      </c>
      <c r="C1577" s="10" t="s">
        <v>8</v>
      </c>
      <c r="D1577" s="10" t="s">
        <v>9</v>
      </c>
      <c r="E1577" s="4">
        <v>6</v>
      </c>
      <c r="F1577" s="4">
        <v>5724</v>
      </c>
      <c r="G1577" s="9">
        <v>857.33</v>
      </c>
    </row>
    <row r="1578" spans="1:7" ht="15.6" x14ac:dyDescent="0.3">
      <c r="A1578" s="16">
        <v>44688</v>
      </c>
      <c r="B1578" s="10" t="s">
        <v>18</v>
      </c>
      <c r="C1578" s="10" t="s">
        <v>11</v>
      </c>
      <c r="D1578" s="10" t="s">
        <v>16</v>
      </c>
      <c r="E1578" s="4">
        <v>3</v>
      </c>
      <c r="F1578" s="4">
        <v>312</v>
      </c>
      <c r="G1578" s="9">
        <v>74.8</v>
      </c>
    </row>
    <row r="1579" spans="1:7" ht="15.6" x14ac:dyDescent="0.3">
      <c r="A1579" s="16">
        <v>45064</v>
      </c>
      <c r="B1579" s="10" t="s">
        <v>23</v>
      </c>
      <c r="C1579" s="10" t="s">
        <v>14</v>
      </c>
      <c r="D1579" s="10" t="s">
        <v>12</v>
      </c>
      <c r="E1579" s="4">
        <v>3</v>
      </c>
      <c r="F1579" s="4">
        <v>1947</v>
      </c>
      <c r="G1579" s="9">
        <v>239.63</v>
      </c>
    </row>
    <row r="1580" spans="1:7" ht="15.6" x14ac:dyDescent="0.3">
      <c r="A1580" s="16">
        <v>45208</v>
      </c>
      <c r="B1580" s="10" t="s">
        <v>13</v>
      </c>
      <c r="C1580" s="10" t="s">
        <v>14</v>
      </c>
      <c r="D1580" s="10" t="s">
        <v>9</v>
      </c>
      <c r="E1580" s="4">
        <v>6</v>
      </c>
      <c r="F1580" s="4">
        <v>1128</v>
      </c>
      <c r="G1580" s="9">
        <v>207.97</v>
      </c>
    </row>
    <row r="1581" spans="1:7" ht="15.6" x14ac:dyDescent="0.3">
      <c r="A1581" s="16">
        <v>44990</v>
      </c>
      <c r="B1581" s="10" t="s">
        <v>23</v>
      </c>
      <c r="C1581" s="10" t="s">
        <v>14</v>
      </c>
      <c r="D1581" s="10" t="s">
        <v>12</v>
      </c>
      <c r="E1581" s="4">
        <v>9</v>
      </c>
      <c r="F1581" s="4">
        <v>4158</v>
      </c>
      <c r="G1581" s="9">
        <v>672.32</v>
      </c>
    </row>
    <row r="1582" spans="1:7" ht="15.6" x14ac:dyDescent="0.3">
      <c r="A1582" s="16">
        <v>45477</v>
      </c>
      <c r="B1582" s="10" t="s">
        <v>22</v>
      </c>
      <c r="C1582" s="10" t="s">
        <v>11</v>
      </c>
      <c r="D1582" s="10" t="s">
        <v>12</v>
      </c>
      <c r="E1582" s="4">
        <v>6</v>
      </c>
      <c r="F1582" s="4">
        <v>2670</v>
      </c>
      <c r="G1582" s="9">
        <v>782.28</v>
      </c>
    </row>
    <row r="1583" spans="1:7" ht="15.6" x14ac:dyDescent="0.3">
      <c r="A1583" s="16">
        <v>45443</v>
      </c>
      <c r="B1583" s="10" t="s">
        <v>18</v>
      </c>
      <c r="C1583" s="10" t="s">
        <v>11</v>
      </c>
      <c r="D1583" s="10" t="s">
        <v>12</v>
      </c>
      <c r="E1583" s="4">
        <v>1</v>
      </c>
      <c r="F1583" s="4">
        <v>85</v>
      </c>
      <c r="G1583" s="9">
        <v>17.71</v>
      </c>
    </row>
    <row r="1584" spans="1:7" ht="15.6" x14ac:dyDescent="0.3">
      <c r="A1584" s="16">
        <v>45270</v>
      </c>
      <c r="B1584" s="10" t="s">
        <v>10</v>
      </c>
      <c r="C1584" s="10" t="s">
        <v>11</v>
      </c>
      <c r="D1584" s="10" t="s">
        <v>12</v>
      </c>
      <c r="E1584" s="4">
        <v>8</v>
      </c>
      <c r="F1584" s="4">
        <v>4136</v>
      </c>
      <c r="G1584" s="9">
        <v>1056.54</v>
      </c>
    </row>
    <row r="1585" spans="1:7" ht="15.6" x14ac:dyDescent="0.3">
      <c r="A1585" s="16">
        <v>44688</v>
      </c>
      <c r="B1585" s="10" t="s">
        <v>13</v>
      </c>
      <c r="C1585" s="10" t="s">
        <v>14</v>
      </c>
      <c r="D1585" s="10" t="s">
        <v>9</v>
      </c>
      <c r="E1585" s="4">
        <v>6</v>
      </c>
      <c r="F1585" s="4">
        <v>4332</v>
      </c>
      <c r="G1585" s="9">
        <v>348.61</v>
      </c>
    </row>
    <row r="1586" spans="1:7" ht="15.6" x14ac:dyDescent="0.3">
      <c r="A1586" s="16">
        <v>45474</v>
      </c>
      <c r="B1586" s="10" t="s">
        <v>20</v>
      </c>
      <c r="C1586" s="10" t="s">
        <v>11</v>
      </c>
      <c r="D1586" s="10" t="s">
        <v>9</v>
      </c>
      <c r="E1586" s="4">
        <v>8</v>
      </c>
      <c r="F1586" s="4">
        <v>1600</v>
      </c>
      <c r="G1586" s="9">
        <v>305.3</v>
      </c>
    </row>
    <row r="1587" spans="1:7" ht="15.6" x14ac:dyDescent="0.3">
      <c r="A1587" s="16">
        <v>45227</v>
      </c>
      <c r="B1587" s="10" t="s">
        <v>13</v>
      </c>
      <c r="C1587" s="10" t="s">
        <v>14</v>
      </c>
      <c r="D1587" s="10" t="s">
        <v>12</v>
      </c>
      <c r="E1587" s="4">
        <v>7</v>
      </c>
      <c r="F1587" s="4">
        <v>5075</v>
      </c>
      <c r="G1587" s="9">
        <v>471.21</v>
      </c>
    </row>
    <row r="1588" spans="1:7" ht="15.6" x14ac:dyDescent="0.3">
      <c r="A1588" s="16">
        <v>44769</v>
      </c>
      <c r="B1588" s="10" t="s">
        <v>13</v>
      </c>
      <c r="C1588" s="10" t="s">
        <v>14</v>
      </c>
      <c r="D1588" s="10" t="s">
        <v>15</v>
      </c>
      <c r="E1588" s="4">
        <v>6</v>
      </c>
      <c r="F1588" s="4">
        <v>4152</v>
      </c>
      <c r="G1588" s="9">
        <v>1065.46</v>
      </c>
    </row>
    <row r="1589" spans="1:7" ht="15.6" x14ac:dyDescent="0.3">
      <c r="A1589" s="16">
        <v>44694</v>
      </c>
      <c r="B1589" s="10" t="s">
        <v>7</v>
      </c>
      <c r="C1589" s="10" t="s">
        <v>8</v>
      </c>
      <c r="D1589" s="10" t="s">
        <v>12</v>
      </c>
      <c r="E1589" s="4">
        <v>7</v>
      </c>
      <c r="F1589" s="4">
        <v>5635</v>
      </c>
      <c r="G1589" s="9">
        <v>1665.01</v>
      </c>
    </row>
    <row r="1590" spans="1:7" ht="15.6" x14ac:dyDescent="0.3">
      <c r="A1590" s="16">
        <v>44820</v>
      </c>
      <c r="B1590" s="10" t="s">
        <v>19</v>
      </c>
      <c r="C1590" s="10" t="s">
        <v>14</v>
      </c>
      <c r="D1590" s="10" t="s">
        <v>12</v>
      </c>
      <c r="E1590" s="4">
        <v>3</v>
      </c>
      <c r="F1590" s="4">
        <v>3108</v>
      </c>
      <c r="G1590" s="9">
        <v>220.97</v>
      </c>
    </row>
    <row r="1591" spans="1:7" ht="15.6" x14ac:dyDescent="0.3">
      <c r="A1591" s="16">
        <v>44858</v>
      </c>
      <c r="B1591" s="10" t="s">
        <v>19</v>
      </c>
      <c r="C1591" s="10" t="s">
        <v>14</v>
      </c>
      <c r="D1591" s="10" t="s">
        <v>15</v>
      </c>
      <c r="E1591" s="4">
        <v>7</v>
      </c>
      <c r="F1591" s="4">
        <v>4270</v>
      </c>
      <c r="G1591" s="9">
        <v>1197.44</v>
      </c>
    </row>
    <row r="1592" spans="1:7" ht="15.6" x14ac:dyDescent="0.3">
      <c r="A1592" s="16">
        <v>44972</v>
      </c>
      <c r="B1592" s="10" t="s">
        <v>20</v>
      </c>
      <c r="C1592" s="10" t="s">
        <v>11</v>
      </c>
      <c r="D1592" s="10" t="s">
        <v>16</v>
      </c>
      <c r="E1592" s="4">
        <v>5</v>
      </c>
      <c r="F1592" s="4">
        <v>1350</v>
      </c>
      <c r="G1592" s="9">
        <v>321.89999999999998</v>
      </c>
    </row>
    <row r="1593" spans="1:7" ht="15.6" x14ac:dyDescent="0.3">
      <c r="A1593" s="16">
        <v>45358</v>
      </c>
      <c r="B1593" s="10" t="s">
        <v>22</v>
      </c>
      <c r="C1593" s="10" t="s">
        <v>11</v>
      </c>
      <c r="D1593" s="10" t="s">
        <v>12</v>
      </c>
      <c r="E1593" s="4">
        <v>3</v>
      </c>
      <c r="F1593" s="4">
        <v>330</v>
      </c>
      <c r="G1593" s="9">
        <v>81.86</v>
      </c>
    </row>
    <row r="1594" spans="1:7" ht="15.6" x14ac:dyDescent="0.3">
      <c r="A1594" s="16">
        <v>44755</v>
      </c>
      <c r="B1594" s="10" t="s">
        <v>17</v>
      </c>
      <c r="C1594" s="10" t="s">
        <v>14</v>
      </c>
      <c r="D1594" s="10" t="s">
        <v>15</v>
      </c>
      <c r="E1594" s="4">
        <v>6</v>
      </c>
      <c r="F1594" s="4">
        <v>4260</v>
      </c>
      <c r="G1594" s="9">
        <v>504.82</v>
      </c>
    </row>
    <row r="1595" spans="1:7" ht="15.6" x14ac:dyDescent="0.3">
      <c r="A1595" s="16">
        <v>44773</v>
      </c>
      <c r="B1595" s="10" t="s">
        <v>18</v>
      </c>
      <c r="C1595" s="10" t="s">
        <v>11</v>
      </c>
      <c r="D1595" s="10" t="s">
        <v>9</v>
      </c>
      <c r="E1595" s="4">
        <v>3</v>
      </c>
      <c r="F1595" s="4">
        <v>2712</v>
      </c>
      <c r="G1595" s="9">
        <v>751.52</v>
      </c>
    </row>
    <row r="1596" spans="1:7" ht="15.6" x14ac:dyDescent="0.3">
      <c r="A1596" s="16">
        <v>45377</v>
      </c>
      <c r="B1596" s="10" t="s">
        <v>21</v>
      </c>
      <c r="C1596" s="10" t="s">
        <v>14</v>
      </c>
      <c r="D1596" s="10" t="s">
        <v>16</v>
      </c>
      <c r="E1596" s="4">
        <v>1</v>
      </c>
      <c r="F1596" s="4">
        <v>328</v>
      </c>
      <c r="G1596" s="9">
        <v>46.23</v>
      </c>
    </row>
    <row r="1597" spans="1:7" ht="15.6" x14ac:dyDescent="0.3">
      <c r="A1597" s="16">
        <v>45151</v>
      </c>
      <c r="B1597" s="10" t="s">
        <v>21</v>
      </c>
      <c r="C1597" s="10" t="s">
        <v>14</v>
      </c>
      <c r="D1597" s="10" t="s">
        <v>16</v>
      </c>
      <c r="E1597" s="4">
        <v>8</v>
      </c>
      <c r="F1597" s="4">
        <v>7776</v>
      </c>
      <c r="G1597" s="9">
        <v>498.6</v>
      </c>
    </row>
    <row r="1598" spans="1:7" ht="15.6" x14ac:dyDescent="0.3">
      <c r="A1598" s="16">
        <v>44689</v>
      </c>
      <c r="B1598" s="10" t="s">
        <v>23</v>
      </c>
      <c r="C1598" s="10" t="s">
        <v>14</v>
      </c>
      <c r="D1598" s="10" t="s">
        <v>12</v>
      </c>
      <c r="E1598" s="4">
        <v>4</v>
      </c>
      <c r="F1598" s="4">
        <v>2896</v>
      </c>
      <c r="G1598" s="9">
        <v>522.82000000000005</v>
      </c>
    </row>
    <row r="1599" spans="1:7" ht="15.6" x14ac:dyDescent="0.3">
      <c r="A1599" s="16">
        <v>45053</v>
      </c>
      <c r="B1599" s="10" t="s">
        <v>13</v>
      </c>
      <c r="C1599" s="10" t="s">
        <v>14</v>
      </c>
      <c r="D1599" s="10" t="s">
        <v>9</v>
      </c>
      <c r="E1599" s="4">
        <v>2</v>
      </c>
      <c r="F1599" s="4">
        <v>1902</v>
      </c>
      <c r="G1599" s="9">
        <v>388.83</v>
      </c>
    </row>
    <row r="1600" spans="1:7" ht="15.6" x14ac:dyDescent="0.3">
      <c r="A1600" s="16">
        <v>44590</v>
      </c>
      <c r="B1600" s="10" t="s">
        <v>19</v>
      </c>
      <c r="C1600" s="10" t="s">
        <v>14</v>
      </c>
      <c r="D1600" s="10" t="s">
        <v>9</v>
      </c>
      <c r="E1600" s="4">
        <v>7</v>
      </c>
      <c r="F1600" s="4">
        <v>3255</v>
      </c>
      <c r="G1600" s="9">
        <v>814.85</v>
      </c>
    </row>
    <row r="1601" spans="1:7" ht="15.6" x14ac:dyDescent="0.3">
      <c r="A1601" s="16">
        <v>44622</v>
      </c>
      <c r="B1601" s="10" t="s">
        <v>22</v>
      </c>
      <c r="C1601" s="10" t="s">
        <v>11</v>
      </c>
      <c r="D1601" s="10" t="s">
        <v>9</v>
      </c>
      <c r="E1601" s="4">
        <v>3</v>
      </c>
      <c r="F1601" s="4">
        <v>633</v>
      </c>
      <c r="G1601" s="9">
        <v>162.4</v>
      </c>
    </row>
    <row r="1602" spans="1:7" ht="15.6" x14ac:dyDescent="0.3">
      <c r="A1602" s="16">
        <v>45027</v>
      </c>
      <c r="B1602" s="10" t="s">
        <v>13</v>
      </c>
      <c r="C1602" s="10" t="s">
        <v>14</v>
      </c>
      <c r="D1602" s="10" t="s">
        <v>12</v>
      </c>
      <c r="E1602" s="4">
        <v>7</v>
      </c>
      <c r="F1602" s="4">
        <v>6209</v>
      </c>
      <c r="G1602" s="9">
        <v>402.78</v>
      </c>
    </row>
    <row r="1603" spans="1:7" ht="15.6" x14ac:dyDescent="0.3">
      <c r="A1603" s="16">
        <v>45055</v>
      </c>
      <c r="B1603" s="10" t="s">
        <v>19</v>
      </c>
      <c r="C1603" s="10" t="s">
        <v>14</v>
      </c>
      <c r="D1603" s="10" t="s">
        <v>12</v>
      </c>
      <c r="E1603" s="4">
        <v>9</v>
      </c>
      <c r="F1603" s="4">
        <v>4698</v>
      </c>
      <c r="G1603" s="9">
        <v>1167.9000000000001</v>
      </c>
    </row>
    <row r="1604" spans="1:7" ht="15.6" x14ac:dyDescent="0.3">
      <c r="A1604" s="16">
        <v>45484</v>
      </c>
      <c r="B1604" s="10" t="s">
        <v>21</v>
      </c>
      <c r="C1604" s="10" t="s">
        <v>14</v>
      </c>
      <c r="D1604" s="10" t="s">
        <v>16</v>
      </c>
      <c r="E1604" s="4">
        <v>8</v>
      </c>
      <c r="F1604" s="4">
        <v>7424</v>
      </c>
      <c r="G1604" s="9">
        <v>1878.07</v>
      </c>
    </row>
    <row r="1605" spans="1:7" ht="15.6" x14ac:dyDescent="0.3">
      <c r="A1605" s="16">
        <v>44587</v>
      </c>
      <c r="B1605" s="10" t="s">
        <v>7</v>
      </c>
      <c r="C1605" s="10" t="s">
        <v>8</v>
      </c>
      <c r="D1605" s="10" t="s">
        <v>12</v>
      </c>
      <c r="E1605" s="4">
        <v>1</v>
      </c>
      <c r="F1605" s="4">
        <v>498</v>
      </c>
      <c r="G1605" s="9">
        <v>58.3</v>
      </c>
    </row>
    <row r="1606" spans="1:7" ht="15.6" x14ac:dyDescent="0.3">
      <c r="A1606" s="16">
        <v>45168</v>
      </c>
      <c r="B1606" s="10" t="s">
        <v>18</v>
      </c>
      <c r="C1606" s="10" t="s">
        <v>11</v>
      </c>
      <c r="D1606" s="10" t="s">
        <v>12</v>
      </c>
      <c r="E1606" s="4">
        <v>1</v>
      </c>
      <c r="F1606" s="4">
        <v>111</v>
      </c>
      <c r="G1606" s="9">
        <v>27.91</v>
      </c>
    </row>
    <row r="1607" spans="1:7" ht="15.6" x14ac:dyDescent="0.3">
      <c r="A1607" s="16">
        <v>45156</v>
      </c>
      <c r="B1607" s="10" t="s">
        <v>23</v>
      </c>
      <c r="C1607" s="10" t="s">
        <v>14</v>
      </c>
      <c r="D1607" s="10" t="s">
        <v>9</v>
      </c>
      <c r="E1607" s="4">
        <v>8</v>
      </c>
      <c r="F1607" s="4">
        <v>7520</v>
      </c>
      <c r="G1607" s="9">
        <v>1201.4000000000001</v>
      </c>
    </row>
    <row r="1608" spans="1:7" ht="15.6" x14ac:dyDescent="0.3">
      <c r="A1608" s="16">
        <v>45077</v>
      </c>
      <c r="B1608" s="10" t="s">
        <v>17</v>
      </c>
      <c r="C1608" s="10" t="s">
        <v>14</v>
      </c>
      <c r="D1608" s="10" t="s">
        <v>15</v>
      </c>
      <c r="E1608" s="4">
        <v>1</v>
      </c>
      <c r="F1608" s="4">
        <v>182</v>
      </c>
      <c r="G1608" s="9">
        <v>30.97</v>
      </c>
    </row>
    <row r="1609" spans="1:7" ht="15.6" x14ac:dyDescent="0.3">
      <c r="A1609" s="16">
        <v>44610</v>
      </c>
      <c r="B1609" s="10" t="s">
        <v>10</v>
      </c>
      <c r="C1609" s="10" t="s">
        <v>11</v>
      </c>
      <c r="D1609" s="10" t="s">
        <v>16</v>
      </c>
      <c r="E1609" s="4">
        <v>5</v>
      </c>
      <c r="F1609" s="4">
        <v>5890</v>
      </c>
      <c r="G1609" s="9">
        <v>309</v>
      </c>
    </row>
    <row r="1610" spans="1:7" ht="15.6" x14ac:dyDescent="0.3">
      <c r="A1610" s="16">
        <v>45490</v>
      </c>
      <c r="B1610" s="10" t="s">
        <v>23</v>
      </c>
      <c r="C1610" s="10" t="s">
        <v>14</v>
      </c>
      <c r="D1610" s="10" t="s">
        <v>15</v>
      </c>
      <c r="E1610" s="4">
        <v>4</v>
      </c>
      <c r="F1610" s="4">
        <v>3244</v>
      </c>
      <c r="G1610" s="9">
        <v>357.55</v>
      </c>
    </row>
    <row r="1611" spans="1:7" ht="15.6" x14ac:dyDescent="0.3">
      <c r="A1611" s="16">
        <v>45408</v>
      </c>
      <c r="B1611" s="10" t="s">
        <v>21</v>
      </c>
      <c r="C1611" s="10" t="s">
        <v>14</v>
      </c>
      <c r="D1611" s="10" t="s">
        <v>15</v>
      </c>
      <c r="E1611" s="4">
        <v>7</v>
      </c>
      <c r="F1611" s="4">
        <v>5229</v>
      </c>
      <c r="G1611" s="9">
        <v>1058.26</v>
      </c>
    </row>
    <row r="1612" spans="1:7" ht="15.6" x14ac:dyDescent="0.3">
      <c r="A1612" s="16">
        <v>44853</v>
      </c>
      <c r="B1612" s="10" t="s">
        <v>19</v>
      </c>
      <c r="C1612" s="10" t="s">
        <v>14</v>
      </c>
      <c r="D1612" s="10" t="s">
        <v>9</v>
      </c>
      <c r="E1612" s="4">
        <v>9</v>
      </c>
      <c r="F1612" s="4">
        <v>5202</v>
      </c>
      <c r="G1612" s="9">
        <v>1271.47</v>
      </c>
    </row>
    <row r="1613" spans="1:7" ht="15.6" x14ac:dyDescent="0.3">
      <c r="A1613" s="16">
        <v>44635</v>
      </c>
      <c r="B1613" s="10" t="s">
        <v>22</v>
      </c>
      <c r="C1613" s="10" t="s">
        <v>11</v>
      </c>
      <c r="D1613" s="10" t="s">
        <v>16</v>
      </c>
      <c r="E1613" s="4">
        <v>3</v>
      </c>
      <c r="F1613" s="4">
        <v>438</v>
      </c>
      <c r="G1613" s="9">
        <v>67.430000000000007</v>
      </c>
    </row>
    <row r="1614" spans="1:7" ht="15.6" x14ac:dyDescent="0.3">
      <c r="A1614" s="16">
        <v>44971</v>
      </c>
      <c r="B1614" s="10" t="s">
        <v>22</v>
      </c>
      <c r="C1614" s="10" t="s">
        <v>11</v>
      </c>
      <c r="D1614" s="10" t="s">
        <v>12</v>
      </c>
      <c r="E1614" s="4">
        <v>6</v>
      </c>
      <c r="F1614" s="4">
        <v>6900</v>
      </c>
      <c r="G1614" s="9">
        <v>1109.73</v>
      </c>
    </row>
    <row r="1615" spans="1:7" ht="15.6" x14ac:dyDescent="0.3">
      <c r="A1615" s="16">
        <v>44815</v>
      </c>
      <c r="B1615" s="10" t="s">
        <v>13</v>
      </c>
      <c r="C1615" s="10" t="s">
        <v>14</v>
      </c>
      <c r="D1615" s="10" t="s">
        <v>12</v>
      </c>
      <c r="E1615" s="4">
        <v>3</v>
      </c>
      <c r="F1615" s="4">
        <v>369</v>
      </c>
      <c r="G1615" s="9">
        <v>36.07</v>
      </c>
    </row>
    <row r="1616" spans="1:7" ht="15.6" x14ac:dyDescent="0.3">
      <c r="A1616" s="16">
        <v>45308</v>
      </c>
      <c r="B1616" s="10" t="s">
        <v>23</v>
      </c>
      <c r="C1616" s="10" t="s">
        <v>14</v>
      </c>
      <c r="D1616" s="10" t="s">
        <v>16</v>
      </c>
      <c r="E1616" s="4">
        <v>4</v>
      </c>
      <c r="F1616" s="4">
        <v>4140</v>
      </c>
      <c r="G1616" s="9">
        <v>1229.8499999999999</v>
      </c>
    </row>
    <row r="1617" spans="1:7" ht="15.6" x14ac:dyDescent="0.3">
      <c r="A1617" s="16">
        <v>45395</v>
      </c>
      <c r="B1617" s="10" t="s">
        <v>7</v>
      </c>
      <c r="C1617" s="10" t="s">
        <v>8</v>
      </c>
      <c r="D1617" s="10" t="s">
        <v>15</v>
      </c>
      <c r="E1617" s="4">
        <v>3</v>
      </c>
      <c r="F1617" s="4">
        <v>1086</v>
      </c>
      <c r="G1617" s="9">
        <v>188.65</v>
      </c>
    </row>
    <row r="1618" spans="1:7" ht="15.6" x14ac:dyDescent="0.3">
      <c r="A1618" s="16">
        <v>44988</v>
      </c>
      <c r="B1618" s="10" t="s">
        <v>10</v>
      </c>
      <c r="C1618" s="10" t="s">
        <v>11</v>
      </c>
      <c r="D1618" s="10" t="s">
        <v>15</v>
      </c>
      <c r="E1618" s="4">
        <v>2</v>
      </c>
      <c r="F1618" s="4">
        <v>2134</v>
      </c>
      <c r="G1618" s="9">
        <v>269.52999999999997</v>
      </c>
    </row>
    <row r="1619" spans="1:7" ht="15.6" x14ac:dyDescent="0.3">
      <c r="A1619" s="16">
        <v>44728</v>
      </c>
      <c r="B1619" s="10" t="s">
        <v>23</v>
      </c>
      <c r="C1619" s="10" t="s">
        <v>14</v>
      </c>
      <c r="D1619" s="10" t="s">
        <v>9</v>
      </c>
      <c r="E1619" s="4">
        <v>6</v>
      </c>
      <c r="F1619" s="4">
        <v>5310</v>
      </c>
      <c r="G1619" s="9">
        <v>637.80999999999995</v>
      </c>
    </row>
    <row r="1620" spans="1:7" ht="15.6" x14ac:dyDescent="0.3">
      <c r="A1620" s="16">
        <v>45158</v>
      </c>
      <c r="B1620" s="10" t="s">
        <v>18</v>
      </c>
      <c r="C1620" s="10" t="s">
        <v>11</v>
      </c>
      <c r="D1620" s="10" t="s">
        <v>12</v>
      </c>
      <c r="E1620" s="4">
        <v>6</v>
      </c>
      <c r="F1620" s="4">
        <v>2748</v>
      </c>
      <c r="G1620" s="9">
        <v>682.8</v>
      </c>
    </row>
    <row r="1621" spans="1:7" ht="15.6" x14ac:dyDescent="0.3">
      <c r="A1621" s="16">
        <v>45553</v>
      </c>
      <c r="B1621" s="10" t="s">
        <v>7</v>
      </c>
      <c r="C1621" s="10" t="s">
        <v>8</v>
      </c>
      <c r="D1621" s="10" t="s">
        <v>15</v>
      </c>
      <c r="E1621" s="4">
        <v>9</v>
      </c>
      <c r="F1621" s="4">
        <v>3357</v>
      </c>
      <c r="G1621" s="9">
        <v>405.61</v>
      </c>
    </row>
    <row r="1622" spans="1:7" ht="15.6" x14ac:dyDescent="0.3">
      <c r="A1622" s="16">
        <v>44954</v>
      </c>
      <c r="B1622" s="10" t="s">
        <v>19</v>
      </c>
      <c r="C1622" s="10" t="s">
        <v>14</v>
      </c>
      <c r="D1622" s="10" t="s">
        <v>16</v>
      </c>
      <c r="E1622" s="4">
        <v>9</v>
      </c>
      <c r="F1622" s="4">
        <v>10206</v>
      </c>
      <c r="G1622" s="9">
        <v>592.77</v>
      </c>
    </row>
    <row r="1623" spans="1:7" ht="15.6" x14ac:dyDescent="0.3">
      <c r="A1623" s="16">
        <v>45585</v>
      </c>
      <c r="B1623" s="10" t="s">
        <v>21</v>
      </c>
      <c r="C1623" s="10" t="s">
        <v>14</v>
      </c>
      <c r="D1623" s="10" t="s">
        <v>15</v>
      </c>
      <c r="E1623" s="4">
        <v>6</v>
      </c>
      <c r="F1623" s="4">
        <v>2970</v>
      </c>
      <c r="G1623" s="9">
        <v>425.9</v>
      </c>
    </row>
    <row r="1624" spans="1:7" ht="15.6" x14ac:dyDescent="0.3">
      <c r="A1624" s="16">
        <v>44699</v>
      </c>
      <c r="B1624" s="10" t="s">
        <v>10</v>
      </c>
      <c r="C1624" s="10" t="s">
        <v>11</v>
      </c>
      <c r="D1624" s="10" t="s">
        <v>16</v>
      </c>
      <c r="E1624" s="4">
        <v>4</v>
      </c>
      <c r="F1624" s="4">
        <v>1208</v>
      </c>
      <c r="G1624" s="9">
        <v>351.47</v>
      </c>
    </row>
    <row r="1625" spans="1:7" ht="15.6" x14ac:dyDescent="0.3">
      <c r="A1625" s="16">
        <v>45462</v>
      </c>
      <c r="B1625" s="10" t="s">
        <v>19</v>
      </c>
      <c r="C1625" s="10" t="s">
        <v>14</v>
      </c>
      <c r="D1625" s="10" t="s">
        <v>15</v>
      </c>
      <c r="E1625" s="4">
        <v>3</v>
      </c>
      <c r="F1625" s="4">
        <v>945</v>
      </c>
      <c r="G1625" s="9">
        <v>135.59</v>
      </c>
    </row>
    <row r="1626" spans="1:7" ht="15.6" x14ac:dyDescent="0.3">
      <c r="A1626" s="16">
        <v>44748</v>
      </c>
      <c r="B1626" s="10" t="s">
        <v>20</v>
      </c>
      <c r="C1626" s="10" t="s">
        <v>11</v>
      </c>
      <c r="D1626" s="10" t="s">
        <v>12</v>
      </c>
      <c r="E1626" s="4">
        <v>8</v>
      </c>
      <c r="F1626" s="4">
        <v>7040</v>
      </c>
      <c r="G1626" s="9">
        <v>996.02</v>
      </c>
    </row>
    <row r="1627" spans="1:7" ht="15.6" x14ac:dyDescent="0.3">
      <c r="A1627" s="16">
        <v>45252</v>
      </c>
      <c r="B1627" s="10" t="s">
        <v>21</v>
      </c>
      <c r="C1627" s="10" t="s">
        <v>14</v>
      </c>
      <c r="D1627" s="10" t="s">
        <v>16</v>
      </c>
      <c r="E1627" s="4">
        <v>4</v>
      </c>
      <c r="F1627" s="4">
        <v>3684</v>
      </c>
      <c r="G1627" s="9">
        <v>1009.1</v>
      </c>
    </row>
    <row r="1628" spans="1:7" ht="15.6" x14ac:dyDescent="0.3">
      <c r="A1628" s="16">
        <v>45345</v>
      </c>
      <c r="B1628" s="10" t="s">
        <v>18</v>
      </c>
      <c r="C1628" s="10" t="s">
        <v>11</v>
      </c>
      <c r="D1628" s="10" t="s">
        <v>12</v>
      </c>
      <c r="E1628" s="4">
        <v>2</v>
      </c>
      <c r="F1628" s="4">
        <v>1262</v>
      </c>
      <c r="G1628" s="9">
        <v>190.02</v>
      </c>
    </row>
    <row r="1629" spans="1:7" ht="15.6" x14ac:dyDescent="0.3">
      <c r="A1629" s="16">
        <v>44736</v>
      </c>
      <c r="B1629" s="10" t="s">
        <v>10</v>
      </c>
      <c r="C1629" s="10" t="s">
        <v>11</v>
      </c>
      <c r="D1629" s="10" t="s">
        <v>15</v>
      </c>
      <c r="E1629" s="4">
        <v>3</v>
      </c>
      <c r="F1629" s="4">
        <v>3504</v>
      </c>
      <c r="G1629" s="9">
        <v>807.65</v>
      </c>
    </row>
    <row r="1630" spans="1:7" ht="15.6" x14ac:dyDescent="0.3">
      <c r="A1630" s="16">
        <v>44910</v>
      </c>
      <c r="B1630" s="10" t="s">
        <v>7</v>
      </c>
      <c r="C1630" s="10" t="s">
        <v>8</v>
      </c>
      <c r="D1630" s="10" t="s">
        <v>12</v>
      </c>
      <c r="E1630" s="4">
        <v>6</v>
      </c>
      <c r="F1630" s="4">
        <v>4464</v>
      </c>
      <c r="G1630" s="9">
        <v>1122.3699999999999</v>
      </c>
    </row>
    <row r="1631" spans="1:7" ht="15.6" x14ac:dyDescent="0.3">
      <c r="A1631" s="16">
        <v>45384</v>
      </c>
      <c r="B1631" s="10" t="s">
        <v>23</v>
      </c>
      <c r="C1631" s="10" t="s">
        <v>14</v>
      </c>
      <c r="D1631" s="10" t="s">
        <v>12</v>
      </c>
      <c r="E1631" s="4">
        <v>4</v>
      </c>
      <c r="F1631" s="4">
        <v>1324</v>
      </c>
      <c r="G1631" s="9">
        <v>227.2</v>
      </c>
    </row>
    <row r="1632" spans="1:7" ht="15.6" x14ac:dyDescent="0.3">
      <c r="A1632" s="16">
        <v>45124</v>
      </c>
      <c r="B1632" s="10" t="s">
        <v>17</v>
      </c>
      <c r="C1632" s="10" t="s">
        <v>14</v>
      </c>
      <c r="D1632" s="10" t="s">
        <v>12</v>
      </c>
      <c r="E1632" s="4">
        <v>6</v>
      </c>
      <c r="F1632" s="4">
        <v>4140</v>
      </c>
      <c r="G1632" s="9">
        <v>451.27</v>
      </c>
    </row>
    <row r="1633" spans="1:7" ht="15.6" x14ac:dyDescent="0.3">
      <c r="A1633" s="16">
        <v>45385</v>
      </c>
      <c r="B1633" s="10" t="s">
        <v>10</v>
      </c>
      <c r="C1633" s="10" t="s">
        <v>11</v>
      </c>
      <c r="D1633" s="10" t="s">
        <v>16</v>
      </c>
      <c r="E1633" s="4">
        <v>8</v>
      </c>
      <c r="F1633" s="4">
        <v>2384</v>
      </c>
      <c r="G1633" s="9">
        <v>120.28</v>
      </c>
    </row>
    <row r="1634" spans="1:7" ht="15.6" x14ac:dyDescent="0.3">
      <c r="A1634" s="16">
        <v>44683</v>
      </c>
      <c r="B1634" s="10" t="s">
        <v>23</v>
      </c>
      <c r="C1634" s="10" t="s">
        <v>14</v>
      </c>
      <c r="D1634" s="10" t="s">
        <v>16</v>
      </c>
      <c r="E1634" s="4">
        <v>8</v>
      </c>
      <c r="F1634" s="4">
        <v>4624</v>
      </c>
      <c r="G1634" s="9">
        <v>1313.36</v>
      </c>
    </row>
    <row r="1635" spans="1:7" ht="15.6" x14ac:dyDescent="0.3">
      <c r="A1635" s="16">
        <v>45273</v>
      </c>
      <c r="B1635" s="10" t="s">
        <v>19</v>
      </c>
      <c r="C1635" s="10" t="s">
        <v>14</v>
      </c>
      <c r="D1635" s="10" t="s">
        <v>16</v>
      </c>
      <c r="E1635" s="4">
        <v>6</v>
      </c>
      <c r="F1635" s="4">
        <v>4812</v>
      </c>
      <c r="G1635" s="9">
        <v>662.54</v>
      </c>
    </row>
    <row r="1636" spans="1:7" ht="15.6" x14ac:dyDescent="0.3">
      <c r="A1636" s="16">
        <v>44579</v>
      </c>
      <c r="B1636" s="10" t="s">
        <v>13</v>
      </c>
      <c r="C1636" s="10" t="s">
        <v>14</v>
      </c>
      <c r="D1636" s="10" t="s">
        <v>9</v>
      </c>
      <c r="E1636" s="4">
        <v>6</v>
      </c>
      <c r="F1636" s="4">
        <v>5640</v>
      </c>
      <c r="G1636" s="9">
        <v>856.44</v>
      </c>
    </row>
    <row r="1637" spans="1:7" ht="15.6" x14ac:dyDescent="0.3">
      <c r="A1637" s="16">
        <v>44827</v>
      </c>
      <c r="B1637" s="10" t="s">
        <v>19</v>
      </c>
      <c r="C1637" s="10" t="s">
        <v>14</v>
      </c>
      <c r="D1637" s="10" t="s">
        <v>16</v>
      </c>
      <c r="E1637" s="4">
        <v>5</v>
      </c>
      <c r="F1637" s="4">
        <v>1840</v>
      </c>
      <c r="G1637" s="9">
        <v>307.08999999999997</v>
      </c>
    </row>
    <row r="1638" spans="1:7" ht="15.6" x14ac:dyDescent="0.3">
      <c r="A1638" s="16">
        <v>45597</v>
      </c>
      <c r="B1638" s="10" t="s">
        <v>22</v>
      </c>
      <c r="C1638" s="10" t="s">
        <v>11</v>
      </c>
      <c r="D1638" s="10" t="s">
        <v>9</v>
      </c>
      <c r="E1638" s="4">
        <v>7</v>
      </c>
      <c r="F1638" s="4">
        <v>8071</v>
      </c>
      <c r="G1638" s="9">
        <v>435.51</v>
      </c>
    </row>
    <row r="1639" spans="1:7" ht="15.6" x14ac:dyDescent="0.3">
      <c r="A1639" s="16">
        <v>44859</v>
      </c>
      <c r="B1639" s="10" t="s">
        <v>22</v>
      </c>
      <c r="C1639" s="10" t="s">
        <v>11</v>
      </c>
      <c r="D1639" s="10" t="s">
        <v>9</v>
      </c>
      <c r="E1639" s="4">
        <v>3</v>
      </c>
      <c r="F1639" s="4">
        <v>2400</v>
      </c>
      <c r="G1639" s="9">
        <v>297.07</v>
      </c>
    </row>
    <row r="1640" spans="1:7" ht="15.6" x14ac:dyDescent="0.3">
      <c r="A1640" s="16">
        <v>45108</v>
      </c>
      <c r="B1640" s="10" t="s">
        <v>19</v>
      </c>
      <c r="C1640" s="10" t="s">
        <v>14</v>
      </c>
      <c r="D1640" s="10" t="s">
        <v>12</v>
      </c>
      <c r="E1640" s="4">
        <v>6</v>
      </c>
      <c r="F1640" s="4">
        <v>3570</v>
      </c>
      <c r="G1640" s="9">
        <v>265.62</v>
      </c>
    </row>
    <row r="1641" spans="1:7" ht="15.6" x14ac:dyDescent="0.3">
      <c r="A1641" s="16">
        <v>44647</v>
      </c>
      <c r="B1641" s="10" t="s">
        <v>23</v>
      </c>
      <c r="C1641" s="10" t="s">
        <v>14</v>
      </c>
      <c r="D1641" s="10" t="s">
        <v>12</v>
      </c>
      <c r="E1641" s="4">
        <v>3</v>
      </c>
      <c r="F1641" s="4">
        <v>1758</v>
      </c>
      <c r="G1641" s="9">
        <v>245.92</v>
      </c>
    </row>
    <row r="1642" spans="1:7" ht="15.6" x14ac:dyDescent="0.3">
      <c r="A1642" s="16">
        <v>45144</v>
      </c>
      <c r="B1642" s="10" t="s">
        <v>20</v>
      </c>
      <c r="C1642" s="10" t="s">
        <v>11</v>
      </c>
      <c r="D1642" s="10" t="s">
        <v>9</v>
      </c>
      <c r="E1642" s="4">
        <v>4</v>
      </c>
      <c r="F1642" s="4">
        <v>3072</v>
      </c>
      <c r="G1642" s="9">
        <v>394.2</v>
      </c>
    </row>
    <row r="1643" spans="1:7" ht="15.6" x14ac:dyDescent="0.3">
      <c r="A1643" s="16">
        <v>45154</v>
      </c>
      <c r="B1643" s="10" t="s">
        <v>10</v>
      </c>
      <c r="C1643" s="10" t="s">
        <v>11</v>
      </c>
      <c r="D1643" s="10" t="s">
        <v>15</v>
      </c>
      <c r="E1643" s="4">
        <v>5</v>
      </c>
      <c r="F1643" s="4">
        <v>2185</v>
      </c>
      <c r="G1643" s="9">
        <v>136.1</v>
      </c>
    </row>
    <row r="1644" spans="1:7" ht="15.6" x14ac:dyDescent="0.3">
      <c r="A1644" s="16">
        <v>44960</v>
      </c>
      <c r="B1644" s="10" t="s">
        <v>21</v>
      </c>
      <c r="C1644" s="10" t="s">
        <v>14</v>
      </c>
      <c r="D1644" s="10" t="s">
        <v>9</v>
      </c>
      <c r="E1644" s="4">
        <v>8</v>
      </c>
      <c r="F1644" s="4">
        <v>7664</v>
      </c>
      <c r="G1644" s="9">
        <v>1251.6500000000001</v>
      </c>
    </row>
    <row r="1645" spans="1:7" ht="15.6" x14ac:dyDescent="0.3">
      <c r="A1645" s="16">
        <v>45364</v>
      </c>
      <c r="B1645" s="10" t="s">
        <v>18</v>
      </c>
      <c r="C1645" s="10" t="s">
        <v>11</v>
      </c>
      <c r="D1645" s="10" t="s">
        <v>16</v>
      </c>
      <c r="E1645" s="4">
        <v>5</v>
      </c>
      <c r="F1645" s="4">
        <v>1710</v>
      </c>
      <c r="G1645" s="9">
        <v>338.1</v>
      </c>
    </row>
    <row r="1646" spans="1:7" ht="15.6" x14ac:dyDescent="0.3">
      <c r="A1646" s="16">
        <v>45521</v>
      </c>
      <c r="B1646" s="10" t="s">
        <v>7</v>
      </c>
      <c r="C1646" s="10" t="s">
        <v>8</v>
      </c>
      <c r="D1646" s="10" t="s">
        <v>15</v>
      </c>
      <c r="E1646" s="4">
        <v>2</v>
      </c>
      <c r="F1646" s="4">
        <v>1878</v>
      </c>
      <c r="G1646" s="9">
        <v>386.28</v>
      </c>
    </row>
    <row r="1647" spans="1:7" ht="15.6" x14ac:dyDescent="0.3">
      <c r="A1647" s="16">
        <v>45129</v>
      </c>
      <c r="B1647" s="10" t="s">
        <v>13</v>
      </c>
      <c r="C1647" s="10" t="s">
        <v>14</v>
      </c>
      <c r="D1647" s="10" t="s">
        <v>15</v>
      </c>
      <c r="E1647" s="4">
        <v>1</v>
      </c>
      <c r="F1647" s="4">
        <v>569</v>
      </c>
      <c r="G1647" s="9">
        <v>141.33000000000001</v>
      </c>
    </row>
    <row r="1648" spans="1:7" ht="15.6" x14ac:dyDescent="0.3">
      <c r="A1648" s="16">
        <v>45021</v>
      </c>
      <c r="B1648" s="10" t="s">
        <v>19</v>
      </c>
      <c r="C1648" s="10" t="s">
        <v>14</v>
      </c>
      <c r="D1648" s="10" t="s">
        <v>16</v>
      </c>
      <c r="E1648" s="4">
        <v>3</v>
      </c>
      <c r="F1648" s="4">
        <v>1488</v>
      </c>
      <c r="G1648" s="9">
        <v>296.36</v>
      </c>
    </row>
    <row r="1649" spans="1:7" ht="15.6" x14ac:dyDescent="0.3">
      <c r="A1649" s="16">
        <v>45402</v>
      </c>
      <c r="B1649" s="10" t="s">
        <v>10</v>
      </c>
      <c r="C1649" s="10" t="s">
        <v>11</v>
      </c>
      <c r="D1649" s="10" t="s">
        <v>16</v>
      </c>
      <c r="E1649" s="4">
        <v>9</v>
      </c>
      <c r="F1649" s="4">
        <v>9918</v>
      </c>
      <c r="G1649" s="9">
        <v>1956.17</v>
      </c>
    </row>
    <row r="1650" spans="1:7" ht="15.6" x14ac:dyDescent="0.3">
      <c r="A1650" s="16">
        <v>44914</v>
      </c>
      <c r="B1650" s="10" t="s">
        <v>19</v>
      </c>
      <c r="C1650" s="10" t="s">
        <v>14</v>
      </c>
      <c r="D1650" s="10" t="s">
        <v>15</v>
      </c>
      <c r="E1650" s="4">
        <v>3</v>
      </c>
      <c r="F1650" s="4">
        <v>432</v>
      </c>
      <c r="G1650" s="9">
        <v>36.840000000000003</v>
      </c>
    </row>
    <row r="1651" spans="1:7" ht="15.6" x14ac:dyDescent="0.3">
      <c r="A1651" s="16">
        <v>45187</v>
      </c>
      <c r="B1651" s="10" t="s">
        <v>13</v>
      </c>
      <c r="C1651" s="10" t="s">
        <v>14</v>
      </c>
      <c r="D1651" s="10" t="s">
        <v>12</v>
      </c>
      <c r="E1651" s="4">
        <v>9</v>
      </c>
      <c r="F1651" s="4">
        <v>9828</v>
      </c>
      <c r="G1651" s="9">
        <v>1300.68</v>
      </c>
    </row>
    <row r="1652" spans="1:7" ht="15.6" x14ac:dyDescent="0.3">
      <c r="A1652" s="16">
        <v>45654</v>
      </c>
      <c r="B1652" s="10" t="s">
        <v>19</v>
      </c>
      <c r="C1652" s="10" t="s">
        <v>14</v>
      </c>
      <c r="D1652" s="10" t="s">
        <v>9</v>
      </c>
      <c r="E1652" s="4">
        <v>5</v>
      </c>
      <c r="F1652" s="4">
        <v>3625</v>
      </c>
      <c r="G1652" s="9">
        <v>245.52</v>
      </c>
    </row>
    <row r="1653" spans="1:7" ht="15.6" x14ac:dyDescent="0.3">
      <c r="A1653" s="16">
        <v>44698</v>
      </c>
      <c r="B1653" s="10" t="s">
        <v>19</v>
      </c>
      <c r="C1653" s="10" t="s">
        <v>14</v>
      </c>
      <c r="D1653" s="10" t="s">
        <v>15</v>
      </c>
      <c r="E1653" s="4">
        <v>3</v>
      </c>
      <c r="F1653" s="4">
        <v>2187</v>
      </c>
      <c r="G1653" s="9">
        <v>491.13</v>
      </c>
    </row>
    <row r="1654" spans="1:7" ht="15.6" x14ac:dyDescent="0.3">
      <c r="A1654" s="16">
        <v>45223</v>
      </c>
      <c r="B1654" s="10" t="s">
        <v>20</v>
      </c>
      <c r="C1654" s="10" t="s">
        <v>11</v>
      </c>
      <c r="D1654" s="10" t="s">
        <v>15</v>
      </c>
      <c r="E1654" s="4">
        <v>5</v>
      </c>
      <c r="F1654" s="4">
        <v>5105</v>
      </c>
      <c r="G1654" s="9">
        <v>1003.4</v>
      </c>
    </row>
    <row r="1655" spans="1:7" ht="15.6" x14ac:dyDescent="0.3">
      <c r="A1655" s="16">
        <v>44904</v>
      </c>
      <c r="B1655" s="10" t="s">
        <v>18</v>
      </c>
      <c r="C1655" s="10" t="s">
        <v>11</v>
      </c>
      <c r="D1655" s="10" t="s">
        <v>15</v>
      </c>
      <c r="E1655" s="4">
        <v>3</v>
      </c>
      <c r="F1655" s="4">
        <v>1392</v>
      </c>
      <c r="G1655" s="9">
        <v>345.78</v>
      </c>
    </row>
    <row r="1656" spans="1:7" ht="15.6" x14ac:dyDescent="0.3">
      <c r="A1656" s="16">
        <v>44872</v>
      </c>
      <c r="B1656" s="10" t="s">
        <v>21</v>
      </c>
      <c r="C1656" s="10" t="s">
        <v>14</v>
      </c>
      <c r="D1656" s="10" t="s">
        <v>9</v>
      </c>
      <c r="E1656" s="4">
        <v>2</v>
      </c>
      <c r="F1656" s="4">
        <v>744</v>
      </c>
      <c r="G1656" s="9">
        <v>110.81</v>
      </c>
    </row>
    <row r="1657" spans="1:7" ht="15.6" x14ac:dyDescent="0.3">
      <c r="A1657" s="16">
        <v>45082</v>
      </c>
      <c r="B1657" s="10" t="s">
        <v>19</v>
      </c>
      <c r="C1657" s="10" t="s">
        <v>14</v>
      </c>
      <c r="D1657" s="10" t="s">
        <v>15</v>
      </c>
      <c r="E1657" s="4">
        <v>4</v>
      </c>
      <c r="F1657" s="4">
        <v>1724</v>
      </c>
      <c r="G1657" s="9">
        <v>233.21</v>
      </c>
    </row>
    <row r="1658" spans="1:7" ht="15.6" x14ac:dyDescent="0.3">
      <c r="A1658" s="16">
        <v>45225</v>
      </c>
      <c r="B1658" s="10" t="s">
        <v>10</v>
      </c>
      <c r="C1658" s="10" t="s">
        <v>11</v>
      </c>
      <c r="D1658" s="10" t="s">
        <v>16</v>
      </c>
      <c r="E1658" s="4">
        <v>5</v>
      </c>
      <c r="F1658" s="4">
        <v>1940</v>
      </c>
      <c r="G1658" s="9">
        <v>423.17</v>
      </c>
    </row>
    <row r="1659" spans="1:7" ht="15.6" x14ac:dyDescent="0.3">
      <c r="A1659" s="16">
        <v>45135</v>
      </c>
      <c r="B1659" s="10" t="s">
        <v>10</v>
      </c>
      <c r="C1659" s="10" t="s">
        <v>11</v>
      </c>
      <c r="D1659" s="10" t="s">
        <v>15</v>
      </c>
      <c r="E1659" s="4">
        <v>4</v>
      </c>
      <c r="F1659" s="4">
        <v>356</v>
      </c>
      <c r="G1659" s="9">
        <v>59.15</v>
      </c>
    </row>
    <row r="1660" spans="1:7" ht="15.6" x14ac:dyDescent="0.3">
      <c r="A1660" s="16">
        <v>45072</v>
      </c>
      <c r="B1660" s="10" t="s">
        <v>20</v>
      </c>
      <c r="C1660" s="10" t="s">
        <v>11</v>
      </c>
      <c r="D1660" s="10" t="s">
        <v>16</v>
      </c>
      <c r="E1660" s="4">
        <v>5</v>
      </c>
      <c r="F1660" s="4">
        <v>1095</v>
      </c>
      <c r="G1660" s="9">
        <v>269.87</v>
      </c>
    </row>
    <row r="1661" spans="1:7" ht="15.6" x14ac:dyDescent="0.3">
      <c r="A1661" s="16">
        <v>44902</v>
      </c>
      <c r="B1661" s="10" t="s">
        <v>13</v>
      </c>
      <c r="C1661" s="10" t="s">
        <v>14</v>
      </c>
      <c r="D1661" s="10" t="s">
        <v>9</v>
      </c>
      <c r="E1661" s="4">
        <v>8</v>
      </c>
      <c r="F1661" s="4">
        <v>4064</v>
      </c>
      <c r="G1661" s="9">
        <v>543.9</v>
      </c>
    </row>
    <row r="1662" spans="1:7" ht="15.6" x14ac:dyDescent="0.3">
      <c r="A1662" s="16">
        <v>45616</v>
      </c>
      <c r="B1662" s="10" t="s">
        <v>19</v>
      </c>
      <c r="C1662" s="10" t="s">
        <v>14</v>
      </c>
      <c r="D1662" s="10" t="s">
        <v>16</v>
      </c>
      <c r="E1662" s="4">
        <v>7</v>
      </c>
      <c r="F1662" s="4">
        <v>5453</v>
      </c>
      <c r="G1662" s="9">
        <v>1592.37</v>
      </c>
    </row>
    <row r="1663" spans="1:7" ht="15.6" x14ac:dyDescent="0.3">
      <c r="A1663" s="16">
        <v>45382</v>
      </c>
      <c r="B1663" s="10" t="s">
        <v>20</v>
      </c>
      <c r="C1663" s="10" t="s">
        <v>11</v>
      </c>
      <c r="D1663" s="10" t="s">
        <v>15</v>
      </c>
      <c r="E1663" s="4">
        <v>8</v>
      </c>
      <c r="F1663" s="4">
        <v>7104</v>
      </c>
      <c r="G1663" s="9">
        <v>529.35</v>
      </c>
    </row>
    <row r="1664" spans="1:7" ht="15.6" x14ac:dyDescent="0.3">
      <c r="A1664" s="16">
        <v>45399</v>
      </c>
      <c r="B1664" s="10" t="s">
        <v>22</v>
      </c>
      <c r="C1664" s="10" t="s">
        <v>11</v>
      </c>
      <c r="D1664" s="10" t="s">
        <v>12</v>
      </c>
      <c r="E1664" s="4">
        <v>9</v>
      </c>
      <c r="F1664" s="4">
        <v>2745</v>
      </c>
      <c r="G1664" s="9">
        <v>660.56</v>
      </c>
    </row>
    <row r="1665" spans="1:7" ht="15.6" x14ac:dyDescent="0.3">
      <c r="A1665" s="16">
        <v>45418</v>
      </c>
      <c r="B1665" s="10" t="s">
        <v>17</v>
      </c>
      <c r="C1665" s="10" t="s">
        <v>14</v>
      </c>
      <c r="D1665" s="10" t="s">
        <v>9</v>
      </c>
      <c r="E1665" s="4">
        <v>5</v>
      </c>
      <c r="F1665" s="4">
        <v>1030</v>
      </c>
      <c r="G1665" s="9">
        <v>64.81</v>
      </c>
    </row>
    <row r="1666" spans="1:7" ht="15.6" x14ac:dyDescent="0.3">
      <c r="A1666" s="16">
        <v>44982</v>
      </c>
      <c r="B1666" s="10" t="s">
        <v>13</v>
      </c>
      <c r="C1666" s="10" t="s">
        <v>14</v>
      </c>
      <c r="D1666" s="10" t="s">
        <v>9</v>
      </c>
      <c r="E1666" s="4">
        <v>9</v>
      </c>
      <c r="F1666" s="4">
        <v>8973</v>
      </c>
      <c r="G1666" s="9">
        <v>471.86</v>
      </c>
    </row>
    <row r="1667" spans="1:7" ht="15.6" x14ac:dyDescent="0.3">
      <c r="A1667" s="16">
        <v>44909</v>
      </c>
      <c r="B1667" s="10" t="s">
        <v>22</v>
      </c>
      <c r="C1667" s="10" t="s">
        <v>11</v>
      </c>
      <c r="D1667" s="10" t="s">
        <v>9</v>
      </c>
      <c r="E1667" s="4">
        <v>2</v>
      </c>
      <c r="F1667" s="4">
        <v>794</v>
      </c>
      <c r="G1667" s="9">
        <v>128.5</v>
      </c>
    </row>
    <row r="1668" spans="1:7" ht="15.6" x14ac:dyDescent="0.3">
      <c r="A1668" s="16">
        <v>45280</v>
      </c>
      <c r="B1668" s="10" t="s">
        <v>7</v>
      </c>
      <c r="C1668" s="10" t="s">
        <v>8</v>
      </c>
      <c r="D1668" s="10" t="s">
        <v>15</v>
      </c>
      <c r="E1668" s="4">
        <v>6</v>
      </c>
      <c r="F1668" s="4">
        <v>2142</v>
      </c>
      <c r="G1668" s="9">
        <v>476.19</v>
      </c>
    </row>
    <row r="1669" spans="1:7" ht="15.6" x14ac:dyDescent="0.3">
      <c r="A1669" s="16">
        <v>45212</v>
      </c>
      <c r="B1669" s="10" t="s">
        <v>18</v>
      </c>
      <c r="C1669" s="10" t="s">
        <v>11</v>
      </c>
      <c r="D1669" s="10" t="s">
        <v>12</v>
      </c>
      <c r="E1669" s="4">
        <v>2</v>
      </c>
      <c r="F1669" s="4">
        <v>414</v>
      </c>
      <c r="G1669" s="9">
        <v>51.1</v>
      </c>
    </row>
    <row r="1670" spans="1:7" ht="15.6" x14ac:dyDescent="0.3">
      <c r="A1670" s="16">
        <v>45091</v>
      </c>
      <c r="B1670" s="10" t="s">
        <v>13</v>
      </c>
      <c r="C1670" s="10" t="s">
        <v>14</v>
      </c>
      <c r="D1670" s="10" t="s">
        <v>9</v>
      </c>
      <c r="E1670" s="4">
        <v>3</v>
      </c>
      <c r="F1670" s="4">
        <v>1416</v>
      </c>
      <c r="G1670" s="9">
        <v>220.7</v>
      </c>
    </row>
    <row r="1671" spans="1:7" ht="15.6" x14ac:dyDescent="0.3">
      <c r="A1671" s="16">
        <v>44653</v>
      </c>
      <c r="B1671" s="10" t="s">
        <v>13</v>
      </c>
      <c r="C1671" s="10" t="s">
        <v>14</v>
      </c>
      <c r="D1671" s="10" t="s">
        <v>15</v>
      </c>
      <c r="E1671" s="4">
        <v>3</v>
      </c>
      <c r="F1671" s="4">
        <v>2103</v>
      </c>
      <c r="G1671" s="9">
        <v>541.35</v>
      </c>
    </row>
    <row r="1672" spans="1:7" ht="15.6" x14ac:dyDescent="0.3">
      <c r="A1672" s="16">
        <v>45463</v>
      </c>
      <c r="B1672" s="10" t="s">
        <v>17</v>
      </c>
      <c r="C1672" s="10" t="s">
        <v>14</v>
      </c>
      <c r="D1672" s="10" t="s">
        <v>16</v>
      </c>
      <c r="E1672" s="4">
        <v>3</v>
      </c>
      <c r="F1672" s="4">
        <v>861</v>
      </c>
      <c r="G1672" s="9">
        <v>173.49</v>
      </c>
    </row>
    <row r="1673" spans="1:7" ht="15.6" x14ac:dyDescent="0.3">
      <c r="A1673" s="16">
        <v>45431</v>
      </c>
      <c r="B1673" s="10" t="s">
        <v>18</v>
      </c>
      <c r="C1673" s="10" t="s">
        <v>11</v>
      </c>
      <c r="D1673" s="10" t="s">
        <v>16</v>
      </c>
      <c r="E1673" s="4">
        <v>3</v>
      </c>
      <c r="F1673" s="4">
        <v>2367</v>
      </c>
      <c r="G1673" s="9">
        <v>222.26</v>
      </c>
    </row>
    <row r="1674" spans="1:7" ht="15.6" x14ac:dyDescent="0.3">
      <c r="A1674" s="16">
        <v>44942</v>
      </c>
      <c r="B1674" s="10" t="s">
        <v>13</v>
      </c>
      <c r="C1674" s="10" t="s">
        <v>14</v>
      </c>
      <c r="D1674" s="10" t="s">
        <v>15</v>
      </c>
      <c r="E1674" s="4">
        <v>5</v>
      </c>
      <c r="F1674" s="4">
        <v>2435</v>
      </c>
      <c r="G1674" s="9">
        <v>688.82</v>
      </c>
    </row>
    <row r="1675" spans="1:7" ht="15.6" x14ac:dyDescent="0.3">
      <c r="A1675" s="16">
        <v>45053</v>
      </c>
      <c r="B1675" s="10" t="s">
        <v>7</v>
      </c>
      <c r="C1675" s="10" t="s">
        <v>8</v>
      </c>
      <c r="D1675" s="10" t="s">
        <v>15</v>
      </c>
      <c r="E1675" s="4">
        <v>4</v>
      </c>
      <c r="F1675" s="4">
        <v>2456</v>
      </c>
      <c r="G1675" s="9">
        <v>163.61000000000001</v>
      </c>
    </row>
    <row r="1676" spans="1:7" ht="15.6" x14ac:dyDescent="0.3">
      <c r="A1676" s="16">
        <v>45108</v>
      </c>
      <c r="B1676" s="10" t="s">
        <v>23</v>
      </c>
      <c r="C1676" s="10" t="s">
        <v>14</v>
      </c>
      <c r="D1676" s="10" t="s">
        <v>12</v>
      </c>
      <c r="E1676" s="4">
        <v>4</v>
      </c>
      <c r="F1676" s="4">
        <v>3216</v>
      </c>
      <c r="G1676" s="9">
        <v>962.49</v>
      </c>
    </row>
    <row r="1677" spans="1:7" ht="15.6" x14ac:dyDescent="0.3">
      <c r="A1677" s="16">
        <v>45498</v>
      </c>
      <c r="B1677" s="10" t="s">
        <v>19</v>
      </c>
      <c r="C1677" s="10" t="s">
        <v>14</v>
      </c>
      <c r="D1677" s="10" t="s">
        <v>12</v>
      </c>
      <c r="E1677" s="4">
        <v>4</v>
      </c>
      <c r="F1677" s="4">
        <v>4324</v>
      </c>
      <c r="G1677" s="9">
        <v>833.11</v>
      </c>
    </row>
    <row r="1678" spans="1:7" ht="15.6" x14ac:dyDescent="0.3">
      <c r="A1678" s="16">
        <v>45196</v>
      </c>
      <c r="B1678" s="10" t="s">
        <v>10</v>
      </c>
      <c r="C1678" s="10" t="s">
        <v>11</v>
      </c>
      <c r="D1678" s="10" t="s">
        <v>15</v>
      </c>
      <c r="E1678" s="4">
        <v>4</v>
      </c>
      <c r="F1678" s="4">
        <v>2628</v>
      </c>
      <c r="G1678" s="9">
        <v>727.87</v>
      </c>
    </row>
    <row r="1679" spans="1:7" ht="15.6" x14ac:dyDescent="0.3">
      <c r="A1679" s="16">
        <v>45150</v>
      </c>
      <c r="B1679" s="10" t="s">
        <v>22</v>
      </c>
      <c r="C1679" s="10" t="s">
        <v>11</v>
      </c>
      <c r="D1679" s="10" t="s">
        <v>16</v>
      </c>
      <c r="E1679" s="4">
        <v>8</v>
      </c>
      <c r="F1679" s="4">
        <v>8992</v>
      </c>
      <c r="G1679" s="9">
        <v>2018.64</v>
      </c>
    </row>
    <row r="1680" spans="1:7" ht="15.6" x14ac:dyDescent="0.3">
      <c r="A1680" s="16">
        <v>45497</v>
      </c>
      <c r="B1680" s="10" t="s">
        <v>23</v>
      </c>
      <c r="C1680" s="10" t="s">
        <v>14</v>
      </c>
      <c r="D1680" s="10" t="s">
        <v>16</v>
      </c>
      <c r="E1680" s="4">
        <v>6</v>
      </c>
      <c r="F1680" s="4">
        <v>360</v>
      </c>
      <c r="G1680" s="9">
        <v>22.16</v>
      </c>
    </row>
    <row r="1681" spans="1:7" ht="15.6" x14ac:dyDescent="0.3">
      <c r="A1681" s="16">
        <v>44768</v>
      </c>
      <c r="B1681" s="10" t="s">
        <v>13</v>
      </c>
      <c r="C1681" s="10" t="s">
        <v>14</v>
      </c>
      <c r="D1681" s="10" t="s">
        <v>15</v>
      </c>
      <c r="E1681" s="4">
        <v>3</v>
      </c>
      <c r="F1681" s="4">
        <v>2067</v>
      </c>
      <c r="G1681" s="9">
        <v>479.39</v>
      </c>
    </row>
    <row r="1682" spans="1:7" ht="15.6" x14ac:dyDescent="0.3">
      <c r="A1682" s="16">
        <v>45629</v>
      </c>
      <c r="B1682" s="10" t="s">
        <v>10</v>
      </c>
      <c r="C1682" s="10" t="s">
        <v>11</v>
      </c>
      <c r="D1682" s="10" t="s">
        <v>15</v>
      </c>
      <c r="E1682" s="4">
        <v>9</v>
      </c>
      <c r="F1682" s="4">
        <v>3573</v>
      </c>
      <c r="G1682" s="9">
        <v>550.44000000000005</v>
      </c>
    </row>
    <row r="1683" spans="1:7" ht="15.6" x14ac:dyDescent="0.3">
      <c r="A1683" s="16">
        <v>45153</v>
      </c>
      <c r="B1683" s="10" t="s">
        <v>23</v>
      </c>
      <c r="C1683" s="10" t="s">
        <v>14</v>
      </c>
      <c r="D1683" s="10" t="s">
        <v>15</v>
      </c>
      <c r="E1683" s="4">
        <v>8</v>
      </c>
      <c r="F1683" s="4">
        <v>1800</v>
      </c>
      <c r="G1683" s="9">
        <v>142.86000000000001</v>
      </c>
    </row>
    <row r="1684" spans="1:7" ht="15.6" x14ac:dyDescent="0.3">
      <c r="A1684" s="16">
        <v>45258</v>
      </c>
      <c r="B1684" s="10" t="s">
        <v>7</v>
      </c>
      <c r="C1684" s="10" t="s">
        <v>8</v>
      </c>
      <c r="D1684" s="10" t="s">
        <v>15</v>
      </c>
      <c r="E1684" s="4">
        <v>8</v>
      </c>
      <c r="F1684" s="4">
        <v>3912</v>
      </c>
      <c r="G1684" s="9">
        <v>334.1</v>
      </c>
    </row>
    <row r="1685" spans="1:7" ht="15.6" x14ac:dyDescent="0.3">
      <c r="A1685" s="16">
        <v>44776</v>
      </c>
      <c r="B1685" s="10" t="s">
        <v>18</v>
      </c>
      <c r="C1685" s="10" t="s">
        <v>11</v>
      </c>
      <c r="D1685" s="10" t="s">
        <v>9</v>
      </c>
      <c r="E1685" s="4">
        <v>8</v>
      </c>
      <c r="F1685" s="4">
        <v>5640</v>
      </c>
      <c r="G1685" s="9">
        <v>747.26</v>
      </c>
    </row>
    <row r="1686" spans="1:7" ht="15.6" x14ac:dyDescent="0.3">
      <c r="A1686" s="16">
        <v>44806</v>
      </c>
      <c r="B1686" s="10" t="s">
        <v>13</v>
      </c>
      <c r="C1686" s="10" t="s">
        <v>14</v>
      </c>
      <c r="D1686" s="10" t="s">
        <v>15</v>
      </c>
      <c r="E1686" s="4">
        <v>1</v>
      </c>
      <c r="F1686" s="4">
        <v>552</v>
      </c>
      <c r="G1686" s="9">
        <v>115.74</v>
      </c>
    </row>
    <row r="1687" spans="1:7" ht="15.6" x14ac:dyDescent="0.3">
      <c r="A1687" s="16">
        <v>44676</v>
      </c>
      <c r="B1687" s="10" t="s">
        <v>10</v>
      </c>
      <c r="C1687" s="10" t="s">
        <v>11</v>
      </c>
      <c r="D1687" s="10" t="s">
        <v>15</v>
      </c>
      <c r="E1687" s="4">
        <v>7</v>
      </c>
      <c r="F1687" s="4">
        <v>1428</v>
      </c>
      <c r="G1687" s="9">
        <v>289.64999999999998</v>
      </c>
    </row>
    <row r="1688" spans="1:7" ht="15.6" x14ac:dyDescent="0.3">
      <c r="A1688" s="16">
        <v>44573</v>
      </c>
      <c r="B1688" s="10" t="s">
        <v>7</v>
      </c>
      <c r="C1688" s="10" t="s">
        <v>8</v>
      </c>
      <c r="D1688" s="10" t="s">
        <v>16</v>
      </c>
      <c r="E1688" s="4">
        <v>1</v>
      </c>
      <c r="F1688" s="4">
        <v>349</v>
      </c>
      <c r="G1688" s="9">
        <v>42.05</v>
      </c>
    </row>
    <row r="1689" spans="1:7" ht="15.6" x14ac:dyDescent="0.3">
      <c r="A1689" s="16">
        <v>44864</v>
      </c>
      <c r="B1689" s="10" t="s">
        <v>13</v>
      </c>
      <c r="C1689" s="10" t="s">
        <v>14</v>
      </c>
      <c r="D1689" s="10" t="s">
        <v>9</v>
      </c>
      <c r="E1689" s="4">
        <v>6</v>
      </c>
      <c r="F1689" s="4">
        <v>6402</v>
      </c>
      <c r="G1689" s="9">
        <v>1366.28</v>
      </c>
    </row>
    <row r="1690" spans="1:7" ht="15.6" x14ac:dyDescent="0.3">
      <c r="A1690" s="16">
        <v>45086</v>
      </c>
      <c r="B1690" s="10" t="s">
        <v>20</v>
      </c>
      <c r="C1690" s="10" t="s">
        <v>11</v>
      </c>
      <c r="D1690" s="10" t="s">
        <v>12</v>
      </c>
      <c r="E1690" s="4">
        <v>9</v>
      </c>
      <c r="F1690" s="4">
        <v>657</v>
      </c>
      <c r="G1690" s="9">
        <v>185.95</v>
      </c>
    </row>
    <row r="1691" spans="1:7" ht="15.6" x14ac:dyDescent="0.3">
      <c r="A1691" s="16">
        <v>44939</v>
      </c>
      <c r="B1691" s="10" t="s">
        <v>10</v>
      </c>
      <c r="C1691" s="10" t="s">
        <v>11</v>
      </c>
      <c r="D1691" s="10" t="s">
        <v>16</v>
      </c>
      <c r="E1691" s="4">
        <v>7</v>
      </c>
      <c r="F1691" s="4">
        <v>5327</v>
      </c>
      <c r="G1691" s="9">
        <v>950.7</v>
      </c>
    </row>
    <row r="1692" spans="1:7" ht="15.6" x14ac:dyDescent="0.3">
      <c r="A1692" s="16">
        <v>45318</v>
      </c>
      <c r="B1692" s="10" t="s">
        <v>22</v>
      </c>
      <c r="C1692" s="10" t="s">
        <v>11</v>
      </c>
      <c r="D1692" s="10" t="s">
        <v>9</v>
      </c>
      <c r="E1692" s="4">
        <v>4</v>
      </c>
      <c r="F1692" s="4">
        <v>4196</v>
      </c>
      <c r="G1692" s="9">
        <v>1152.45</v>
      </c>
    </row>
    <row r="1693" spans="1:7" ht="15.6" x14ac:dyDescent="0.3">
      <c r="A1693" s="16">
        <v>45234</v>
      </c>
      <c r="B1693" s="10" t="s">
        <v>23</v>
      </c>
      <c r="C1693" s="10" t="s">
        <v>14</v>
      </c>
      <c r="D1693" s="10" t="s">
        <v>12</v>
      </c>
      <c r="E1693" s="4">
        <v>4</v>
      </c>
      <c r="F1693" s="4">
        <v>2892</v>
      </c>
      <c r="G1693" s="9">
        <v>863.47</v>
      </c>
    </row>
    <row r="1694" spans="1:7" ht="15.6" x14ac:dyDescent="0.3">
      <c r="A1694" s="16">
        <v>45511</v>
      </c>
      <c r="B1694" s="10" t="s">
        <v>23</v>
      </c>
      <c r="C1694" s="10" t="s">
        <v>14</v>
      </c>
      <c r="D1694" s="10" t="s">
        <v>16</v>
      </c>
      <c r="E1694" s="4">
        <v>9</v>
      </c>
      <c r="F1694" s="4">
        <v>2772</v>
      </c>
      <c r="G1694" s="9">
        <v>432.77</v>
      </c>
    </row>
    <row r="1695" spans="1:7" ht="15.6" x14ac:dyDescent="0.3">
      <c r="A1695" s="16">
        <v>45486</v>
      </c>
      <c r="B1695" s="10" t="s">
        <v>19</v>
      </c>
      <c r="C1695" s="10" t="s">
        <v>14</v>
      </c>
      <c r="D1695" s="10" t="s">
        <v>9</v>
      </c>
      <c r="E1695" s="4">
        <v>6</v>
      </c>
      <c r="F1695" s="4">
        <v>4692</v>
      </c>
      <c r="G1695" s="9">
        <v>1044.97</v>
      </c>
    </row>
    <row r="1696" spans="1:7" ht="15.6" x14ac:dyDescent="0.3">
      <c r="A1696" s="16">
        <v>44902</v>
      </c>
      <c r="B1696" s="10" t="s">
        <v>10</v>
      </c>
      <c r="C1696" s="10" t="s">
        <v>11</v>
      </c>
      <c r="D1696" s="10" t="s">
        <v>12</v>
      </c>
      <c r="E1696" s="4">
        <v>6</v>
      </c>
      <c r="F1696" s="4">
        <v>2742</v>
      </c>
      <c r="G1696" s="9">
        <v>334.48</v>
      </c>
    </row>
    <row r="1697" spans="1:7" ht="15.6" x14ac:dyDescent="0.3">
      <c r="A1697" s="16">
        <v>44942</v>
      </c>
      <c r="B1697" s="10" t="s">
        <v>21</v>
      </c>
      <c r="C1697" s="10" t="s">
        <v>14</v>
      </c>
      <c r="D1697" s="10" t="s">
        <v>9</v>
      </c>
      <c r="E1697" s="4">
        <v>8</v>
      </c>
      <c r="F1697" s="4">
        <v>8896</v>
      </c>
      <c r="G1697" s="9">
        <v>1154.96</v>
      </c>
    </row>
    <row r="1698" spans="1:7" ht="15.6" x14ac:dyDescent="0.3">
      <c r="A1698" s="16">
        <v>44886</v>
      </c>
      <c r="B1698" s="10" t="s">
        <v>10</v>
      </c>
      <c r="C1698" s="10" t="s">
        <v>11</v>
      </c>
      <c r="D1698" s="10" t="s">
        <v>9</v>
      </c>
      <c r="E1698" s="4">
        <v>2</v>
      </c>
      <c r="F1698" s="4">
        <v>2344</v>
      </c>
      <c r="G1698" s="9">
        <v>385.19</v>
      </c>
    </row>
    <row r="1699" spans="1:7" ht="15.6" x14ac:dyDescent="0.3">
      <c r="A1699" s="16">
        <v>44587</v>
      </c>
      <c r="B1699" s="10" t="s">
        <v>18</v>
      </c>
      <c r="C1699" s="10" t="s">
        <v>11</v>
      </c>
      <c r="D1699" s="10" t="s">
        <v>15</v>
      </c>
      <c r="E1699" s="4">
        <v>7</v>
      </c>
      <c r="F1699" s="4">
        <v>4186</v>
      </c>
      <c r="G1699" s="9">
        <v>655.53</v>
      </c>
    </row>
    <row r="1700" spans="1:7" ht="15.6" x14ac:dyDescent="0.3">
      <c r="A1700" s="16">
        <v>45610</v>
      </c>
      <c r="B1700" s="10" t="s">
        <v>13</v>
      </c>
      <c r="C1700" s="10" t="s">
        <v>14</v>
      </c>
      <c r="D1700" s="10" t="s">
        <v>12</v>
      </c>
      <c r="E1700" s="4">
        <v>9</v>
      </c>
      <c r="F1700" s="4">
        <v>5238</v>
      </c>
      <c r="G1700" s="9">
        <v>1152.42</v>
      </c>
    </row>
    <row r="1701" spans="1:7" ht="15.6" x14ac:dyDescent="0.3">
      <c r="A1701" s="16">
        <v>44854</v>
      </c>
      <c r="B1701" s="10" t="s">
        <v>10</v>
      </c>
      <c r="C1701" s="10" t="s">
        <v>11</v>
      </c>
      <c r="D1701" s="10" t="s">
        <v>9</v>
      </c>
      <c r="E1701" s="4">
        <v>3</v>
      </c>
      <c r="F1701" s="4">
        <v>2982</v>
      </c>
      <c r="G1701" s="9">
        <v>452.22</v>
      </c>
    </row>
    <row r="1702" spans="1:7" ht="15.6" x14ac:dyDescent="0.3">
      <c r="A1702" s="16">
        <v>45426</v>
      </c>
      <c r="B1702" s="10" t="s">
        <v>19</v>
      </c>
      <c r="C1702" s="10" t="s">
        <v>14</v>
      </c>
      <c r="D1702" s="10" t="s">
        <v>16</v>
      </c>
      <c r="E1702" s="4">
        <v>4</v>
      </c>
      <c r="F1702" s="4">
        <v>2580</v>
      </c>
      <c r="G1702" s="9">
        <v>602.5</v>
      </c>
    </row>
    <row r="1703" spans="1:7" ht="15.6" x14ac:dyDescent="0.3">
      <c r="A1703" s="16">
        <v>45308</v>
      </c>
      <c r="B1703" s="10" t="s">
        <v>22</v>
      </c>
      <c r="C1703" s="10" t="s">
        <v>11</v>
      </c>
      <c r="D1703" s="10" t="s">
        <v>16</v>
      </c>
      <c r="E1703" s="4">
        <v>5</v>
      </c>
      <c r="F1703" s="4">
        <v>2675</v>
      </c>
      <c r="G1703" s="9">
        <v>671.6</v>
      </c>
    </row>
    <row r="1704" spans="1:7" ht="15.6" x14ac:dyDescent="0.3">
      <c r="A1704" s="16">
        <v>45503</v>
      </c>
      <c r="B1704" s="10" t="s">
        <v>7</v>
      </c>
      <c r="C1704" s="10" t="s">
        <v>8</v>
      </c>
      <c r="D1704" s="10" t="s">
        <v>12</v>
      </c>
      <c r="E1704" s="4">
        <v>4</v>
      </c>
      <c r="F1704" s="4">
        <v>2396</v>
      </c>
      <c r="G1704" s="9">
        <v>608.5</v>
      </c>
    </row>
    <row r="1705" spans="1:7" ht="15.6" x14ac:dyDescent="0.3">
      <c r="A1705" s="16">
        <v>45565</v>
      </c>
      <c r="B1705" s="10" t="s">
        <v>23</v>
      </c>
      <c r="C1705" s="10" t="s">
        <v>14</v>
      </c>
      <c r="D1705" s="10" t="s">
        <v>16</v>
      </c>
      <c r="E1705" s="4">
        <v>5</v>
      </c>
      <c r="F1705" s="4">
        <v>1600</v>
      </c>
      <c r="G1705" s="9">
        <v>242.25</v>
      </c>
    </row>
    <row r="1706" spans="1:7" ht="15.6" x14ac:dyDescent="0.3">
      <c r="A1706" s="16">
        <v>45178</v>
      </c>
      <c r="B1706" s="10" t="s">
        <v>19</v>
      </c>
      <c r="C1706" s="10" t="s">
        <v>14</v>
      </c>
      <c r="D1706" s="10" t="s">
        <v>9</v>
      </c>
      <c r="E1706" s="4">
        <v>4</v>
      </c>
      <c r="F1706" s="4">
        <v>304</v>
      </c>
      <c r="G1706" s="9">
        <v>34.729999999999997</v>
      </c>
    </row>
    <row r="1707" spans="1:7" ht="15.6" x14ac:dyDescent="0.3">
      <c r="A1707" s="16">
        <v>45436</v>
      </c>
      <c r="B1707" s="10" t="s">
        <v>22</v>
      </c>
      <c r="C1707" s="10" t="s">
        <v>11</v>
      </c>
      <c r="D1707" s="10" t="s">
        <v>12</v>
      </c>
      <c r="E1707" s="4">
        <v>9</v>
      </c>
      <c r="F1707" s="4">
        <v>2070</v>
      </c>
      <c r="G1707" s="9">
        <v>457.39</v>
      </c>
    </row>
    <row r="1708" spans="1:7" ht="15.6" x14ac:dyDescent="0.3">
      <c r="A1708" s="16">
        <v>44816</v>
      </c>
      <c r="B1708" s="10" t="s">
        <v>7</v>
      </c>
      <c r="C1708" s="10" t="s">
        <v>8</v>
      </c>
      <c r="D1708" s="10" t="s">
        <v>9</v>
      </c>
      <c r="E1708" s="4">
        <v>5</v>
      </c>
      <c r="F1708" s="4">
        <v>1230</v>
      </c>
      <c r="G1708" s="9">
        <v>158.22999999999999</v>
      </c>
    </row>
    <row r="1709" spans="1:7" ht="15.6" x14ac:dyDescent="0.3">
      <c r="A1709" s="16">
        <v>45075</v>
      </c>
      <c r="B1709" s="10" t="s">
        <v>17</v>
      </c>
      <c r="C1709" s="10" t="s">
        <v>14</v>
      </c>
      <c r="D1709" s="10" t="s">
        <v>15</v>
      </c>
      <c r="E1709" s="4">
        <v>6</v>
      </c>
      <c r="F1709" s="4">
        <v>6234</v>
      </c>
      <c r="G1709" s="9">
        <v>758.78</v>
      </c>
    </row>
    <row r="1710" spans="1:7" ht="15.6" x14ac:dyDescent="0.3">
      <c r="A1710" s="16">
        <v>45318</v>
      </c>
      <c r="B1710" s="10" t="s">
        <v>18</v>
      </c>
      <c r="C1710" s="10" t="s">
        <v>11</v>
      </c>
      <c r="D1710" s="10" t="s">
        <v>15</v>
      </c>
      <c r="E1710" s="4">
        <v>2</v>
      </c>
      <c r="F1710" s="4">
        <v>396</v>
      </c>
      <c r="G1710" s="9">
        <v>46.33</v>
      </c>
    </row>
    <row r="1711" spans="1:7" ht="15.6" x14ac:dyDescent="0.3">
      <c r="A1711" s="16">
        <v>45155</v>
      </c>
      <c r="B1711" s="10" t="s">
        <v>10</v>
      </c>
      <c r="C1711" s="10" t="s">
        <v>11</v>
      </c>
      <c r="D1711" s="10" t="s">
        <v>12</v>
      </c>
      <c r="E1711" s="4">
        <v>9</v>
      </c>
      <c r="F1711" s="4">
        <v>2349</v>
      </c>
      <c r="G1711" s="9">
        <v>244.18</v>
      </c>
    </row>
    <row r="1712" spans="1:7" ht="15.6" x14ac:dyDescent="0.3">
      <c r="A1712" s="16">
        <v>45122</v>
      </c>
      <c r="B1712" s="10" t="s">
        <v>18</v>
      </c>
      <c r="C1712" s="10" t="s">
        <v>11</v>
      </c>
      <c r="D1712" s="10" t="s">
        <v>9</v>
      </c>
      <c r="E1712" s="4">
        <v>9</v>
      </c>
      <c r="F1712" s="4">
        <v>5949</v>
      </c>
      <c r="G1712" s="9">
        <v>626.91999999999996</v>
      </c>
    </row>
    <row r="1713" spans="1:7" ht="15.6" x14ac:dyDescent="0.3">
      <c r="A1713" s="16">
        <v>44576</v>
      </c>
      <c r="B1713" s="10" t="s">
        <v>7</v>
      </c>
      <c r="C1713" s="10" t="s">
        <v>8</v>
      </c>
      <c r="D1713" s="10" t="s">
        <v>12</v>
      </c>
      <c r="E1713" s="4">
        <v>7</v>
      </c>
      <c r="F1713" s="4">
        <v>5957</v>
      </c>
      <c r="G1713" s="9">
        <v>1433.85</v>
      </c>
    </row>
    <row r="1714" spans="1:7" ht="15.6" x14ac:dyDescent="0.3">
      <c r="A1714" s="16">
        <v>45630</v>
      </c>
      <c r="B1714" s="10" t="s">
        <v>18</v>
      </c>
      <c r="C1714" s="10" t="s">
        <v>11</v>
      </c>
      <c r="D1714" s="10" t="s">
        <v>12</v>
      </c>
      <c r="E1714" s="4">
        <v>3</v>
      </c>
      <c r="F1714" s="4">
        <v>1989</v>
      </c>
      <c r="G1714" s="9">
        <v>299.79000000000002</v>
      </c>
    </row>
    <row r="1715" spans="1:7" ht="15.6" x14ac:dyDescent="0.3">
      <c r="A1715" s="16">
        <v>45615</v>
      </c>
      <c r="B1715" s="10" t="s">
        <v>10</v>
      </c>
      <c r="C1715" s="10" t="s">
        <v>11</v>
      </c>
      <c r="D1715" s="10" t="s">
        <v>15</v>
      </c>
      <c r="E1715" s="4">
        <v>1</v>
      </c>
      <c r="F1715" s="4">
        <v>1138</v>
      </c>
      <c r="G1715" s="9">
        <v>243.36</v>
      </c>
    </row>
    <row r="1716" spans="1:7" ht="15.6" x14ac:dyDescent="0.3">
      <c r="A1716" s="16">
        <v>44666</v>
      </c>
      <c r="B1716" s="10" t="s">
        <v>13</v>
      </c>
      <c r="C1716" s="10" t="s">
        <v>14</v>
      </c>
      <c r="D1716" s="10" t="s">
        <v>16</v>
      </c>
      <c r="E1716" s="4">
        <v>9</v>
      </c>
      <c r="F1716" s="4">
        <v>3321</v>
      </c>
      <c r="G1716" s="9">
        <v>689.64</v>
      </c>
    </row>
    <row r="1717" spans="1:7" ht="15.6" x14ac:dyDescent="0.3">
      <c r="A1717" s="16">
        <v>45202</v>
      </c>
      <c r="B1717" s="10" t="s">
        <v>17</v>
      </c>
      <c r="C1717" s="10" t="s">
        <v>14</v>
      </c>
      <c r="D1717" s="10" t="s">
        <v>15</v>
      </c>
      <c r="E1717" s="4">
        <v>4</v>
      </c>
      <c r="F1717" s="4">
        <v>4480</v>
      </c>
      <c r="G1717" s="9">
        <v>592.82000000000005</v>
      </c>
    </row>
    <row r="1718" spans="1:7" ht="15.6" x14ac:dyDescent="0.3">
      <c r="A1718" s="16">
        <v>44971</v>
      </c>
      <c r="B1718" s="10" t="s">
        <v>19</v>
      </c>
      <c r="C1718" s="10" t="s">
        <v>14</v>
      </c>
      <c r="D1718" s="10" t="s">
        <v>12</v>
      </c>
      <c r="E1718" s="4">
        <v>3</v>
      </c>
      <c r="F1718" s="4">
        <v>1533</v>
      </c>
      <c r="G1718" s="9">
        <v>440.88</v>
      </c>
    </row>
    <row r="1719" spans="1:7" ht="15.6" x14ac:dyDescent="0.3">
      <c r="A1719" s="16">
        <v>45332</v>
      </c>
      <c r="B1719" s="10" t="s">
        <v>10</v>
      </c>
      <c r="C1719" s="10" t="s">
        <v>11</v>
      </c>
      <c r="D1719" s="10" t="s">
        <v>12</v>
      </c>
      <c r="E1719" s="4">
        <v>1</v>
      </c>
      <c r="F1719" s="4">
        <v>109</v>
      </c>
      <c r="G1719" s="9">
        <v>10.35</v>
      </c>
    </row>
    <row r="1720" spans="1:7" ht="15.6" x14ac:dyDescent="0.3">
      <c r="A1720" s="16">
        <v>45389</v>
      </c>
      <c r="B1720" s="10" t="s">
        <v>21</v>
      </c>
      <c r="C1720" s="10" t="s">
        <v>14</v>
      </c>
      <c r="D1720" s="10" t="s">
        <v>15</v>
      </c>
      <c r="E1720" s="4">
        <v>4</v>
      </c>
      <c r="F1720" s="4">
        <v>2380</v>
      </c>
      <c r="G1720" s="9">
        <v>594.86</v>
      </c>
    </row>
    <row r="1721" spans="1:7" ht="15.6" x14ac:dyDescent="0.3">
      <c r="A1721" s="16">
        <v>44795</v>
      </c>
      <c r="B1721" s="10" t="s">
        <v>7</v>
      </c>
      <c r="C1721" s="10" t="s">
        <v>8</v>
      </c>
      <c r="D1721" s="10" t="s">
        <v>15</v>
      </c>
      <c r="E1721" s="4">
        <v>8</v>
      </c>
      <c r="F1721" s="4">
        <v>2592</v>
      </c>
      <c r="G1721" s="9">
        <v>432.37</v>
      </c>
    </row>
    <row r="1722" spans="1:7" ht="15.6" x14ac:dyDescent="0.3">
      <c r="A1722" s="16">
        <v>45268</v>
      </c>
      <c r="B1722" s="10" t="s">
        <v>23</v>
      </c>
      <c r="C1722" s="10" t="s">
        <v>14</v>
      </c>
      <c r="D1722" s="10" t="s">
        <v>12</v>
      </c>
      <c r="E1722" s="4">
        <v>6</v>
      </c>
      <c r="F1722" s="4">
        <v>5112</v>
      </c>
      <c r="G1722" s="9">
        <v>1289.47</v>
      </c>
    </row>
    <row r="1723" spans="1:7" ht="15.6" x14ac:dyDescent="0.3">
      <c r="A1723" s="16">
        <v>45018</v>
      </c>
      <c r="B1723" s="10" t="s">
        <v>19</v>
      </c>
      <c r="C1723" s="10" t="s">
        <v>14</v>
      </c>
      <c r="D1723" s="10" t="s">
        <v>9</v>
      </c>
      <c r="E1723" s="4">
        <v>8</v>
      </c>
      <c r="F1723" s="4">
        <v>9392</v>
      </c>
      <c r="G1723" s="9">
        <v>1753.08</v>
      </c>
    </row>
    <row r="1724" spans="1:7" ht="15.6" x14ac:dyDescent="0.3">
      <c r="A1724" s="16">
        <v>45586</v>
      </c>
      <c r="B1724" s="10" t="s">
        <v>23</v>
      </c>
      <c r="C1724" s="10" t="s">
        <v>14</v>
      </c>
      <c r="D1724" s="10" t="s">
        <v>16</v>
      </c>
      <c r="E1724" s="4">
        <v>2</v>
      </c>
      <c r="F1724" s="4">
        <v>2386</v>
      </c>
      <c r="G1724" s="9">
        <v>381.83</v>
      </c>
    </row>
    <row r="1725" spans="1:7" ht="15.6" x14ac:dyDescent="0.3">
      <c r="A1725" s="16">
        <v>45629</v>
      </c>
      <c r="B1725" s="10" t="s">
        <v>19</v>
      </c>
      <c r="C1725" s="10" t="s">
        <v>14</v>
      </c>
      <c r="D1725" s="10" t="s">
        <v>15</v>
      </c>
      <c r="E1725" s="4">
        <v>5</v>
      </c>
      <c r="F1725" s="4">
        <v>465</v>
      </c>
      <c r="G1725" s="9">
        <v>71.23</v>
      </c>
    </row>
    <row r="1726" spans="1:7" ht="15.6" x14ac:dyDescent="0.3">
      <c r="A1726" s="16">
        <v>45035</v>
      </c>
      <c r="B1726" s="10" t="s">
        <v>21</v>
      </c>
      <c r="C1726" s="10" t="s">
        <v>14</v>
      </c>
      <c r="D1726" s="10" t="s">
        <v>16</v>
      </c>
      <c r="E1726" s="4">
        <v>2</v>
      </c>
      <c r="F1726" s="4">
        <v>604</v>
      </c>
      <c r="G1726" s="9">
        <v>102.52</v>
      </c>
    </row>
    <row r="1727" spans="1:7" ht="15.6" x14ac:dyDescent="0.3">
      <c r="A1727" s="16">
        <v>44836</v>
      </c>
      <c r="B1727" s="10" t="s">
        <v>19</v>
      </c>
      <c r="C1727" s="10" t="s">
        <v>14</v>
      </c>
      <c r="D1727" s="10" t="s">
        <v>12</v>
      </c>
      <c r="E1727" s="4">
        <v>2</v>
      </c>
      <c r="F1727" s="4">
        <v>2216</v>
      </c>
      <c r="G1727" s="9">
        <v>650.27</v>
      </c>
    </row>
    <row r="1728" spans="1:7" ht="15.6" x14ac:dyDescent="0.3">
      <c r="A1728" s="16">
        <v>45083</v>
      </c>
      <c r="B1728" s="10" t="s">
        <v>10</v>
      </c>
      <c r="C1728" s="10" t="s">
        <v>11</v>
      </c>
      <c r="D1728" s="10" t="s">
        <v>12</v>
      </c>
      <c r="E1728" s="4">
        <v>4</v>
      </c>
      <c r="F1728" s="4">
        <v>1168</v>
      </c>
      <c r="G1728" s="9">
        <v>220.22</v>
      </c>
    </row>
    <row r="1729" spans="1:7" ht="15.6" x14ac:dyDescent="0.3">
      <c r="A1729" s="16">
        <v>44587</v>
      </c>
      <c r="B1729" s="10" t="s">
        <v>20</v>
      </c>
      <c r="C1729" s="10" t="s">
        <v>11</v>
      </c>
      <c r="D1729" s="10" t="s">
        <v>15</v>
      </c>
      <c r="E1729" s="4">
        <v>7</v>
      </c>
      <c r="F1729" s="4">
        <v>4088</v>
      </c>
      <c r="G1729" s="9">
        <v>230.43</v>
      </c>
    </row>
    <row r="1730" spans="1:7" ht="15.6" x14ac:dyDescent="0.3">
      <c r="A1730" s="16">
        <v>44616</v>
      </c>
      <c r="B1730" s="10" t="s">
        <v>22</v>
      </c>
      <c r="C1730" s="10" t="s">
        <v>11</v>
      </c>
      <c r="D1730" s="10" t="s">
        <v>16</v>
      </c>
      <c r="E1730" s="4">
        <v>7</v>
      </c>
      <c r="F1730" s="4">
        <v>2597</v>
      </c>
      <c r="G1730" s="9">
        <v>152.09</v>
      </c>
    </row>
    <row r="1731" spans="1:7" ht="15.6" x14ac:dyDescent="0.3">
      <c r="A1731" s="16">
        <v>45160</v>
      </c>
      <c r="B1731" s="10" t="s">
        <v>19</v>
      </c>
      <c r="C1731" s="10" t="s">
        <v>14</v>
      </c>
      <c r="D1731" s="10" t="s">
        <v>16</v>
      </c>
      <c r="E1731" s="4">
        <v>3</v>
      </c>
      <c r="F1731" s="4">
        <v>2151</v>
      </c>
      <c r="G1731" s="9">
        <v>322.02999999999997</v>
      </c>
    </row>
    <row r="1732" spans="1:7" ht="15.6" x14ac:dyDescent="0.3">
      <c r="A1732" s="16">
        <v>45543</v>
      </c>
      <c r="B1732" s="10" t="s">
        <v>23</v>
      </c>
      <c r="C1732" s="10" t="s">
        <v>14</v>
      </c>
      <c r="D1732" s="10" t="s">
        <v>12</v>
      </c>
      <c r="E1732" s="4">
        <v>6</v>
      </c>
      <c r="F1732" s="4">
        <v>462</v>
      </c>
      <c r="G1732" s="9">
        <v>71.22</v>
      </c>
    </row>
    <row r="1733" spans="1:7" ht="15.6" x14ac:dyDescent="0.3">
      <c r="A1733" s="16">
        <v>44857</v>
      </c>
      <c r="B1733" s="10" t="s">
        <v>10</v>
      </c>
      <c r="C1733" s="10" t="s">
        <v>11</v>
      </c>
      <c r="D1733" s="10" t="s">
        <v>9</v>
      </c>
      <c r="E1733" s="4">
        <v>7</v>
      </c>
      <c r="F1733" s="4">
        <v>5957</v>
      </c>
      <c r="G1733" s="9">
        <v>1077.8599999999999</v>
      </c>
    </row>
    <row r="1734" spans="1:7" ht="15.6" x14ac:dyDescent="0.3">
      <c r="A1734" s="16">
        <v>45273</v>
      </c>
      <c r="B1734" s="10" t="s">
        <v>21</v>
      </c>
      <c r="C1734" s="10" t="s">
        <v>14</v>
      </c>
      <c r="D1734" s="10" t="s">
        <v>16</v>
      </c>
      <c r="E1734" s="4">
        <v>6</v>
      </c>
      <c r="F1734" s="4">
        <v>6978</v>
      </c>
      <c r="G1734" s="9">
        <v>2028.63</v>
      </c>
    </row>
    <row r="1735" spans="1:7" ht="15.6" x14ac:dyDescent="0.3">
      <c r="A1735" s="16">
        <v>45585</v>
      </c>
      <c r="B1735" s="10" t="s">
        <v>18</v>
      </c>
      <c r="C1735" s="10" t="s">
        <v>11</v>
      </c>
      <c r="D1735" s="10" t="s">
        <v>15</v>
      </c>
      <c r="E1735" s="4">
        <v>1</v>
      </c>
      <c r="F1735" s="4">
        <v>282</v>
      </c>
      <c r="G1735" s="9">
        <v>72.5</v>
      </c>
    </row>
    <row r="1736" spans="1:7" ht="15.6" x14ac:dyDescent="0.3">
      <c r="A1736" s="16">
        <v>45265</v>
      </c>
      <c r="B1736" s="10" t="s">
        <v>17</v>
      </c>
      <c r="C1736" s="10" t="s">
        <v>14</v>
      </c>
      <c r="D1736" s="10" t="s">
        <v>12</v>
      </c>
      <c r="E1736" s="4">
        <v>1</v>
      </c>
      <c r="F1736" s="4">
        <v>157</v>
      </c>
      <c r="G1736" s="9">
        <v>27.65</v>
      </c>
    </row>
    <row r="1737" spans="1:7" ht="15.6" x14ac:dyDescent="0.3">
      <c r="A1737" s="16">
        <v>45121</v>
      </c>
      <c r="B1737" s="10" t="s">
        <v>20</v>
      </c>
      <c r="C1737" s="10" t="s">
        <v>11</v>
      </c>
      <c r="D1737" s="10" t="s">
        <v>9</v>
      </c>
      <c r="E1737" s="4">
        <v>8</v>
      </c>
      <c r="F1737" s="4">
        <v>3304</v>
      </c>
      <c r="G1737" s="9">
        <v>404.33</v>
      </c>
    </row>
    <row r="1738" spans="1:7" ht="15.6" x14ac:dyDescent="0.3">
      <c r="A1738" s="16">
        <v>44605</v>
      </c>
      <c r="B1738" s="10" t="s">
        <v>18</v>
      </c>
      <c r="C1738" s="10" t="s">
        <v>11</v>
      </c>
      <c r="D1738" s="10" t="s">
        <v>9</v>
      </c>
      <c r="E1738" s="4">
        <v>3</v>
      </c>
      <c r="F1738" s="4">
        <v>3051</v>
      </c>
      <c r="G1738" s="9">
        <v>201.26</v>
      </c>
    </row>
    <row r="1739" spans="1:7" ht="15.6" x14ac:dyDescent="0.3">
      <c r="A1739" s="16">
        <v>45459</v>
      </c>
      <c r="B1739" s="10" t="s">
        <v>10</v>
      </c>
      <c r="C1739" s="10" t="s">
        <v>11</v>
      </c>
      <c r="D1739" s="10" t="s">
        <v>12</v>
      </c>
      <c r="E1739" s="4">
        <v>9</v>
      </c>
      <c r="F1739" s="4">
        <v>8082</v>
      </c>
      <c r="G1739" s="9">
        <v>1783.55</v>
      </c>
    </row>
    <row r="1740" spans="1:7" ht="15.6" x14ac:dyDescent="0.3">
      <c r="A1740" s="16">
        <v>45579</v>
      </c>
      <c r="B1740" s="10" t="s">
        <v>23</v>
      </c>
      <c r="C1740" s="10" t="s">
        <v>14</v>
      </c>
      <c r="D1740" s="10" t="s">
        <v>16</v>
      </c>
      <c r="E1740" s="4">
        <v>3</v>
      </c>
      <c r="F1740" s="4">
        <v>510</v>
      </c>
      <c r="G1740" s="9">
        <v>110.38</v>
      </c>
    </row>
    <row r="1741" spans="1:7" ht="15.6" x14ac:dyDescent="0.3">
      <c r="A1741" s="16">
        <v>45402</v>
      </c>
      <c r="B1741" s="10" t="s">
        <v>13</v>
      </c>
      <c r="C1741" s="10" t="s">
        <v>14</v>
      </c>
      <c r="D1741" s="10" t="s">
        <v>12</v>
      </c>
      <c r="E1741" s="4">
        <v>8</v>
      </c>
      <c r="F1741" s="4">
        <v>3976</v>
      </c>
      <c r="G1741" s="9">
        <v>1170.3599999999999</v>
      </c>
    </row>
    <row r="1742" spans="1:7" ht="15.6" x14ac:dyDescent="0.3">
      <c r="A1742" s="16">
        <v>45286</v>
      </c>
      <c r="B1742" s="10" t="s">
        <v>21</v>
      </c>
      <c r="C1742" s="10" t="s">
        <v>14</v>
      </c>
      <c r="D1742" s="10" t="s">
        <v>12</v>
      </c>
      <c r="E1742" s="4">
        <v>9</v>
      </c>
      <c r="F1742" s="4">
        <v>828</v>
      </c>
      <c r="G1742" s="9">
        <v>59.99</v>
      </c>
    </row>
    <row r="1743" spans="1:7" ht="15.6" x14ac:dyDescent="0.3">
      <c r="A1743" s="16">
        <v>45021</v>
      </c>
      <c r="B1743" s="10" t="s">
        <v>18</v>
      </c>
      <c r="C1743" s="10" t="s">
        <v>11</v>
      </c>
      <c r="D1743" s="10" t="s">
        <v>16</v>
      </c>
      <c r="E1743" s="4">
        <v>7</v>
      </c>
      <c r="F1743" s="4">
        <v>2457</v>
      </c>
      <c r="G1743" s="9">
        <v>388.11</v>
      </c>
    </row>
    <row r="1744" spans="1:7" ht="15.6" x14ac:dyDescent="0.3">
      <c r="A1744" s="16">
        <v>45140</v>
      </c>
      <c r="B1744" s="10" t="s">
        <v>17</v>
      </c>
      <c r="C1744" s="10" t="s">
        <v>14</v>
      </c>
      <c r="D1744" s="10" t="s">
        <v>9</v>
      </c>
      <c r="E1744" s="4">
        <v>4</v>
      </c>
      <c r="F1744" s="4">
        <v>3924</v>
      </c>
      <c r="G1744" s="9">
        <v>298.07</v>
      </c>
    </row>
    <row r="1745" spans="1:7" ht="15.6" x14ac:dyDescent="0.3">
      <c r="A1745" s="16">
        <v>44895</v>
      </c>
      <c r="B1745" s="10" t="s">
        <v>18</v>
      </c>
      <c r="C1745" s="10" t="s">
        <v>11</v>
      </c>
      <c r="D1745" s="10" t="s">
        <v>16</v>
      </c>
      <c r="E1745" s="4">
        <v>2</v>
      </c>
      <c r="F1745" s="4">
        <v>2018</v>
      </c>
      <c r="G1745" s="9">
        <v>227.75</v>
      </c>
    </row>
    <row r="1746" spans="1:7" ht="15.6" x14ac:dyDescent="0.3">
      <c r="A1746" s="16">
        <v>45543</v>
      </c>
      <c r="B1746" s="10" t="s">
        <v>20</v>
      </c>
      <c r="C1746" s="10" t="s">
        <v>11</v>
      </c>
      <c r="D1746" s="10" t="s">
        <v>16</v>
      </c>
      <c r="E1746" s="4">
        <v>3</v>
      </c>
      <c r="F1746" s="4">
        <v>2043</v>
      </c>
      <c r="G1746" s="9">
        <v>479.9</v>
      </c>
    </row>
    <row r="1747" spans="1:7" ht="15.6" x14ac:dyDescent="0.3">
      <c r="A1747" s="16">
        <v>45450</v>
      </c>
      <c r="B1747" s="10" t="s">
        <v>7</v>
      </c>
      <c r="C1747" s="10" t="s">
        <v>8</v>
      </c>
      <c r="D1747" s="10" t="s">
        <v>16</v>
      </c>
      <c r="E1747" s="4">
        <v>5</v>
      </c>
      <c r="F1747" s="4">
        <v>1035</v>
      </c>
      <c r="G1747" s="9">
        <v>187.12</v>
      </c>
    </row>
    <row r="1748" spans="1:7" ht="15.6" x14ac:dyDescent="0.3">
      <c r="A1748" s="16">
        <v>45150</v>
      </c>
      <c r="B1748" s="10" t="s">
        <v>19</v>
      </c>
      <c r="C1748" s="10" t="s">
        <v>14</v>
      </c>
      <c r="D1748" s="10" t="s">
        <v>9</v>
      </c>
      <c r="E1748" s="4">
        <v>6</v>
      </c>
      <c r="F1748" s="4">
        <v>2724</v>
      </c>
      <c r="G1748" s="9">
        <v>675.53</v>
      </c>
    </row>
    <row r="1749" spans="1:7" ht="15.6" x14ac:dyDescent="0.3">
      <c r="A1749" s="16">
        <v>45048</v>
      </c>
      <c r="B1749" s="10" t="s">
        <v>17</v>
      </c>
      <c r="C1749" s="10" t="s">
        <v>14</v>
      </c>
      <c r="D1749" s="10" t="s">
        <v>12</v>
      </c>
      <c r="E1749" s="4">
        <v>1</v>
      </c>
      <c r="F1749" s="4">
        <v>1120</v>
      </c>
      <c r="G1749" s="9">
        <v>127.32</v>
      </c>
    </row>
    <row r="1750" spans="1:7" ht="15.6" x14ac:dyDescent="0.3">
      <c r="A1750" s="16">
        <v>45591</v>
      </c>
      <c r="B1750" s="10" t="s">
        <v>20</v>
      </c>
      <c r="C1750" s="10" t="s">
        <v>11</v>
      </c>
      <c r="D1750" s="10" t="s">
        <v>9</v>
      </c>
      <c r="E1750" s="4">
        <v>6</v>
      </c>
      <c r="F1750" s="4">
        <v>3438</v>
      </c>
      <c r="G1750" s="9">
        <v>631.95000000000005</v>
      </c>
    </row>
    <row r="1751" spans="1:7" ht="15.6" x14ac:dyDescent="0.3">
      <c r="A1751" s="16">
        <v>44831</v>
      </c>
      <c r="B1751" s="10" t="s">
        <v>19</v>
      </c>
      <c r="C1751" s="10" t="s">
        <v>14</v>
      </c>
      <c r="D1751" s="10" t="s">
        <v>16</v>
      </c>
      <c r="E1751" s="4">
        <v>5</v>
      </c>
      <c r="F1751" s="4">
        <v>3170</v>
      </c>
      <c r="G1751" s="9">
        <v>379.27</v>
      </c>
    </row>
    <row r="1752" spans="1:7" ht="15.6" x14ac:dyDescent="0.3">
      <c r="A1752" s="16">
        <v>45102</v>
      </c>
      <c r="B1752" s="10" t="s">
        <v>19</v>
      </c>
      <c r="C1752" s="10" t="s">
        <v>14</v>
      </c>
      <c r="D1752" s="10" t="s">
        <v>12</v>
      </c>
      <c r="E1752" s="4">
        <v>4</v>
      </c>
      <c r="F1752" s="4">
        <v>660</v>
      </c>
      <c r="G1752" s="9">
        <v>83.96</v>
      </c>
    </row>
    <row r="1753" spans="1:7" ht="15.6" x14ac:dyDescent="0.3">
      <c r="A1753" s="16">
        <v>44870</v>
      </c>
      <c r="B1753" s="10" t="s">
        <v>13</v>
      </c>
      <c r="C1753" s="10" t="s">
        <v>14</v>
      </c>
      <c r="D1753" s="10" t="s">
        <v>12</v>
      </c>
      <c r="E1753" s="4">
        <v>7</v>
      </c>
      <c r="F1753" s="4">
        <v>4669</v>
      </c>
      <c r="G1753" s="9">
        <v>1088.1500000000001</v>
      </c>
    </row>
    <row r="1754" spans="1:7" ht="15.6" x14ac:dyDescent="0.3">
      <c r="A1754" s="16">
        <v>44785</v>
      </c>
      <c r="B1754" s="10" t="s">
        <v>19</v>
      </c>
      <c r="C1754" s="10" t="s">
        <v>14</v>
      </c>
      <c r="D1754" s="10" t="s">
        <v>16</v>
      </c>
      <c r="E1754" s="4">
        <v>5</v>
      </c>
      <c r="F1754" s="4">
        <v>1045</v>
      </c>
      <c r="G1754" s="9">
        <v>89</v>
      </c>
    </row>
    <row r="1755" spans="1:7" ht="15.6" x14ac:dyDescent="0.3">
      <c r="A1755" s="16">
        <v>44619</v>
      </c>
      <c r="B1755" s="10" t="s">
        <v>22</v>
      </c>
      <c r="C1755" s="10" t="s">
        <v>11</v>
      </c>
      <c r="D1755" s="10" t="s">
        <v>9</v>
      </c>
      <c r="E1755" s="4">
        <v>4</v>
      </c>
      <c r="F1755" s="4">
        <v>2724</v>
      </c>
      <c r="G1755" s="9">
        <v>229.47</v>
      </c>
    </row>
    <row r="1756" spans="1:7" ht="15.6" x14ac:dyDescent="0.3">
      <c r="A1756" s="16">
        <v>45183</v>
      </c>
      <c r="B1756" s="10" t="s">
        <v>18</v>
      </c>
      <c r="C1756" s="10" t="s">
        <v>11</v>
      </c>
      <c r="D1756" s="10" t="s">
        <v>16</v>
      </c>
      <c r="E1756" s="4">
        <v>8</v>
      </c>
      <c r="F1756" s="4">
        <v>5312</v>
      </c>
      <c r="G1756" s="9">
        <v>1583</v>
      </c>
    </row>
    <row r="1757" spans="1:7" ht="15.6" x14ac:dyDescent="0.3">
      <c r="A1757" s="16">
        <v>45619</v>
      </c>
      <c r="B1757" s="10" t="s">
        <v>13</v>
      </c>
      <c r="C1757" s="10" t="s">
        <v>14</v>
      </c>
      <c r="D1757" s="10" t="s">
        <v>16</v>
      </c>
      <c r="E1757" s="4">
        <v>4</v>
      </c>
      <c r="F1757" s="4">
        <v>4252</v>
      </c>
      <c r="G1757" s="9">
        <v>445.18</v>
      </c>
    </row>
    <row r="1758" spans="1:7" ht="15.6" x14ac:dyDescent="0.3">
      <c r="A1758" s="16">
        <v>45574</v>
      </c>
      <c r="B1758" s="10" t="s">
        <v>7</v>
      </c>
      <c r="C1758" s="10" t="s">
        <v>8</v>
      </c>
      <c r="D1758" s="10" t="s">
        <v>12</v>
      </c>
      <c r="E1758" s="4">
        <v>7</v>
      </c>
      <c r="F1758" s="4">
        <v>8057</v>
      </c>
      <c r="G1758" s="9">
        <v>1652.27</v>
      </c>
    </row>
    <row r="1759" spans="1:7" ht="15.6" x14ac:dyDescent="0.3">
      <c r="A1759" s="16">
        <v>45097</v>
      </c>
      <c r="B1759" s="10" t="s">
        <v>22</v>
      </c>
      <c r="C1759" s="10" t="s">
        <v>11</v>
      </c>
      <c r="D1759" s="10" t="s">
        <v>15</v>
      </c>
      <c r="E1759" s="4">
        <v>7</v>
      </c>
      <c r="F1759" s="4">
        <v>2023</v>
      </c>
      <c r="G1759" s="9">
        <v>274.25</v>
      </c>
    </row>
    <row r="1760" spans="1:7" ht="15.6" x14ac:dyDescent="0.3">
      <c r="A1760" s="16">
        <v>45367</v>
      </c>
      <c r="B1760" s="10" t="s">
        <v>20</v>
      </c>
      <c r="C1760" s="10" t="s">
        <v>11</v>
      </c>
      <c r="D1760" s="10" t="s">
        <v>15</v>
      </c>
      <c r="E1760" s="4">
        <v>8</v>
      </c>
      <c r="F1760" s="4">
        <v>9416</v>
      </c>
      <c r="G1760" s="9">
        <v>2125.54</v>
      </c>
    </row>
    <row r="1761" spans="1:7" ht="15.6" x14ac:dyDescent="0.3">
      <c r="A1761" s="16">
        <v>45257</v>
      </c>
      <c r="B1761" s="10" t="s">
        <v>20</v>
      </c>
      <c r="C1761" s="10" t="s">
        <v>11</v>
      </c>
      <c r="D1761" s="10" t="s">
        <v>12</v>
      </c>
      <c r="E1761" s="4">
        <v>8</v>
      </c>
      <c r="F1761" s="4">
        <v>7560</v>
      </c>
      <c r="G1761" s="9">
        <v>494.34</v>
      </c>
    </row>
    <row r="1762" spans="1:7" ht="15.6" x14ac:dyDescent="0.3">
      <c r="A1762" s="16">
        <v>44934</v>
      </c>
      <c r="B1762" s="10" t="s">
        <v>20</v>
      </c>
      <c r="C1762" s="10" t="s">
        <v>11</v>
      </c>
      <c r="D1762" s="10" t="s">
        <v>16</v>
      </c>
      <c r="E1762" s="4">
        <v>2</v>
      </c>
      <c r="F1762" s="4">
        <v>828</v>
      </c>
      <c r="G1762" s="9">
        <v>50.07</v>
      </c>
    </row>
    <row r="1763" spans="1:7" ht="15.6" x14ac:dyDescent="0.3">
      <c r="A1763" s="16">
        <v>45267</v>
      </c>
      <c r="B1763" s="10" t="s">
        <v>10</v>
      </c>
      <c r="C1763" s="10" t="s">
        <v>11</v>
      </c>
      <c r="D1763" s="10" t="s">
        <v>16</v>
      </c>
      <c r="E1763" s="4">
        <v>1</v>
      </c>
      <c r="F1763" s="4">
        <v>527</v>
      </c>
      <c r="G1763" s="9">
        <v>27.45</v>
      </c>
    </row>
    <row r="1764" spans="1:7" ht="15.6" x14ac:dyDescent="0.3">
      <c r="A1764" s="16">
        <v>44815</v>
      </c>
      <c r="B1764" s="10" t="s">
        <v>22</v>
      </c>
      <c r="C1764" s="10" t="s">
        <v>11</v>
      </c>
      <c r="D1764" s="10" t="s">
        <v>9</v>
      </c>
      <c r="E1764" s="4">
        <v>2</v>
      </c>
      <c r="F1764" s="4">
        <v>1160</v>
      </c>
      <c r="G1764" s="9">
        <v>206.49</v>
      </c>
    </row>
    <row r="1765" spans="1:7" ht="15.6" x14ac:dyDescent="0.3">
      <c r="A1765" s="16">
        <v>44649</v>
      </c>
      <c r="B1765" s="10" t="s">
        <v>10</v>
      </c>
      <c r="C1765" s="10" t="s">
        <v>11</v>
      </c>
      <c r="D1765" s="10" t="s">
        <v>16</v>
      </c>
      <c r="E1765" s="4">
        <v>5</v>
      </c>
      <c r="F1765" s="4">
        <v>5430</v>
      </c>
      <c r="G1765" s="9">
        <v>310.86</v>
      </c>
    </row>
    <row r="1766" spans="1:7" ht="15.6" x14ac:dyDescent="0.3">
      <c r="A1766" s="16">
        <v>45306</v>
      </c>
      <c r="B1766" s="10" t="s">
        <v>13</v>
      </c>
      <c r="C1766" s="10" t="s">
        <v>14</v>
      </c>
      <c r="D1766" s="10" t="s">
        <v>15</v>
      </c>
      <c r="E1766" s="4">
        <v>7</v>
      </c>
      <c r="F1766" s="4">
        <v>6874</v>
      </c>
      <c r="G1766" s="9">
        <v>454.53</v>
      </c>
    </row>
    <row r="1767" spans="1:7" ht="15.6" x14ac:dyDescent="0.3">
      <c r="A1767" s="16">
        <v>45119</v>
      </c>
      <c r="B1767" s="10" t="s">
        <v>7</v>
      </c>
      <c r="C1767" s="10" t="s">
        <v>8</v>
      </c>
      <c r="D1767" s="10" t="s">
        <v>12</v>
      </c>
      <c r="E1767" s="4">
        <v>8</v>
      </c>
      <c r="F1767" s="4">
        <v>8952</v>
      </c>
      <c r="G1767" s="9">
        <v>1825.37</v>
      </c>
    </row>
    <row r="1768" spans="1:7" ht="15.6" x14ac:dyDescent="0.3">
      <c r="A1768" s="16">
        <v>44718</v>
      </c>
      <c r="B1768" s="10" t="s">
        <v>10</v>
      </c>
      <c r="C1768" s="10" t="s">
        <v>11</v>
      </c>
      <c r="D1768" s="10" t="s">
        <v>12</v>
      </c>
      <c r="E1768" s="4">
        <v>8</v>
      </c>
      <c r="F1768" s="4">
        <v>416</v>
      </c>
      <c r="G1768" s="9">
        <v>67.81</v>
      </c>
    </row>
    <row r="1769" spans="1:7" ht="15.6" x14ac:dyDescent="0.3">
      <c r="A1769" s="16">
        <v>45248</v>
      </c>
      <c r="B1769" s="10" t="s">
        <v>21</v>
      </c>
      <c r="C1769" s="10" t="s">
        <v>14</v>
      </c>
      <c r="D1769" s="10" t="s">
        <v>15</v>
      </c>
      <c r="E1769" s="4">
        <v>3</v>
      </c>
      <c r="F1769" s="4">
        <v>1680</v>
      </c>
      <c r="G1769" s="9">
        <v>140.27000000000001</v>
      </c>
    </row>
    <row r="1770" spans="1:7" ht="15.6" x14ac:dyDescent="0.3">
      <c r="A1770" s="16">
        <v>44800</v>
      </c>
      <c r="B1770" s="10" t="s">
        <v>10</v>
      </c>
      <c r="C1770" s="10" t="s">
        <v>11</v>
      </c>
      <c r="D1770" s="10" t="s">
        <v>15</v>
      </c>
      <c r="E1770" s="4">
        <v>7</v>
      </c>
      <c r="F1770" s="4">
        <v>4340</v>
      </c>
      <c r="G1770" s="9">
        <v>383.9</v>
      </c>
    </row>
    <row r="1771" spans="1:7" ht="15.6" x14ac:dyDescent="0.3">
      <c r="A1771" s="16">
        <v>44577</v>
      </c>
      <c r="B1771" s="10" t="s">
        <v>23</v>
      </c>
      <c r="C1771" s="10" t="s">
        <v>14</v>
      </c>
      <c r="D1771" s="10" t="s">
        <v>16</v>
      </c>
      <c r="E1771" s="4">
        <v>9</v>
      </c>
      <c r="F1771" s="4">
        <v>7650</v>
      </c>
      <c r="G1771" s="9">
        <v>2130.8200000000002</v>
      </c>
    </row>
    <row r="1772" spans="1:7" ht="15.6" x14ac:dyDescent="0.3">
      <c r="A1772" s="16">
        <v>45385</v>
      </c>
      <c r="B1772" s="10" t="s">
        <v>19</v>
      </c>
      <c r="C1772" s="10" t="s">
        <v>14</v>
      </c>
      <c r="D1772" s="10" t="s">
        <v>16</v>
      </c>
      <c r="E1772" s="4">
        <v>8</v>
      </c>
      <c r="F1772" s="4">
        <v>6328</v>
      </c>
      <c r="G1772" s="9">
        <v>412.76</v>
      </c>
    </row>
    <row r="1773" spans="1:7" ht="15.6" x14ac:dyDescent="0.3">
      <c r="A1773" s="16">
        <v>44792</v>
      </c>
      <c r="B1773" s="10" t="s">
        <v>22</v>
      </c>
      <c r="C1773" s="10" t="s">
        <v>11</v>
      </c>
      <c r="D1773" s="10" t="s">
        <v>16</v>
      </c>
      <c r="E1773" s="4">
        <v>2</v>
      </c>
      <c r="F1773" s="4">
        <v>1312</v>
      </c>
      <c r="G1773" s="9">
        <v>344</v>
      </c>
    </row>
    <row r="1774" spans="1:7" ht="15.6" x14ac:dyDescent="0.3">
      <c r="A1774" s="16">
        <v>44582</v>
      </c>
      <c r="B1774" s="10" t="s">
        <v>17</v>
      </c>
      <c r="C1774" s="10" t="s">
        <v>14</v>
      </c>
      <c r="D1774" s="10" t="s">
        <v>12</v>
      </c>
      <c r="E1774" s="4">
        <v>9</v>
      </c>
      <c r="F1774" s="4">
        <v>8055</v>
      </c>
      <c r="G1774" s="9">
        <v>2300.17</v>
      </c>
    </row>
    <row r="1775" spans="1:7" ht="15.6" x14ac:dyDescent="0.3">
      <c r="A1775" s="16">
        <v>44639</v>
      </c>
      <c r="B1775" s="10" t="s">
        <v>17</v>
      </c>
      <c r="C1775" s="10" t="s">
        <v>14</v>
      </c>
      <c r="D1775" s="10" t="s">
        <v>15</v>
      </c>
      <c r="E1775" s="4">
        <v>2</v>
      </c>
      <c r="F1775" s="4">
        <v>840</v>
      </c>
      <c r="G1775" s="9">
        <v>153.61000000000001</v>
      </c>
    </row>
    <row r="1776" spans="1:7" ht="15.6" x14ac:dyDescent="0.3">
      <c r="A1776" s="16">
        <v>45001</v>
      </c>
      <c r="B1776" s="10" t="s">
        <v>13</v>
      </c>
      <c r="C1776" s="10" t="s">
        <v>14</v>
      </c>
      <c r="D1776" s="10" t="s">
        <v>15</v>
      </c>
      <c r="E1776" s="4">
        <v>9</v>
      </c>
      <c r="F1776" s="4">
        <v>9423</v>
      </c>
      <c r="G1776" s="9">
        <v>2794.89</v>
      </c>
    </row>
    <row r="1777" spans="1:7" ht="15.6" x14ac:dyDescent="0.3">
      <c r="A1777" s="16">
        <v>45290</v>
      </c>
      <c r="B1777" s="10" t="s">
        <v>20</v>
      </c>
      <c r="C1777" s="10" t="s">
        <v>11</v>
      </c>
      <c r="D1777" s="10" t="s">
        <v>9</v>
      </c>
      <c r="E1777" s="4">
        <v>8</v>
      </c>
      <c r="F1777" s="4">
        <v>6520</v>
      </c>
      <c r="G1777" s="9">
        <v>1113.1199999999999</v>
      </c>
    </row>
    <row r="1778" spans="1:7" ht="15.6" x14ac:dyDescent="0.3">
      <c r="A1778" s="16">
        <v>44854</v>
      </c>
      <c r="B1778" s="10" t="s">
        <v>23</v>
      </c>
      <c r="C1778" s="10" t="s">
        <v>14</v>
      </c>
      <c r="D1778" s="10" t="s">
        <v>9</v>
      </c>
      <c r="E1778" s="4">
        <v>3</v>
      </c>
      <c r="F1778" s="4">
        <v>1950</v>
      </c>
      <c r="G1778" s="9">
        <v>116.12</v>
      </c>
    </row>
    <row r="1779" spans="1:7" ht="15.6" x14ac:dyDescent="0.3">
      <c r="A1779" s="16">
        <v>45215</v>
      </c>
      <c r="B1779" s="10" t="s">
        <v>17</v>
      </c>
      <c r="C1779" s="10" t="s">
        <v>14</v>
      </c>
      <c r="D1779" s="10" t="s">
        <v>15</v>
      </c>
      <c r="E1779" s="4">
        <v>6</v>
      </c>
      <c r="F1779" s="4">
        <v>5928</v>
      </c>
      <c r="G1779" s="9">
        <v>1177.2</v>
      </c>
    </row>
    <row r="1780" spans="1:7" ht="15.6" x14ac:dyDescent="0.3">
      <c r="A1780" s="16">
        <v>45136</v>
      </c>
      <c r="B1780" s="10" t="s">
        <v>17</v>
      </c>
      <c r="C1780" s="10" t="s">
        <v>14</v>
      </c>
      <c r="D1780" s="10" t="s">
        <v>15</v>
      </c>
      <c r="E1780" s="4">
        <v>7</v>
      </c>
      <c r="F1780" s="4">
        <v>4809</v>
      </c>
      <c r="G1780" s="9">
        <v>1418.72</v>
      </c>
    </row>
    <row r="1781" spans="1:7" ht="15.6" x14ac:dyDescent="0.3">
      <c r="A1781" s="16">
        <v>45081</v>
      </c>
      <c r="B1781" s="10" t="s">
        <v>21</v>
      </c>
      <c r="C1781" s="10" t="s">
        <v>14</v>
      </c>
      <c r="D1781" s="10" t="s">
        <v>16</v>
      </c>
      <c r="E1781" s="4">
        <v>4</v>
      </c>
      <c r="F1781" s="4">
        <v>356</v>
      </c>
      <c r="G1781" s="9">
        <v>23.4</v>
      </c>
    </row>
    <row r="1782" spans="1:7" ht="15.6" x14ac:dyDescent="0.3">
      <c r="A1782" s="16">
        <v>45044</v>
      </c>
      <c r="B1782" s="10" t="s">
        <v>23</v>
      </c>
      <c r="C1782" s="10" t="s">
        <v>14</v>
      </c>
      <c r="D1782" s="10" t="s">
        <v>15</v>
      </c>
      <c r="E1782" s="4">
        <v>2</v>
      </c>
      <c r="F1782" s="4">
        <v>570</v>
      </c>
      <c r="G1782" s="9">
        <v>94.39</v>
      </c>
    </row>
    <row r="1783" spans="1:7" ht="15.6" x14ac:dyDescent="0.3">
      <c r="A1783" s="16">
        <v>44694</v>
      </c>
      <c r="B1783" s="10" t="s">
        <v>20</v>
      </c>
      <c r="C1783" s="10" t="s">
        <v>11</v>
      </c>
      <c r="D1783" s="10" t="s">
        <v>12</v>
      </c>
      <c r="E1783" s="4">
        <v>7</v>
      </c>
      <c r="F1783" s="4">
        <v>7791</v>
      </c>
      <c r="G1783" s="9">
        <v>907.96</v>
      </c>
    </row>
    <row r="1784" spans="1:7" ht="15.6" x14ac:dyDescent="0.3">
      <c r="A1784" s="16">
        <v>45422</v>
      </c>
      <c r="B1784" s="10" t="s">
        <v>19</v>
      </c>
      <c r="C1784" s="10" t="s">
        <v>14</v>
      </c>
      <c r="D1784" s="10" t="s">
        <v>12</v>
      </c>
      <c r="E1784" s="4">
        <v>4</v>
      </c>
      <c r="F1784" s="4">
        <v>4168</v>
      </c>
      <c r="G1784" s="9">
        <v>494.48</v>
      </c>
    </row>
    <row r="1785" spans="1:7" ht="15.6" x14ac:dyDescent="0.3">
      <c r="A1785" s="16">
        <v>45159</v>
      </c>
      <c r="B1785" s="10" t="s">
        <v>13</v>
      </c>
      <c r="C1785" s="10" t="s">
        <v>14</v>
      </c>
      <c r="D1785" s="10" t="s">
        <v>9</v>
      </c>
      <c r="E1785" s="4">
        <v>2</v>
      </c>
      <c r="F1785" s="4">
        <v>684</v>
      </c>
      <c r="G1785" s="9">
        <v>183.85</v>
      </c>
    </row>
    <row r="1786" spans="1:7" ht="15.6" x14ac:dyDescent="0.3">
      <c r="A1786" s="16">
        <v>45296</v>
      </c>
      <c r="B1786" s="10" t="s">
        <v>21</v>
      </c>
      <c r="C1786" s="10" t="s">
        <v>14</v>
      </c>
      <c r="D1786" s="10" t="s">
        <v>12</v>
      </c>
      <c r="E1786" s="4">
        <v>7</v>
      </c>
      <c r="F1786" s="4">
        <v>3857</v>
      </c>
      <c r="G1786" s="9">
        <v>447.99</v>
      </c>
    </row>
    <row r="1787" spans="1:7" ht="15.6" x14ac:dyDescent="0.3">
      <c r="A1787" s="16">
        <v>45542</v>
      </c>
      <c r="B1787" s="10" t="s">
        <v>17</v>
      </c>
      <c r="C1787" s="10" t="s">
        <v>14</v>
      </c>
      <c r="D1787" s="10" t="s">
        <v>9</v>
      </c>
      <c r="E1787" s="4">
        <v>5</v>
      </c>
      <c r="F1787" s="4">
        <v>3250</v>
      </c>
      <c r="G1787" s="9">
        <v>699.99</v>
      </c>
    </row>
    <row r="1788" spans="1:7" ht="15.6" x14ac:dyDescent="0.3">
      <c r="A1788" s="16">
        <v>45141</v>
      </c>
      <c r="B1788" s="10" t="s">
        <v>7</v>
      </c>
      <c r="C1788" s="10" t="s">
        <v>8</v>
      </c>
      <c r="D1788" s="10" t="s">
        <v>9</v>
      </c>
      <c r="E1788" s="4">
        <v>6</v>
      </c>
      <c r="F1788" s="4">
        <v>1194</v>
      </c>
      <c r="G1788" s="9">
        <v>79.62</v>
      </c>
    </row>
    <row r="1789" spans="1:7" ht="15.6" x14ac:dyDescent="0.3">
      <c r="A1789" s="16">
        <v>45053</v>
      </c>
      <c r="B1789" s="10" t="s">
        <v>23</v>
      </c>
      <c r="C1789" s="10" t="s">
        <v>14</v>
      </c>
      <c r="D1789" s="10" t="s">
        <v>16</v>
      </c>
      <c r="E1789" s="4">
        <v>6</v>
      </c>
      <c r="F1789" s="4">
        <v>3486</v>
      </c>
      <c r="G1789" s="9">
        <v>320.91000000000003</v>
      </c>
    </row>
    <row r="1790" spans="1:7" ht="15.6" x14ac:dyDescent="0.3">
      <c r="A1790" s="16">
        <v>44778</v>
      </c>
      <c r="B1790" s="10" t="s">
        <v>20</v>
      </c>
      <c r="C1790" s="10" t="s">
        <v>11</v>
      </c>
      <c r="D1790" s="10" t="s">
        <v>16</v>
      </c>
      <c r="E1790" s="4">
        <v>7</v>
      </c>
      <c r="F1790" s="4">
        <v>1554</v>
      </c>
      <c r="G1790" s="9">
        <v>370.97</v>
      </c>
    </row>
    <row r="1791" spans="1:7" ht="15.6" x14ac:dyDescent="0.3">
      <c r="A1791" s="16">
        <v>45492</v>
      </c>
      <c r="B1791" s="10" t="s">
        <v>19</v>
      </c>
      <c r="C1791" s="10" t="s">
        <v>14</v>
      </c>
      <c r="D1791" s="10" t="s">
        <v>9</v>
      </c>
      <c r="E1791" s="4">
        <v>3</v>
      </c>
      <c r="F1791" s="4">
        <v>2601</v>
      </c>
      <c r="G1791" s="9">
        <v>463.36</v>
      </c>
    </row>
    <row r="1792" spans="1:7" ht="15.6" x14ac:dyDescent="0.3">
      <c r="A1792" s="16">
        <v>44880</v>
      </c>
      <c r="B1792" s="10" t="s">
        <v>18</v>
      </c>
      <c r="C1792" s="10" t="s">
        <v>11</v>
      </c>
      <c r="D1792" s="10" t="s">
        <v>16</v>
      </c>
      <c r="E1792" s="4">
        <v>4</v>
      </c>
      <c r="F1792" s="4">
        <v>3616</v>
      </c>
      <c r="G1792" s="9">
        <v>745.75</v>
      </c>
    </row>
    <row r="1793" spans="1:7" ht="15.6" x14ac:dyDescent="0.3">
      <c r="A1793" s="16">
        <v>44958</v>
      </c>
      <c r="B1793" s="10" t="s">
        <v>10</v>
      </c>
      <c r="C1793" s="10" t="s">
        <v>11</v>
      </c>
      <c r="D1793" s="10" t="s">
        <v>16</v>
      </c>
      <c r="E1793" s="4">
        <v>5</v>
      </c>
      <c r="F1793" s="4">
        <v>3350</v>
      </c>
      <c r="G1793" s="9">
        <v>986.33</v>
      </c>
    </row>
    <row r="1794" spans="1:7" ht="15.6" x14ac:dyDescent="0.3">
      <c r="A1794" s="16">
        <v>45280</v>
      </c>
      <c r="B1794" s="10" t="s">
        <v>19</v>
      </c>
      <c r="C1794" s="10" t="s">
        <v>14</v>
      </c>
      <c r="D1794" s="10" t="s">
        <v>15</v>
      </c>
      <c r="E1794" s="4">
        <v>5</v>
      </c>
      <c r="F1794" s="4">
        <v>2545</v>
      </c>
      <c r="G1794" s="9">
        <v>588.47</v>
      </c>
    </row>
    <row r="1795" spans="1:7" ht="15.6" x14ac:dyDescent="0.3">
      <c r="A1795" s="16">
        <v>45530</v>
      </c>
      <c r="B1795" s="10" t="s">
        <v>20</v>
      </c>
      <c r="C1795" s="10" t="s">
        <v>11</v>
      </c>
      <c r="D1795" s="10" t="s">
        <v>12</v>
      </c>
      <c r="E1795" s="4">
        <v>1</v>
      </c>
      <c r="F1795" s="4">
        <v>545</v>
      </c>
      <c r="G1795" s="9">
        <v>68.28</v>
      </c>
    </row>
    <row r="1796" spans="1:7" ht="15.6" x14ac:dyDescent="0.3">
      <c r="A1796" s="16">
        <v>45279</v>
      </c>
      <c r="B1796" s="10" t="s">
        <v>10</v>
      </c>
      <c r="C1796" s="10" t="s">
        <v>11</v>
      </c>
      <c r="D1796" s="10" t="s">
        <v>9</v>
      </c>
      <c r="E1796" s="4">
        <v>7</v>
      </c>
      <c r="F1796" s="4">
        <v>1470</v>
      </c>
      <c r="G1796" s="9">
        <v>178.85</v>
      </c>
    </row>
    <row r="1797" spans="1:7" ht="15.6" x14ac:dyDescent="0.3">
      <c r="A1797" s="16">
        <v>45260</v>
      </c>
      <c r="B1797" s="10" t="s">
        <v>17</v>
      </c>
      <c r="C1797" s="10" t="s">
        <v>14</v>
      </c>
      <c r="D1797" s="10" t="s">
        <v>15</v>
      </c>
      <c r="E1797" s="4">
        <v>3</v>
      </c>
      <c r="F1797" s="4">
        <v>3126</v>
      </c>
      <c r="G1797" s="9">
        <v>870.95</v>
      </c>
    </row>
    <row r="1798" spans="1:7" ht="15.6" x14ac:dyDescent="0.3">
      <c r="A1798" s="16">
        <v>45653</v>
      </c>
      <c r="B1798" s="10" t="s">
        <v>23</v>
      </c>
      <c r="C1798" s="10" t="s">
        <v>14</v>
      </c>
      <c r="D1798" s="10" t="s">
        <v>16</v>
      </c>
      <c r="E1798" s="4">
        <v>3</v>
      </c>
      <c r="F1798" s="4">
        <v>1368</v>
      </c>
      <c r="G1798" s="9">
        <v>302.29000000000002</v>
      </c>
    </row>
    <row r="1799" spans="1:7" ht="15.6" x14ac:dyDescent="0.3">
      <c r="A1799" s="16">
        <v>45647</v>
      </c>
      <c r="B1799" s="10" t="s">
        <v>18</v>
      </c>
      <c r="C1799" s="10" t="s">
        <v>11</v>
      </c>
      <c r="D1799" s="10" t="s">
        <v>12</v>
      </c>
      <c r="E1799" s="4">
        <v>9</v>
      </c>
      <c r="F1799" s="4">
        <v>7083</v>
      </c>
      <c r="G1799" s="9">
        <v>1353.39</v>
      </c>
    </row>
    <row r="1800" spans="1:7" ht="15.6" x14ac:dyDescent="0.3">
      <c r="A1800" s="16">
        <v>45319</v>
      </c>
      <c r="B1800" s="10" t="s">
        <v>7</v>
      </c>
      <c r="C1800" s="10" t="s">
        <v>8</v>
      </c>
      <c r="D1800" s="10" t="s">
        <v>12</v>
      </c>
      <c r="E1800" s="4">
        <v>2</v>
      </c>
      <c r="F1800" s="4">
        <v>1994</v>
      </c>
      <c r="G1800" s="9">
        <v>453.74</v>
      </c>
    </row>
    <row r="1801" spans="1:7" ht="15.6" x14ac:dyDescent="0.3">
      <c r="A1801" s="16">
        <v>44807</v>
      </c>
      <c r="B1801" s="10" t="s">
        <v>17</v>
      </c>
      <c r="C1801" s="10" t="s">
        <v>14</v>
      </c>
      <c r="D1801" s="10" t="s">
        <v>9</v>
      </c>
      <c r="E1801" s="4">
        <v>4</v>
      </c>
      <c r="F1801" s="4">
        <v>4716</v>
      </c>
      <c r="G1801" s="9">
        <v>1084.1600000000001</v>
      </c>
    </row>
    <row r="1802" spans="1:7" ht="15.6" x14ac:dyDescent="0.3">
      <c r="A1802" s="16">
        <v>45351</v>
      </c>
      <c r="B1802" s="10" t="s">
        <v>20</v>
      </c>
      <c r="C1802" s="10" t="s">
        <v>11</v>
      </c>
      <c r="D1802" s="10" t="s">
        <v>15</v>
      </c>
      <c r="E1802" s="4">
        <v>1</v>
      </c>
      <c r="F1802" s="4">
        <v>975</v>
      </c>
      <c r="G1802" s="9">
        <v>125.85</v>
      </c>
    </row>
    <row r="1803" spans="1:7" ht="15.6" x14ac:dyDescent="0.3">
      <c r="A1803" s="16">
        <v>45037</v>
      </c>
      <c r="B1803" s="10" t="s">
        <v>21</v>
      </c>
      <c r="C1803" s="10" t="s">
        <v>14</v>
      </c>
      <c r="D1803" s="10" t="s">
        <v>16</v>
      </c>
      <c r="E1803" s="4">
        <v>9</v>
      </c>
      <c r="F1803" s="4">
        <v>9891</v>
      </c>
      <c r="G1803" s="9">
        <v>1774.03</v>
      </c>
    </row>
    <row r="1804" spans="1:7" ht="15.6" x14ac:dyDescent="0.3">
      <c r="A1804" s="16">
        <v>45436</v>
      </c>
      <c r="B1804" s="10" t="s">
        <v>19</v>
      </c>
      <c r="C1804" s="10" t="s">
        <v>14</v>
      </c>
      <c r="D1804" s="10" t="s">
        <v>15</v>
      </c>
      <c r="E1804" s="4">
        <v>2</v>
      </c>
      <c r="F1804" s="4">
        <v>626</v>
      </c>
      <c r="G1804" s="9">
        <v>159.49</v>
      </c>
    </row>
    <row r="1805" spans="1:7" ht="15.6" x14ac:dyDescent="0.3">
      <c r="A1805" s="16">
        <v>45431</v>
      </c>
      <c r="B1805" s="10" t="s">
        <v>20</v>
      </c>
      <c r="C1805" s="10" t="s">
        <v>11</v>
      </c>
      <c r="D1805" s="10" t="s">
        <v>12</v>
      </c>
      <c r="E1805" s="4">
        <v>8</v>
      </c>
      <c r="F1805" s="4">
        <v>5632</v>
      </c>
      <c r="G1805" s="9">
        <v>1620.04</v>
      </c>
    </row>
    <row r="1806" spans="1:7" ht="15.6" x14ac:dyDescent="0.3">
      <c r="A1806" s="16">
        <v>45545</v>
      </c>
      <c r="B1806" s="10" t="s">
        <v>7</v>
      </c>
      <c r="C1806" s="10" t="s">
        <v>8</v>
      </c>
      <c r="D1806" s="10" t="s">
        <v>16</v>
      </c>
      <c r="E1806" s="4">
        <v>3</v>
      </c>
      <c r="F1806" s="4">
        <v>2568</v>
      </c>
      <c r="G1806" s="9">
        <v>734.6</v>
      </c>
    </row>
    <row r="1807" spans="1:7" ht="15.6" x14ac:dyDescent="0.3">
      <c r="A1807" s="16">
        <v>45181</v>
      </c>
      <c r="B1807" s="10" t="s">
        <v>13</v>
      </c>
      <c r="C1807" s="10" t="s">
        <v>14</v>
      </c>
      <c r="D1807" s="10" t="s">
        <v>12</v>
      </c>
      <c r="E1807" s="4">
        <v>7</v>
      </c>
      <c r="F1807" s="4">
        <v>5285</v>
      </c>
      <c r="G1807" s="9">
        <v>629.07000000000005</v>
      </c>
    </row>
    <row r="1808" spans="1:7" ht="15.6" x14ac:dyDescent="0.3">
      <c r="A1808" s="16">
        <v>45238</v>
      </c>
      <c r="B1808" s="10" t="s">
        <v>17</v>
      </c>
      <c r="C1808" s="10" t="s">
        <v>14</v>
      </c>
      <c r="D1808" s="10" t="s">
        <v>12</v>
      </c>
      <c r="E1808" s="4">
        <v>2</v>
      </c>
      <c r="F1808" s="4">
        <v>516</v>
      </c>
      <c r="G1808" s="9">
        <v>122.77</v>
      </c>
    </row>
    <row r="1809" spans="1:7" ht="15.6" x14ac:dyDescent="0.3">
      <c r="A1809" s="16">
        <v>44712</v>
      </c>
      <c r="B1809" s="10" t="s">
        <v>20</v>
      </c>
      <c r="C1809" s="10" t="s">
        <v>11</v>
      </c>
      <c r="D1809" s="10" t="s">
        <v>12</v>
      </c>
      <c r="E1809" s="4">
        <v>3</v>
      </c>
      <c r="F1809" s="4">
        <v>2139</v>
      </c>
      <c r="G1809" s="9">
        <v>503.08</v>
      </c>
    </row>
    <row r="1810" spans="1:7" ht="15.6" x14ac:dyDescent="0.3">
      <c r="A1810" s="16">
        <v>44931</v>
      </c>
      <c r="B1810" s="10" t="s">
        <v>23</v>
      </c>
      <c r="C1810" s="10" t="s">
        <v>14</v>
      </c>
      <c r="D1810" s="10" t="s">
        <v>12</v>
      </c>
      <c r="E1810" s="4">
        <v>9</v>
      </c>
      <c r="F1810" s="4">
        <v>8136</v>
      </c>
      <c r="G1810" s="9">
        <v>1923.89</v>
      </c>
    </row>
    <row r="1811" spans="1:7" ht="15.6" x14ac:dyDescent="0.3">
      <c r="A1811" s="16">
        <v>45590</v>
      </c>
      <c r="B1811" s="10" t="s">
        <v>23</v>
      </c>
      <c r="C1811" s="10" t="s">
        <v>14</v>
      </c>
      <c r="D1811" s="10" t="s">
        <v>16</v>
      </c>
      <c r="E1811" s="4">
        <v>5</v>
      </c>
      <c r="F1811" s="4">
        <v>2130</v>
      </c>
      <c r="G1811" s="9">
        <v>318.99</v>
      </c>
    </row>
    <row r="1812" spans="1:7" ht="15.6" x14ac:dyDescent="0.3">
      <c r="A1812" s="16">
        <v>45383</v>
      </c>
      <c r="B1812" s="10" t="s">
        <v>18</v>
      </c>
      <c r="C1812" s="10" t="s">
        <v>11</v>
      </c>
      <c r="D1812" s="10" t="s">
        <v>15</v>
      </c>
      <c r="E1812" s="4">
        <v>5</v>
      </c>
      <c r="F1812" s="4">
        <v>3445</v>
      </c>
      <c r="G1812" s="9">
        <v>202.15</v>
      </c>
    </row>
    <row r="1813" spans="1:7" ht="15.6" x14ac:dyDescent="0.3">
      <c r="A1813" s="16">
        <v>45642</v>
      </c>
      <c r="B1813" s="10" t="s">
        <v>13</v>
      </c>
      <c r="C1813" s="10" t="s">
        <v>14</v>
      </c>
      <c r="D1813" s="10" t="s">
        <v>12</v>
      </c>
      <c r="E1813" s="4">
        <v>8</v>
      </c>
      <c r="F1813" s="4">
        <v>5376</v>
      </c>
      <c r="G1813" s="9">
        <v>429.84</v>
      </c>
    </row>
    <row r="1814" spans="1:7" ht="15.6" x14ac:dyDescent="0.3">
      <c r="A1814" s="16">
        <v>45143</v>
      </c>
      <c r="B1814" s="10" t="s">
        <v>7</v>
      </c>
      <c r="C1814" s="10" t="s">
        <v>8</v>
      </c>
      <c r="D1814" s="10" t="s">
        <v>16</v>
      </c>
      <c r="E1814" s="4">
        <v>6</v>
      </c>
      <c r="F1814" s="4">
        <v>3006</v>
      </c>
      <c r="G1814" s="9">
        <v>730.14</v>
      </c>
    </row>
    <row r="1815" spans="1:7" ht="15.6" x14ac:dyDescent="0.3">
      <c r="A1815" s="16">
        <v>44926</v>
      </c>
      <c r="B1815" s="10" t="s">
        <v>18</v>
      </c>
      <c r="C1815" s="10" t="s">
        <v>11</v>
      </c>
      <c r="D1815" s="10" t="s">
        <v>9</v>
      </c>
      <c r="E1815" s="4">
        <v>7</v>
      </c>
      <c r="F1815" s="4">
        <v>3941</v>
      </c>
      <c r="G1815" s="9">
        <v>1113.8499999999999</v>
      </c>
    </row>
    <row r="1816" spans="1:7" ht="15.6" x14ac:dyDescent="0.3">
      <c r="A1816" s="16">
        <v>44995</v>
      </c>
      <c r="B1816" s="10" t="s">
        <v>20</v>
      </c>
      <c r="C1816" s="10" t="s">
        <v>11</v>
      </c>
      <c r="D1816" s="10" t="s">
        <v>9</v>
      </c>
      <c r="E1816" s="4">
        <v>5</v>
      </c>
      <c r="F1816" s="4">
        <v>3350</v>
      </c>
      <c r="G1816" s="9">
        <v>389.95</v>
      </c>
    </row>
    <row r="1817" spans="1:7" ht="15.6" x14ac:dyDescent="0.3">
      <c r="A1817" s="16">
        <v>45417</v>
      </c>
      <c r="B1817" s="10" t="s">
        <v>7</v>
      </c>
      <c r="C1817" s="10" t="s">
        <v>8</v>
      </c>
      <c r="D1817" s="10" t="s">
        <v>15</v>
      </c>
      <c r="E1817" s="4">
        <v>3</v>
      </c>
      <c r="F1817" s="4">
        <v>2019</v>
      </c>
      <c r="G1817" s="9">
        <v>265.44</v>
      </c>
    </row>
    <row r="1818" spans="1:7" ht="15.6" x14ac:dyDescent="0.3">
      <c r="A1818" s="16">
        <v>44721</v>
      </c>
      <c r="B1818" s="10" t="s">
        <v>18</v>
      </c>
      <c r="C1818" s="10" t="s">
        <v>11</v>
      </c>
      <c r="D1818" s="10" t="s">
        <v>9</v>
      </c>
      <c r="E1818" s="4">
        <v>8</v>
      </c>
      <c r="F1818" s="4">
        <v>2416</v>
      </c>
      <c r="G1818" s="9">
        <v>403.38</v>
      </c>
    </row>
    <row r="1819" spans="1:7" ht="15.6" x14ac:dyDescent="0.3">
      <c r="A1819" s="16">
        <v>44694</v>
      </c>
      <c r="B1819" s="10" t="s">
        <v>20</v>
      </c>
      <c r="C1819" s="10" t="s">
        <v>11</v>
      </c>
      <c r="D1819" s="10" t="s">
        <v>16</v>
      </c>
      <c r="E1819" s="4">
        <v>8</v>
      </c>
      <c r="F1819" s="4">
        <v>6160</v>
      </c>
      <c r="G1819" s="9">
        <v>684.71</v>
      </c>
    </row>
    <row r="1820" spans="1:7" ht="15.6" x14ac:dyDescent="0.3">
      <c r="A1820" s="16">
        <v>44658</v>
      </c>
      <c r="B1820" s="10" t="s">
        <v>7</v>
      </c>
      <c r="C1820" s="10" t="s">
        <v>8</v>
      </c>
      <c r="D1820" s="10" t="s">
        <v>12</v>
      </c>
      <c r="E1820" s="4">
        <v>4</v>
      </c>
      <c r="F1820" s="4">
        <v>2796</v>
      </c>
      <c r="G1820" s="9">
        <v>682.65</v>
      </c>
    </row>
    <row r="1821" spans="1:7" ht="15.6" x14ac:dyDescent="0.3">
      <c r="A1821" s="16">
        <v>45645</v>
      </c>
      <c r="B1821" s="10" t="s">
        <v>19</v>
      </c>
      <c r="C1821" s="10" t="s">
        <v>14</v>
      </c>
      <c r="D1821" s="10" t="s">
        <v>15</v>
      </c>
      <c r="E1821" s="4">
        <v>7</v>
      </c>
      <c r="F1821" s="4">
        <v>7700</v>
      </c>
      <c r="G1821" s="9">
        <v>1573.41</v>
      </c>
    </row>
    <row r="1822" spans="1:7" ht="15.6" x14ac:dyDescent="0.3">
      <c r="A1822" s="16">
        <v>45460</v>
      </c>
      <c r="B1822" s="10" t="s">
        <v>19</v>
      </c>
      <c r="C1822" s="10" t="s">
        <v>14</v>
      </c>
      <c r="D1822" s="10" t="s">
        <v>16</v>
      </c>
      <c r="E1822" s="4">
        <v>5</v>
      </c>
      <c r="F1822" s="4">
        <v>2095</v>
      </c>
      <c r="G1822" s="9">
        <v>193.93</v>
      </c>
    </row>
    <row r="1823" spans="1:7" ht="15.6" x14ac:dyDescent="0.3">
      <c r="A1823" s="16">
        <v>45560</v>
      </c>
      <c r="B1823" s="10" t="s">
        <v>17</v>
      </c>
      <c r="C1823" s="10" t="s">
        <v>14</v>
      </c>
      <c r="D1823" s="10" t="s">
        <v>9</v>
      </c>
      <c r="E1823" s="4">
        <v>5</v>
      </c>
      <c r="F1823" s="4">
        <v>5990</v>
      </c>
      <c r="G1823" s="9">
        <v>1548.62</v>
      </c>
    </row>
    <row r="1824" spans="1:7" ht="15.6" x14ac:dyDescent="0.3">
      <c r="A1824" s="16">
        <v>45653</v>
      </c>
      <c r="B1824" s="10" t="s">
        <v>19</v>
      </c>
      <c r="C1824" s="10" t="s">
        <v>14</v>
      </c>
      <c r="D1824" s="10" t="s">
        <v>9</v>
      </c>
      <c r="E1824" s="4">
        <v>2</v>
      </c>
      <c r="F1824" s="4">
        <v>1206</v>
      </c>
      <c r="G1824" s="9">
        <v>307.02</v>
      </c>
    </row>
    <row r="1825" spans="1:7" ht="15.6" x14ac:dyDescent="0.3">
      <c r="A1825" s="16">
        <v>45366</v>
      </c>
      <c r="B1825" s="10" t="s">
        <v>19</v>
      </c>
      <c r="C1825" s="10" t="s">
        <v>14</v>
      </c>
      <c r="D1825" s="10" t="s">
        <v>15</v>
      </c>
      <c r="E1825" s="4">
        <v>5</v>
      </c>
      <c r="F1825" s="4">
        <v>1330</v>
      </c>
      <c r="G1825" s="9">
        <v>285.77999999999997</v>
      </c>
    </row>
    <row r="1826" spans="1:7" ht="15.6" x14ac:dyDescent="0.3">
      <c r="A1826" s="16">
        <v>44767</v>
      </c>
      <c r="B1826" s="10" t="s">
        <v>17</v>
      </c>
      <c r="C1826" s="10" t="s">
        <v>14</v>
      </c>
      <c r="D1826" s="10" t="s">
        <v>16</v>
      </c>
      <c r="E1826" s="4">
        <v>6</v>
      </c>
      <c r="F1826" s="4">
        <v>2706</v>
      </c>
      <c r="G1826" s="9">
        <v>766.68</v>
      </c>
    </row>
    <row r="1827" spans="1:7" ht="15.6" x14ac:dyDescent="0.3">
      <c r="A1827" s="16">
        <v>44940</v>
      </c>
      <c r="B1827" s="10" t="s">
        <v>23</v>
      </c>
      <c r="C1827" s="10" t="s">
        <v>14</v>
      </c>
      <c r="D1827" s="10" t="s">
        <v>12</v>
      </c>
      <c r="E1827" s="4">
        <v>3</v>
      </c>
      <c r="F1827" s="4">
        <v>426</v>
      </c>
      <c r="G1827" s="9">
        <v>50.8</v>
      </c>
    </row>
    <row r="1828" spans="1:7" ht="15.6" x14ac:dyDescent="0.3">
      <c r="A1828" s="16">
        <v>45609</v>
      </c>
      <c r="B1828" s="10" t="s">
        <v>13</v>
      </c>
      <c r="C1828" s="10" t="s">
        <v>14</v>
      </c>
      <c r="D1828" s="10" t="s">
        <v>16</v>
      </c>
      <c r="E1828" s="4">
        <v>1</v>
      </c>
      <c r="F1828" s="4">
        <v>414</v>
      </c>
      <c r="G1828" s="9">
        <v>50.26</v>
      </c>
    </row>
    <row r="1829" spans="1:7" ht="15.6" x14ac:dyDescent="0.3">
      <c r="A1829" s="16">
        <v>45472</v>
      </c>
      <c r="B1829" s="10" t="s">
        <v>23</v>
      </c>
      <c r="C1829" s="10" t="s">
        <v>14</v>
      </c>
      <c r="D1829" s="10" t="s">
        <v>12</v>
      </c>
      <c r="E1829" s="4">
        <v>5</v>
      </c>
      <c r="F1829" s="4">
        <v>5465</v>
      </c>
      <c r="G1829" s="9">
        <v>546.33000000000004</v>
      </c>
    </row>
    <row r="1830" spans="1:7" ht="15.6" x14ac:dyDescent="0.3">
      <c r="A1830" s="16">
        <v>45434</v>
      </c>
      <c r="B1830" s="10" t="s">
        <v>13</v>
      </c>
      <c r="C1830" s="10" t="s">
        <v>14</v>
      </c>
      <c r="D1830" s="10" t="s">
        <v>15</v>
      </c>
      <c r="E1830" s="4">
        <v>3</v>
      </c>
      <c r="F1830" s="4">
        <v>726</v>
      </c>
      <c r="G1830" s="9">
        <v>71.06</v>
      </c>
    </row>
    <row r="1831" spans="1:7" ht="15.6" x14ac:dyDescent="0.3">
      <c r="A1831" s="16">
        <v>44681</v>
      </c>
      <c r="B1831" s="10" t="s">
        <v>19</v>
      </c>
      <c r="C1831" s="10" t="s">
        <v>14</v>
      </c>
      <c r="D1831" s="10" t="s">
        <v>12</v>
      </c>
      <c r="E1831" s="4">
        <v>1</v>
      </c>
      <c r="F1831" s="4">
        <v>1001</v>
      </c>
      <c r="G1831" s="9">
        <v>225.75</v>
      </c>
    </row>
    <row r="1832" spans="1:7" ht="15.6" x14ac:dyDescent="0.3">
      <c r="A1832" s="16">
        <v>44608</v>
      </c>
      <c r="B1832" s="10" t="s">
        <v>10</v>
      </c>
      <c r="C1832" s="10" t="s">
        <v>11</v>
      </c>
      <c r="D1832" s="10" t="s">
        <v>16</v>
      </c>
      <c r="E1832" s="4">
        <v>9</v>
      </c>
      <c r="F1832" s="4">
        <v>7362</v>
      </c>
      <c r="G1832" s="9">
        <v>1866.65</v>
      </c>
    </row>
    <row r="1833" spans="1:7" ht="15.6" x14ac:dyDescent="0.3">
      <c r="A1833" s="16">
        <v>44695</v>
      </c>
      <c r="B1833" s="10" t="s">
        <v>22</v>
      </c>
      <c r="C1833" s="10" t="s">
        <v>11</v>
      </c>
      <c r="D1833" s="10" t="s">
        <v>12</v>
      </c>
      <c r="E1833" s="4">
        <v>4</v>
      </c>
      <c r="F1833" s="4">
        <v>2284</v>
      </c>
      <c r="G1833" s="9">
        <v>576.59</v>
      </c>
    </row>
    <row r="1834" spans="1:7" ht="15.6" x14ac:dyDescent="0.3">
      <c r="A1834" s="16">
        <v>44912</v>
      </c>
      <c r="B1834" s="10" t="s">
        <v>13</v>
      </c>
      <c r="C1834" s="10" t="s">
        <v>14</v>
      </c>
      <c r="D1834" s="10" t="s">
        <v>12</v>
      </c>
      <c r="E1834" s="4">
        <v>4</v>
      </c>
      <c r="F1834" s="4">
        <v>2940</v>
      </c>
      <c r="G1834" s="9">
        <v>566.36</v>
      </c>
    </row>
    <row r="1835" spans="1:7" ht="15.6" x14ac:dyDescent="0.3">
      <c r="A1835" s="16">
        <v>45062</v>
      </c>
      <c r="B1835" s="10" t="s">
        <v>7</v>
      </c>
      <c r="C1835" s="10" t="s">
        <v>8</v>
      </c>
      <c r="D1835" s="10" t="s">
        <v>15</v>
      </c>
      <c r="E1835" s="4">
        <v>4</v>
      </c>
      <c r="F1835" s="4">
        <v>3068</v>
      </c>
      <c r="G1835" s="9">
        <v>868.89</v>
      </c>
    </row>
    <row r="1836" spans="1:7" ht="15.6" x14ac:dyDescent="0.3">
      <c r="A1836" s="16">
        <v>45511</v>
      </c>
      <c r="B1836" s="10" t="s">
        <v>21</v>
      </c>
      <c r="C1836" s="10" t="s">
        <v>14</v>
      </c>
      <c r="D1836" s="10" t="s">
        <v>9</v>
      </c>
      <c r="E1836" s="4">
        <v>3</v>
      </c>
      <c r="F1836" s="4">
        <v>3477</v>
      </c>
      <c r="G1836" s="9">
        <v>862.21</v>
      </c>
    </row>
    <row r="1837" spans="1:7" ht="15.6" x14ac:dyDescent="0.3">
      <c r="A1837" s="16">
        <v>45508</v>
      </c>
      <c r="B1837" s="10" t="s">
        <v>19</v>
      </c>
      <c r="C1837" s="10" t="s">
        <v>14</v>
      </c>
      <c r="D1837" s="10" t="s">
        <v>16</v>
      </c>
      <c r="E1837" s="4">
        <v>9</v>
      </c>
      <c r="F1837" s="4">
        <v>4014</v>
      </c>
      <c r="G1837" s="9">
        <v>204.48</v>
      </c>
    </row>
    <row r="1838" spans="1:7" ht="15.6" x14ac:dyDescent="0.3">
      <c r="A1838" s="16">
        <v>45511</v>
      </c>
      <c r="B1838" s="10" t="s">
        <v>20</v>
      </c>
      <c r="C1838" s="10" t="s">
        <v>11</v>
      </c>
      <c r="D1838" s="10" t="s">
        <v>9</v>
      </c>
      <c r="E1838" s="4">
        <v>8</v>
      </c>
      <c r="F1838" s="4">
        <v>7200</v>
      </c>
      <c r="G1838" s="9">
        <v>804.53</v>
      </c>
    </row>
    <row r="1839" spans="1:7" ht="15.6" x14ac:dyDescent="0.3">
      <c r="A1839" s="16">
        <v>45385</v>
      </c>
      <c r="B1839" s="10" t="s">
        <v>19</v>
      </c>
      <c r="C1839" s="10" t="s">
        <v>14</v>
      </c>
      <c r="D1839" s="10" t="s">
        <v>16</v>
      </c>
      <c r="E1839" s="4">
        <v>3</v>
      </c>
      <c r="F1839" s="4">
        <v>735</v>
      </c>
      <c r="G1839" s="9">
        <v>134.53</v>
      </c>
    </row>
    <row r="1840" spans="1:7" ht="15.6" x14ac:dyDescent="0.3">
      <c r="A1840" s="16">
        <v>44957</v>
      </c>
      <c r="B1840" s="10" t="s">
        <v>20</v>
      </c>
      <c r="C1840" s="10" t="s">
        <v>11</v>
      </c>
      <c r="D1840" s="10" t="s">
        <v>12</v>
      </c>
      <c r="E1840" s="4">
        <v>3</v>
      </c>
      <c r="F1840" s="4">
        <v>2964</v>
      </c>
      <c r="G1840" s="9">
        <v>446.54</v>
      </c>
    </row>
    <row r="1841" spans="1:7" ht="15.6" x14ac:dyDescent="0.3">
      <c r="A1841" s="16">
        <v>44645</v>
      </c>
      <c r="B1841" s="10" t="s">
        <v>17</v>
      </c>
      <c r="C1841" s="10" t="s">
        <v>14</v>
      </c>
      <c r="D1841" s="10" t="s">
        <v>16</v>
      </c>
      <c r="E1841" s="4">
        <v>9</v>
      </c>
      <c r="F1841" s="4">
        <v>3699</v>
      </c>
      <c r="G1841" s="9">
        <v>276.07</v>
      </c>
    </row>
    <row r="1842" spans="1:7" ht="15.6" x14ac:dyDescent="0.3">
      <c r="A1842" s="16">
        <v>44695</v>
      </c>
      <c r="B1842" s="10" t="s">
        <v>7</v>
      </c>
      <c r="C1842" s="10" t="s">
        <v>8</v>
      </c>
      <c r="D1842" s="10" t="s">
        <v>16</v>
      </c>
      <c r="E1842" s="4">
        <v>3</v>
      </c>
      <c r="F1842" s="4">
        <v>1563</v>
      </c>
      <c r="G1842" s="9">
        <v>221.62</v>
      </c>
    </row>
    <row r="1843" spans="1:7" ht="15.6" x14ac:dyDescent="0.3">
      <c r="A1843" s="16">
        <v>45120</v>
      </c>
      <c r="B1843" s="10" t="s">
        <v>10</v>
      </c>
      <c r="C1843" s="10" t="s">
        <v>11</v>
      </c>
      <c r="D1843" s="10" t="s">
        <v>15</v>
      </c>
      <c r="E1843" s="4">
        <v>2</v>
      </c>
      <c r="F1843" s="4">
        <v>124</v>
      </c>
      <c r="G1843" s="9">
        <v>32.270000000000003</v>
      </c>
    </row>
    <row r="1844" spans="1:7" ht="15.6" x14ac:dyDescent="0.3">
      <c r="A1844" s="16">
        <v>45110</v>
      </c>
      <c r="B1844" s="10" t="s">
        <v>10</v>
      </c>
      <c r="C1844" s="10" t="s">
        <v>11</v>
      </c>
      <c r="D1844" s="10" t="s">
        <v>9</v>
      </c>
      <c r="E1844" s="4">
        <v>2</v>
      </c>
      <c r="F1844" s="4">
        <v>416</v>
      </c>
      <c r="G1844" s="9">
        <v>71.680000000000007</v>
      </c>
    </row>
    <row r="1845" spans="1:7" ht="15.6" x14ac:dyDescent="0.3">
      <c r="A1845" s="16">
        <v>44992</v>
      </c>
      <c r="B1845" s="10" t="s">
        <v>17</v>
      </c>
      <c r="C1845" s="10" t="s">
        <v>14</v>
      </c>
      <c r="D1845" s="10" t="s">
        <v>15</v>
      </c>
      <c r="E1845" s="4">
        <v>8</v>
      </c>
      <c r="F1845" s="4">
        <v>2624</v>
      </c>
      <c r="G1845" s="9">
        <v>294.24</v>
      </c>
    </row>
    <row r="1846" spans="1:7" ht="15.6" x14ac:dyDescent="0.3">
      <c r="A1846" s="16">
        <v>45600</v>
      </c>
      <c r="B1846" s="10" t="s">
        <v>18</v>
      </c>
      <c r="C1846" s="10" t="s">
        <v>11</v>
      </c>
      <c r="D1846" s="10" t="s">
        <v>12</v>
      </c>
      <c r="E1846" s="4">
        <v>4</v>
      </c>
      <c r="F1846" s="4">
        <v>1636</v>
      </c>
      <c r="G1846" s="9">
        <v>134.85</v>
      </c>
    </row>
    <row r="1847" spans="1:7" ht="15.6" x14ac:dyDescent="0.3">
      <c r="A1847" s="16">
        <v>45284</v>
      </c>
      <c r="B1847" s="10" t="s">
        <v>18</v>
      </c>
      <c r="C1847" s="10" t="s">
        <v>11</v>
      </c>
      <c r="D1847" s="10" t="s">
        <v>12</v>
      </c>
      <c r="E1847" s="4">
        <v>8</v>
      </c>
      <c r="F1847" s="4">
        <v>8200</v>
      </c>
      <c r="G1847" s="9">
        <v>1978.93</v>
      </c>
    </row>
    <row r="1848" spans="1:7" ht="15.6" x14ac:dyDescent="0.3">
      <c r="A1848" s="16">
        <v>44630</v>
      </c>
      <c r="B1848" s="10" t="s">
        <v>10</v>
      </c>
      <c r="C1848" s="10" t="s">
        <v>11</v>
      </c>
      <c r="D1848" s="10" t="s">
        <v>12</v>
      </c>
      <c r="E1848" s="4">
        <v>5</v>
      </c>
      <c r="F1848" s="4">
        <v>5615</v>
      </c>
      <c r="G1848" s="9">
        <v>715.58</v>
      </c>
    </row>
    <row r="1849" spans="1:7" ht="15.6" x14ac:dyDescent="0.3">
      <c r="A1849" s="16">
        <v>44834</v>
      </c>
      <c r="B1849" s="10" t="s">
        <v>7</v>
      </c>
      <c r="C1849" s="10" t="s">
        <v>8</v>
      </c>
      <c r="D1849" s="10" t="s">
        <v>12</v>
      </c>
      <c r="E1849" s="4">
        <v>5</v>
      </c>
      <c r="F1849" s="4">
        <v>3085</v>
      </c>
      <c r="G1849" s="9">
        <v>413.52</v>
      </c>
    </row>
    <row r="1850" spans="1:7" ht="15.6" x14ac:dyDescent="0.3">
      <c r="A1850" s="16">
        <v>45633</v>
      </c>
      <c r="B1850" s="10" t="s">
        <v>22</v>
      </c>
      <c r="C1850" s="10" t="s">
        <v>11</v>
      </c>
      <c r="D1850" s="10" t="s">
        <v>15</v>
      </c>
      <c r="E1850" s="4">
        <v>6</v>
      </c>
      <c r="F1850" s="4">
        <v>3198</v>
      </c>
      <c r="G1850" s="9">
        <v>913.76</v>
      </c>
    </row>
    <row r="1851" spans="1:7" ht="15.6" x14ac:dyDescent="0.3">
      <c r="A1851" s="16">
        <v>44605</v>
      </c>
      <c r="B1851" s="10" t="s">
        <v>17</v>
      </c>
      <c r="C1851" s="10" t="s">
        <v>14</v>
      </c>
      <c r="D1851" s="10" t="s">
        <v>16</v>
      </c>
      <c r="E1851" s="4">
        <v>4</v>
      </c>
      <c r="F1851" s="4">
        <v>1848</v>
      </c>
      <c r="G1851" s="9">
        <v>374.66</v>
      </c>
    </row>
    <row r="1852" spans="1:7" ht="15.6" x14ac:dyDescent="0.3">
      <c r="A1852" s="16">
        <v>45027</v>
      </c>
      <c r="B1852" s="10" t="s">
        <v>19</v>
      </c>
      <c r="C1852" s="10" t="s">
        <v>14</v>
      </c>
      <c r="D1852" s="10" t="s">
        <v>9</v>
      </c>
      <c r="E1852" s="4">
        <v>4</v>
      </c>
      <c r="F1852" s="4">
        <v>652</v>
      </c>
      <c r="G1852" s="9">
        <v>116.06</v>
      </c>
    </row>
    <row r="1853" spans="1:7" ht="15.6" x14ac:dyDescent="0.3">
      <c r="A1853" s="16">
        <v>44887</v>
      </c>
      <c r="B1853" s="10" t="s">
        <v>10</v>
      </c>
      <c r="C1853" s="10" t="s">
        <v>11</v>
      </c>
      <c r="D1853" s="10" t="s">
        <v>15</v>
      </c>
      <c r="E1853" s="4">
        <v>6</v>
      </c>
      <c r="F1853" s="4">
        <v>2940</v>
      </c>
      <c r="G1853" s="9">
        <v>609.99</v>
      </c>
    </row>
    <row r="1854" spans="1:7" ht="15.6" x14ac:dyDescent="0.3">
      <c r="A1854" s="16">
        <v>44710</v>
      </c>
      <c r="B1854" s="10" t="s">
        <v>18</v>
      </c>
      <c r="C1854" s="10" t="s">
        <v>11</v>
      </c>
      <c r="D1854" s="10" t="s">
        <v>12</v>
      </c>
      <c r="E1854" s="4">
        <v>4</v>
      </c>
      <c r="F1854" s="4">
        <v>3912</v>
      </c>
      <c r="G1854" s="9">
        <v>454.89</v>
      </c>
    </row>
    <row r="1855" spans="1:7" ht="15.6" x14ac:dyDescent="0.3">
      <c r="A1855" s="16">
        <v>44843</v>
      </c>
      <c r="B1855" s="10" t="s">
        <v>13</v>
      </c>
      <c r="C1855" s="10" t="s">
        <v>14</v>
      </c>
      <c r="D1855" s="10" t="s">
        <v>15</v>
      </c>
      <c r="E1855" s="4">
        <v>8</v>
      </c>
      <c r="F1855" s="4">
        <v>9392</v>
      </c>
      <c r="G1855" s="9">
        <v>891.07</v>
      </c>
    </row>
    <row r="1856" spans="1:7" ht="15.6" x14ac:dyDescent="0.3">
      <c r="A1856" s="16">
        <v>44855</v>
      </c>
      <c r="B1856" s="10" t="s">
        <v>20</v>
      </c>
      <c r="C1856" s="10" t="s">
        <v>11</v>
      </c>
      <c r="D1856" s="10" t="s">
        <v>16</v>
      </c>
      <c r="E1856" s="4">
        <v>1</v>
      </c>
      <c r="F1856" s="4">
        <v>312</v>
      </c>
      <c r="G1856" s="9">
        <v>43.01</v>
      </c>
    </row>
    <row r="1857" spans="1:7" ht="15.6" x14ac:dyDescent="0.3">
      <c r="A1857" s="16">
        <v>45254</v>
      </c>
      <c r="B1857" s="10" t="s">
        <v>23</v>
      </c>
      <c r="C1857" s="10" t="s">
        <v>14</v>
      </c>
      <c r="D1857" s="10" t="s">
        <v>12</v>
      </c>
      <c r="E1857" s="4">
        <v>9</v>
      </c>
      <c r="F1857" s="4">
        <v>7731</v>
      </c>
      <c r="G1857" s="9">
        <v>1459.74</v>
      </c>
    </row>
    <row r="1858" spans="1:7" ht="15.6" x14ac:dyDescent="0.3">
      <c r="A1858" s="16">
        <v>45100</v>
      </c>
      <c r="B1858" s="10" t="s">
        <v>13</v>
      </c>
      <c r="C1858" s="10" t="s">
        <v>14</v>
      </c>
      <c r="D1858" s="10" t="s">
        <v>16</v>
      </c>
      <c r="E1858" s="4">
        <v>1</v>
      </c>
      <c r="F1858" s="4">
        <v>1081</v>
      </c>
      <c r="G1858" s="9">
        <v>229.32</v>
      </c>
    </row>
    <row r="1859" spans="1:7" ht="15.6" x14ac:dyDescent="0.3">
      <c r="A1859" s="16">
        <v>45154</v>
      </c>
      <c r="B1859" s="10" t="s">
        <v>21</v>
      </c>
      <c r="C1859" s="10" t="s">
        <v>14</v>
      </c>
      <c r="D1859" s="10" t="s">
        <v>16</v>
      </c>
      <c r="E1859" s="4">
        <v>6</v>
      </c>
      <c r="F1859" s="4">
        <v>1926</v>
      </c>
      <c r="G1859" s="9">
        <v>393.01</v>
      </c>
    </row>
    <row r="1860" spans="1:7" ht="15.6" x14ac:dyDescent="0.3">
      <c r="A1860" s="16">
        <v>44768</v>
      </c>
      <c r="B1860" s="10" t="s">
        <v>20</v>
      </c>
      <c r="C1860" s="10" t="s">
        <v>11</v>
      </c>
      <c r="D1860" s="10" t="s">
        <v>12</v>
      </c>
      <c r="E1860" s="4">
        <v>3</v>
      </c>
      <c r="F1860" s="4">
        <v>936</v>
      </c>
      <c r="G1860" s="9">
        <v>88.51</v>
      </c>
    </row>
    <row r="1861" spans="1:7" ht="15.6" x14ac:dyDescent="0.3">
      <c r="A1861" s="16">
        <v>45655</v>
      </c>
      <c r="B1861" s="10" t="s">
        <v>23</v>
      </c>
      <c r="C1861" s="10" t="s">
        <v>14</v>
      </c>
      <c r="D1861" s="10" t="s">
        <v>15</v>
      </c>
      <c r="E1861" s="4">
        <v>9</v>
      </c>
      <c r="F1861" s="4">
        <v>8550</v>
      </c>
      <c r="G1861" s="9">
        <v>1970.98</v>
      </c>
    </row>
    <row r="1862" spans="1:7" ht="15.6" x14ac:dyDescent="0.3">
      <c r="A1862" s="16">
        <v>45162</v>
      </c>
      <c r="B1862" s="10" t="s">
        <v>20</v>
      </c>
      <c r="C1862" s="10" t="s">
        <v>11</v>
      </c>
      <c r="D1862" s="10" t="s">
        <v>9</v>
      </c>
      <c r="E1862" s="4">
        <v>4</v>
      </c>
      <c r="F1862" s="4">
        <v>2468</v>
      </c>
      <c r="G1862" s="9">
        <v>457.51</v>
      </c>
    </row>
    <row r="1863" spans="1:7" ht="15.6" x14ac:dyDescent="0.3">
      <c r="A1863" s="16">
        <v>45173</v>
      </c>
      <c r="B1863" s="10" t="s">
        <v>13</v>
      </c>
      <c r="C1863" s="10" t="s">
        <v>14</v>
      </c>
      <c r="D1863" s="10" t="s">
        <v>16</v>
      </c>
      <c r="E1863" s="4">
        <v>3</v>
      </c>
      <c r="F1863" s="4">
        <v>801</v>
      </c>
      <c r="G1863" s="9">
        <v>90.34</v>
      </c>
    </row>
    <row r="1864" spans="1:7" ht="15.6" x14ac:dyDescent="0.3">
      <c r="A1864" s="16">
        <v>44929</v>
      </c>
      <c r="B1864" s="10" t="s">
        <v>23</v>
      </c>
      <c r="C1864" s="10" t="s">
        <v>14</v>
      </c>
      <c r="D1864" s="10" t="s">
        <v>12</v>
      </c>
      <c r="E1864" s="4">
        <v>9</v>
      </c>
      <c r="F1864" s="4">
        <v>2655</v>
      </c>
      <c r="G1864" s="9">
        <v>701.11</v>
      </c>
    </row>
    <row r="1865" spans="1:7" ht="15.6" x14ac:dyDescent="0.3">
      <c r="A1865" s="16">
        <v>45260</v>
      </c>
      <c r="B1865" s="10" t="s">
        <v>19</v>
      </c>
      <c r="C1865" s="10" t="s">
        <v>14</v>
      </c>
      <c r="D1865" s="10" t="s">
        <v>16</v>
      </c>
      <c r="E1865" s="4">
        <v>8</v>
      </c>
      <c r="F1865" s="4">
        <v>3928</v>
      </c>
      <c r="G1865" s="9">
        <v>700.38</v>
      </c>
    </row>
    <row r="1866" spans="1:7" ht="15.6" x14ac:dyDescent="0.3">
      <c r="A1866" s="16">
        <v>45484</v>
      </c>
      <c r="B1866" s="10" t="s">
        <v>20</v>
      </c>
      <c r="C1866" s="10" t="s">
        <v>11</v>
      </c>
      <c r="D1866" s="10" t="s">
        <v>12</v>
      </c>
      <c r="E1866" s="4">
        <v>8</v>
      </c>
      <c r="F1866" s="4">
        <v>6488</v>
      </c>
      <c r="G1866" s="9">
        <v>1438.34</v>
      </c>
    </row>
    <row r="1867" spans="1:7" ht="15.6" x14ac:dyDescent="0.3">
      <c r="A1867" s="16">
        <v>45325</v>
      </c>
      <c r="B1867" s="10" t="s">
        <v>18</v>
      </c>
      <c r="C1867" s="10" t="s">
        <v>11</v>
      </c>
      <c r="D1867" s="10" t="s">
        <v>16</v>
      </c>
      <c r="E1867" s="4">
        <v>9</v>
      </c>
      <c r="F1867" s="4">
        <v>7695</v>
      </c>
      <c r="G1867" s="9">
        <v>1749.26</v>
      </c>
    </row>
    <row r="1868" spans="1:7" ht="15.6" x14ac:dyDescent="0.3">
      <c r="A1868" s="16">
        <v>45126</v>
      </c>
      <c r="B1868" s="10" t="s">
        <v>18</v>
      </c>
      <c r="C1868" s="10" t="s">
        <v>11</v>
      </c>
      <c r="D1868" s="10" t="s">
        <v>16</v>
      </c>
      <c r="E1868" s="4">
        <v>2</v>
      </c>
      <c r="F1868" s="4">
        <v>1856</v>
      </c>
      <c r="G1868" s="9">
        <v>468.19</v>
      </c>
    </row>
    <row r="1869" spans="1:7" ht="15.6" x14ac:dyDescent="0.3">
      <c r="A1869" s="16">
        <v>44665</v>
      </c>
      <c r="B1869" s="10" t="s">
        <v>19</v>
      </c>
      <c r="C1869" s="10" t="s">
        <v>14</v>
      </c>
      <c r="D1869" s="10" t="s">
        <v>9</v>
      </c>
      <c r="E1869" s="4">
        <v>7</v>
      </c>
      <c r="F1869" s="4">
        <v>1519</v>
      </c>
      <c r="G1869" s="9">
        <v>403.63</v>
      </c>
    </row>
    <row r="1870" spans="1:7" ht="15.6" x14ac:dyDescent="0.3">
      <c r="A1870" s="16">
        <v>45310</v>
      </c>
      <c r="B1870" s="10" t="s">
        <v>13</v>
      </c>
      <c r="C1870" s="10" t="s">
        <v>14</v>
      </c>
      <c r="D1870" s="10" t="s">
        <v>16</v>
      </c>
      <c r="E1870" s="4">
        <v>3</v>
      </c>
      <c r="F1870" s="4">
        <v>3549</v>
      </c>
      <c r="G1870" s="9">
        <v>996.05</v>
      </c>
    </row>
    <row r="1871" spans="1:7" ht="15.6" x14ac:dyDescent="0.3">
      <c r="A1871" s="16">
        <v>45547</v>
      </c>
      <c r="B1871" s="10" t="s">
        <v>23</v>
      </c>
      <c r="C1871" s="10" t="s">
        <v>14</v>
      </c>
      <c r="D1871" s="10" t="s">
        <v>12</v>
      </c>
      <c r="E1871" s="4">
        <v>3</v>
      </c>
      <c r="F1871" s="4">
        <v>1656</v>
      </c>
      <c r="G1871" s="9">
        <v>378.84</v>
      </c>
    </row>
    <row r="1872" spans="1:7" ht="15.6" x14ac:dyDescent="0.3">
      <c r="A1872" s="16">
        <v>45528</v>
      </c>
      <c r="B1872" s="10" t="s">
        <v>22</v>
      </c>
      <c r="C1872" s="10" t="s">
        <v>11</v>
      </c>
      <c r="D1872" s="10" t="s">
        <v>9</v>
      </c>
      <c r="E1872" s="4">
        <v>7</v>
      </c>
      <c r="F1872" s="4">
        <v>812</v>
      </c>
      <c r="G1872" s="9">
        <v>175.55</v>
      </c>
    </row>
    <row r="1873" spans="1:7" ht="15.6" x14ac:dyDescent="0.3">
      <c r="A1873" s="16">
        <v>44920</v>
      </c>
      <c r="B1873" s="10" t="s">
        <v>10</v>
      </c>
      <c r="C1873" s="10" t="s">
        <v>11</v>
      </c>
      <c r="D1873" s="10" t="s">
        <v>9</v>
      </c>
      <c r="E1873" s="4">
        <v>5</v>
      </c>
      <c r="F1873" s="4">
        <v>3730</v>
      </c>
      <c r="G1873" s="9">
        <v>864.41</v>
      </c>
    </row>
    <row r="1874" spans="1:7" ht="15.6" x14ac:dyDescent="0.3">
      <c r="A1874" s="16">
        <v>45284</v>
      </c>
      <c r="B1874" s="10" t="s">
        <v>20</v>
      </c>
      <c r="C1874" s="10" t="s">
        <v>11</v>
      </c>
      <c r="D1874" s="10" t="s">
        <v>15</v>
      </c>
      <c r="E1874" s="4">
        <v>1</v>
      </c>
      <c r="F1874" s="4">
        <v>1161</v>
      </c>
      <c r="G1874" s="9">
        <v>210.87</v>
      </c>
    </row>
    <row r="1875" spans="1:7" ht="15.6" x14ac:dyDescent="0.3">
      <c r="A1875" s="16">
        <v>44699</v>
      </c>
      <c r="B1875" s="10" t="s">
        <v>18</v>
      </c>
      <c r="C1875" s="10" t="s">
        <v>11</v>
      </c>
      <c r="D1875" s="10" t="s">
        <v>9</v>
      </c>
      <c r="E1875" s="4">
        <v>3</v>
      </c>
      <c r="F1875" s="4">
        <v>2256</v>
      </c>
      <c r="G1875" s="9">
        <v>282.52</v>
      </c>
    </row>
    <row r="1876" spans="1:7" ht="15.6" x14ac:dyDescent="0.3">
      <c r="A1876" s="16">
        <v>45563</v>
      </c>
      <c r="B1876" s="10" t="s">
        <v>20</v>
      </c>
      <c r="C1876" s="10" t="s">
        <v>11</v>
      </c>
      <c r="D1876" s="10" t="s">
        <v>12</v>
      </c>
      <c r="E1876" s="4">
        <v>1</v>
      </c>
      <c r="F1876" s="4">
        <v>359</v>
      </c>
      <c r="G1876" s="9">
        <v>78.17</v>
      </c>
    </row>
    <row r="1877" spans="1:7" ht="15.6" x14ac:dyDescent="0.3">
      <c r="A1877" s="16">
        <v>45374</v>
      </c>
      <c r="B1877" s="10" t="s">
        <v>18</v>
      </c>
      <c r="C1877" s="10" t="s">
        <v>11</v>
      </c>
      <c r="D1877" s="10" t="s">
        <v>12</v>
      </c>
      <c r="E1877" s="4">
        <v>2</v>
      </c>
      <c r="F1877" s="4">
        <v>130</v>
      </c>
      <c r="G1877" s="9">
        <v>11.1</v>
      </c>
    </row>
    <row r="1878" spans="1:7" ht="15.6" x14ac:dyDescent="0.3">
      <c r="A1878" s="16">
        <v>44830</v>
      </c>
      <c r="B1878" s="10" t="s">
        <v>10</v>
      </c>
      <c r="C1878" s="10" t="s">
        <v>11</v>
      </c>
      <c r="D1878" s="10" t="s">
        <v>15</v>
      </c>
      <c r="E1878" s="4">
        <v>8</v>
      </c>
      <c r="F1878" s="4">
        <v>4248</v>
      </c>
      <c r="G1878" s="9">
        <v>831.54</v>
      </c>
    </row>
    <row r="1879" spans="1:7" ht="15.6" x14ac:dyDescent="0.3">
      <c r="A1879" s="16">
        <v>45569</v>
      </c>
      <c r="B1879" s="10" t="s">
        <v>17</v>
      </c>
      <c r="C1879" s="10" t="s">
        <v>14</v>
      </c>
      <c r="D1879" s="10" t="s">
        <v>15</v>
      </c>
      <c r="E1879" s="4">
        <v>5</v>
      </c>
      <c r="F1879" s="4">
        <v>1825</v>
      </c>
      <c r="G1879" s="9">
        <v>221.47</v>
      </c>
    </row>
    <row r="1880" spans="1:7" ht="15.6" x14ac:dyDescent="0.3">
      <c r="A1880" s="16">
        <v>45560</v>
      </c>
      <c r="B1880" s="10" t="s">
        <v>22</v>
      </c>
      <c r="C1880" s="10" t="s">
        <v>11</v>
      </c>
      <c r="D1880" s="10" t="s">
        <v>12</v>
      </c>
      <c r="E1880" s="4">
        <v>2</v>
      </c>
      <c r="F1880" s="4">
        <v>876</v>
      </c>
      <c r="G1880" s="9">
        <v>224.01</v>
      </c>
    </row>
    <row r="1881" spans="1:7" ht="15.6" x14ac:dyDescent="0.3">
      <c r="A1881" s="16">
        <v>44929</v>
      </c>
      <c r="B1881" s="10" t="s">
        <v>17</v>
      </c>
      <c r="C1881" s="10" t="s">
        <v>14</v>
      </c>
      <c r="D1881" s="10" t="s">
        <v>9</v>
      </c>
      <c r="E1881" s="4">
        <v>9</v>
      </c>
      <c r="F1881" s="4">
        <v>9180</v>
      </c>
      <c r="G1881" s="9">
        <v>2752.84</v>
      </c>
    </row>
    <row r="1882" spans="1:7" ht="15.6" x14ac:dyDescent="0.3">
      <c r="A1882" s="16">
        <v>45377</v>
      </c>
      <c r="B1882" s="10" t="s">
        <v>20</v>
      </c>
      <c r="C1882" s="10" t="s">
        <v>11</v>
      </c>
      <c r="D1882" s="10" t="s">
        <v>16</v>
      </c>
      <c r="E1882" s="4">
        <v>5</v>
      </c>
      <c r="F1882" s="4">
        <v>1765</v>
      </c>
      <c r="G1882" s="9">
        <v>160.88999999999999</v>
      </c>
    </row>
    <row r="1883" spans="1:7" ht="15.6" x14ac:dyDescent="0.3">
      <c r="A1883" s="16">
        <v>44840</v>
      </c>
      <c r="B1883" s="10" t="s">
        <v>20</v>
      </c>
      <c r="C1883" s="10" t="s">
        <v>11</v>
      </c>
      <c r="D1883" s="10" t="s">
        <v>15</v>
      </c>
      <c r="E1883" s="4">
        <v>2</v>
      </c>
      <c r="F1883" s="4">
        <v>1504</v>
      </c>
      <c r="G1883" s="9">
        <v>164.51</v>
      </c>
    </row>
    <row r="1884" spans="1:7" ht="15.6" x14ac:dyDescent="0.3">
      <c r="A1884" s="16">
        <v>44742</v>
      </c>
      <c r="B1884" s="10" t="s">
        <v>22</v>
      </c>
      <c r="C1884" s="10" t="s">
        <v>11</v>
      </c>
      <c r="D1884" s="10" t="s">
        <v>15</v>
      </c>
      <c r="E1884" s="4">
        <v>9</v>
      </c>
      <c r="F1884" s="4">
        <v>1881</v>
      </c>
      <c r="G1884" s="9">
        <v>430.78</v>
      </c>
    </row>
    <row r="1885" spans="1:7" ht="15.6" x14ac:dyDescent="0.3">
      <c r="A1885" s="16">
        <v>44577</v>
      </c>
      <c r="B1885" s="10" t="s">
        <v>22</v>
      </c>
      <c r="C1885" s="10" t="s">
        <v>11</v>
      </c>
      <c r="D1885" s="10" t="s">
        <v>12</v>
      </c>
      <c r="E1885" s="4">
        <v>9</v>
      </c>
      <c r="F1885" s="4">
        <v>7425</v>
      </c>
      <c r="G1885" s="9">
        <v>1533.72</v>
      </c>
    </row>
    <row r="1886" spans="1:7" ht="15.6" x14ac:dyDescent="0.3">
      <c r="A1886" s="16">
        <v>44850</v>
      </c>
      <c r="B1886" s="10" t="s">
        <v>13</v>
      </c>
      <c r="C1886" s="10" t="s">
        <v>14</v>
      </c>
      <c r="D1886" s="10" t="s">
        <v>12</v>
      </c>
      <c r="E1886" s="4">
        <v>9</v>
      </c>
      <c r="F1886" s="4">
        <v>720</v>
      </c>
      <c r="G1886" s="9">
        <v>192.83</v>
      </c>
    </row>
    <row r="1887" spans="1:7" ht="15.6" x14ac:dyDescent="0.3">
      <c r="A1887" s="16">
        <v>45419</v>
      </c>
      <c r="B1887" s="10" t="s">
        <v>21</v>
      </c>
      <c r="C1887" s="10" t="s">
        <v>14</v>
      </c>
      <c r="D1887" s="10" t="s">
        <v>16</v>
      </c>
      <c r="E1887" s="4">
        <v>5</v>
      </c>
      <c r="F1887" s="4">
        <v>2985</v>
      </c>
      <c r="G1887" s="9">
        <v>698.22</v>
      </c>
    </row>
    <row r="1888" spans="1:7" ht="15.6" x14ac:dyDescent="0.3">
      <c r="A1888" s="16">
        <v>44565</v>
      </c>
      <c r="B1888" s="10" t="s">
        <v>23</v>
      </c>
      <c r="C1888" s="10" t="s">
        <v>14</v>
      </c>
      <c r="D1888" s="10" t="s">
        <v>9</v>
      </c>
      <c r="E1888" s="4">
        <v>9</v>
      </c>
      <c r="F1888" s="4">
        <v>711</v>
      </c>
      <c r="G1888" s="9">
        <v>200.11</v>
      </c>
    </row>
    <row r="1889" spans="1:7" ht="15.6" x14ac:dyDescent="0.3">
      <c r="A1889" s="16">
        <v>45517</v>
      </c>
      <c r="B1889" s="10" t="s">
        <v>7</v>
      </c>
      <c r="C1889" s="10" t="s">
        <v>8</v>
      </c>
      <c r="D1889" s="10" t="s">
        <v>15</v>
      </c>
      <c r="E1889" s="4">
        <v>6</v>
      </c>
      <c r="F1889" s="4">
        <v>6276</v>
      </c>
      <c r="G1889" s="9">
        <v>1396.25</v>
      </c>
    </row>
    <row r="1890" spans="1:7" ht="15.6" x14ac:dyDescent="0.3">
      <c r="A1890" s="16">
        <v>44939</v>
      </c>
      <c r="B1890" s="10" t="s">
        <v>10</v>
      </c>
      <c r="C1890" s="10" t="s">
        <v>11</v>
      </c>
      <c r="D1890" s="10" t="s">
        <v>12</v>
      </c>
      <c r="E1890" s="4">
        <v>7</v>
      </c>
      <c r="F1890" s="4">
        <v>7966</v>
      </c>
      <c r="G1890" s="9">
        <v>955.8</v>
      </c>
    </row>
    <row r="1891" spans="1:7" ht="15.6" x14ac:dyDescent="0.3">
      <c r="A1891" s="16">
        <v>44999</v>
      </c>
      <c r="B1891" s="10" t="s">
        <v>18</v>
      </c>
      <c r="C1891" s="10" t="s">
        <v>11</v>
      </c>
      <c r="D1891" s="10" t="s">
        <v>12</v>
      </c>
      <c r="E1891" s="4">
        <v>8</v>
      </c>
      <c r="F1891" s="4">
        <v>4200</v>
      </c>
      <c r="G1891" s="9">
        <v>854.89</v>
      </c>
    </row>
    <row r="1892" spans="1:7" ht="15.6" x14ac:dyDescent="0.3">
      <c r="A1892" s="16">
        <v>45429</v>
      </c>
      <c r="B1892" s="10" t="s">
        <v>23</v>
      </c>
      <c r="C1892" s="10" t="s">
        <v>14</v>
      </c>
      <c r="D1892" s="10" t="s">
        <v>12</v>
      </c>
      <c r="E1892" s="4">
        <v>7</v>
      </c>
      <c r="F1892" s="4">
        <v>455</v>
      </c>
      <c r="G1892" s="9">
        <v>80</v>
      </c>
    </row>
    <row r="1893" spans="1:7" ht="15.6" x14ac:dyDescent="0.3">
      <c r="A1893" s="16">
        <v>45580</v>
      </c>
      <c r="B1893" s="10" t="s">
        <v>22</v>
      </c>
      <c r="C1893" s="10" t="s">
        <v>11</v>
      </c>
      <c r="D1893" s="10" t="s">
        <v>15</v>
      </c>
      <c r="E1893" s="4">
        <v>8</v>
      </c>
      <c r="F1893" s="4">
        <v>5040</v>
      </c>
      <c r="G1893" s="9">
        <v>465.36</v>
      </c>
    </row>
    <row r="1894" spans="1:7" ht="15.6" x14ac:dyDescent="0.3">
      <c r="A1894" s="16">
        <v>45180</v>
      </c>
      <c r="B1894" s="10" t="s">
        <v>10</v>
      </c>
      <c r="C1894" s="10" t="s">
        <v>11</v>
      </c>
      <c r="D1894" s="10" t="s">
        <v>12</v>
      </c>
      <c r="E1894" s="4">
        <v>1</v>
      </c>
      <c r="F1894" s="4">
        <v>856</v>
      </c>
      <c r="G1894" s="9">
        <v>87.69</v>
      </c>
    </row>
    <row r="1895" spans="1:7" ht="15.6" x14ac:dyDescent="0.3">
      <c r="A1895" s="16">
        <v>45127</v>
      </c>
      <c r="B1895" s="10" t="s">
        <v>20</v>
      </c>
      <c r="C1895" s="10" t="s">
        <v>11</v>
      </c>
      <c r="D1895" s="10" t="s">
        <v>16</v>
      </c>
      <c r="E1895" s="4">
        <v>5</v>
      </c>
      <c r="F1895" s="4">
        <v>5230</v>
      </c>
      <c r="G1895" s="9">
        <v>385.77</v>
      </c>
    </row>
    <row r="1896" spans="1:7" ht="15.6" x14ac:dyDescent="0.3">
      <c r="A1896" s="16">
        <v>44639</v>
      </c>
      <c r="B1896" s="10" t="s">
        <v>23</v>
      </c>
      <c r="C1896" s="10" t="s">
        <v>14</v>
      </c>
      <c r="D1896" s="10" t="s">
        <v>15</v>
      </c>
      <c r="E1896" s="4">
        <v>5</v>
      </c>
      <c r="F1896" s="4">
        <v>4635</v>
      </c>
      <c r="G1896" s="9">
        <v>769.03</v>
      </c>
    </row>
    <row r="1897" spans="1:7" ht="15.6" x14ac:dyDescent="0.3">
      <c r="A1897" s="16">
        <v>45633</v>
      </c>
      <c r="B1897" s="10" t="s">
        <v>23</v>
      </c>
      <c r="C1897" s="10" t="s">
        <v>14</v>
      </c>
      <c r="D1897" s="10" t="s">
        <v>12</v>
      </c>
      <c r="E1897" s="4">
        <v>6</v>
      </c>
      <c r="F1897" s="4">
        <v>5508</v>
      </c>
      <c r="G1897" s="9">
        <v>360.28</v>
      </c>
    </row>
    <row r="1898" spans="1:7" ht="15.6" x14ac:dyDescent="0.3">
      <c r="A1898" s="16">
        <v>45083</v>
      </c>
      <c r="B1898" s="10" t="s">
        <v>21</v>
      </c>
      <c r="C1898" s="10" t="s">
        <v>14</v>
      </c>
      <c r="D1898" s="10" t="s">
        <v>9</v>
      </c>
      <c r="E1898" s="4">
        <v>1</v>
      </c>
      <c r="F1898" s="4">
        <v>258</v>
      </c>
      <c r="G1898" s="9">
        <v>27.01</v>
      </c>
    </row>
    <row r="1899" spans="1:7" ht="15.6" x14ac:dyDescent="0.3">
      <c r="A1899" s="16">
        <v>45120</v>
      </c>
      <c r="B1899" s="10" t="s">
        <v>21</v>
      </c>
      <c r="C1899" s="10" t="s">
        <v>14</v>
      </c>
      <c r="D1899" s="10" t="s">
        <v>12</v>
      </c>
      <c r="E1899" s="4">
        <v>1</v>
      </c>
      <c r="F1899" s="4">
        <v>677</v>
      </c>
      <c r="G1899" s="9">
        <v>88.41</v>
      </c>
    </row>
    <row r="1900" spans="1:7" ht="15.6" x14ac:dyDescent="0.3">
      <c r="A1900" s="16">
        <v>45117</v>
      </c>
      <c r="B1900" s="10" t="s">
        <v>20</v>
      </c>
      <c r="C1900" s="10" t="s">
        <v>11</v>
      </c>
      <c r="D1900" s="10" t="s">
        <v>16</v>
      </c>
      <c r="E1900" s="4">
        <v>5</v>
      </c>
      <c r="F1900" s="4">
        <v>4545</v>
      </c>
      <c r="G1900" s="9">
        <v>755.05</v>
      </c>
    </row>
    <row r="1901" spans="1:7" ht="15.6" x14ac:dyDescent="0.3">
      <c r="A1901" s="16">
        <v>45544</v>
      </c>
      <c r="B1901" s="10" t="s">
        <v>21</v>
      </c>
      <c r="C1901" s="10" t="s">
        <v>14</v>
      </c>
      <c r="D1901" s="10" t="s">
        <v>15</v>
      </c>
      <c r="E1901" s="4">
        <v>5</v>
      </c>
      <c r="F1901" s="4">
        <v>4370</v>
      </c>
      <c r="G1901" s="9">
        <v>1255.3599999999999</v>
      </c>
    </row>
    <row r="1902" spans="1:7" ht="15.6" x14ac:dyDescent="0.3">
      <c r="A1902" s="16">
        <v>44932</v>
      </c>
      <c r="B1902" s="10" t="s">
        <v>22</v>
      </c>
      <c r="C1902" s="10" t="s">
        <v>11</v>
      </c>
      <c r="D1902" s="10" t="s">
        <v>12</v>
      </c>
      <c r="E1902" s="4">
        <v>3</v>
      </c>
      <c r="F1902" s="4">
        <v>372</v>
      </c>
      <c r="G1902" s="9">
        <v>57.51</v>
      </c>
    </row>
    <row r="1903" spans="1:7" ht="15.6" x14ac:dyDescent="0.3">
      <c r="A1903" s="16">
        <v>45540</v>
      </c>
      <c r="B1903" s="10" t="s">
        <v>17</v>
      </c>
      <c r="C1903" s="10" t="s">
        <v>14</v>
      </c>
      <c r="D1903" s="10" t="s">
        <v>16</v>
      </c>
      <c r="E1903" s="4">
        <v>9</v>
      </c>
      <c r="F1903" s="4">
        <v>3177</v>
      </c>
      <c r="G1903" s="9">
        <v>629.96</v>
      </c>
    </row>
    <row r="1904" spans="1:7" ht="15.6" x14ac:dyDescent="0.3">
      <c r="A1904" s="16">
        <v>45035</v>
      </c>
      <c r="B1904" s="10" t="s">
        <v>7</v>
      </c>
      <c r="C1904" s="10" t="s">
        <v>8</v>
      </c>
      <c r="D1904" s="10" t="s">
        <v>15</v>
      </c>
      <c r="E1904" s="4">
        <v>7</v>
      </c>
      <c r="F1904" s="4">
        <v>1659</v>
      </c>
      <c r="G1904" s="9">
        <v>127.48</v>
      </c>
    </row>
    <row r="1905" spans="1:7" ht="15.6" x14ac:dyDescent="0.3">
      <c r="A1905" s="16">
        <v>45036</v>
      </c>
      <c r="B1905" s="10" t="s">
        <v>13</v>
      </c>
      <c r="C1905" s="10" t="s">
        <v>14</v>
      </c>
      <c r="D1905" s="10" t="s">
        <v>15</v>
      </c>
      <c r="E1905" s="4">
        <v>3</v>
      </c>
      <c r="F1905" s="4">
        <v>3360</v>
      </c>
      <c r="G1905" s="9">
        <v>759.31</v>
      </c>
    </row>
    <row r="1906" spans="1:7" ht="15.6" x14ac:dyDescent="0.3">
      <c r="A1906" s="16">
        <v>44987</v>
      </c>
      <c r="B1906" s="10" t="s">
        <v>21</v>
      </c>
      <c r="C1906" s="10" t="s">
        <v>14</v>
      </c>
      <c r="D1906" s="10" t="s">
        <v>16</v>
      </c>
      <c r="E1906" s="4">
        <v>2</v>
      </c>
      <c r="F1906" s="4">
        <v>1132</v>
      </c>
      <c r="G1906" s="9">
        <v>290.56</v>
      </c>
    </row>
    <row r="1907" spans="1:7" ht="15.6" x14ac:dyDescent="0.3">
      <c r="A1907" s="16">
        <v>45570</v>
      </c>
      <c r="B1907" s="10" t="s">
        <v>19</v>
      </c>
      <c r="C1907" s="10" t="s">
        <v>14</v>
      </c>
      <c r="D1907" s="10" t="s">
        <v>12</v>
      </c>
      <c r="E1907" s="4">
        <v>5</v>
      </c>
      <c r="F1907" s="4">
        <v>1815</v>
      </c>
      <c r="G1907" s="9">
        <v>468.62</v>
      </c>
    </row>
    <row r="1908" spans="1:7" ht="15.6" x14ac:dyDescent="0.3">
      <c r="A1908" s="16">
        <v>45241</v>
      </c>
      <c r="B1908" s="10" t="s">
        <v>10</v>
      </c>
      <c r="C1908" s="10" t="s">
        <v>11</v>
      </c>
      <c r="D1908" s="10" t="s">
        <v>9</v>
      </c>
      <c r="E1908" s="4">
        <v>1</v>
      </c>
      <c r="F1908" s="4">
        <v>459</v>
      </c>
      <c r="G1908" s="9">
        <v>125.19</v>
      </c>
    </row>
    <row r="1909" spans="1:7" ht="15.6" x14ac:dyDescent="0.3">
      <c r="A1909" s="16">
        <v>45245</v>
      </c>
      <c r="B1909" s="10" t="s">
        <v>21</v>
      </c>
      <c r="C1909" s="10" t="s">
        <v>14</v>
      </c>
      <c r="D1909" s="10" t="s">
        <v>16</v>
      </c>
      <c r="E1909" s="4">
        <v>1</v>
      </c>
      <c r="F1909" s="4">
        <v>1128</v>
      </c>
      <c r="G1909" s="9">
        <v>73.739999999999995</v>
      </c>
    </row>
    <row r="1910" spans="1:7" ht="15.6" x14ac:dyDescent="0.3">
      <c r="A1910" s="16">
        <v>45595</v>
      </c>
      <c r="B1910" s="10" t="s">
        <v>20</v>
      </c>
      <c r="C1910" s="10" t="s">
        <v>11</v>
      </c>
      <c r="D1910" s="10" t="s">
        <v>12</v>
      </c>
      <c r="E1910" s="4">
        <v>6</v>
      </c>
      <c r="F1910" s="4">
        <v>1170</v>
      </c>
      <c r="G1910" s="9">
        <v>104.63</v>
      </c>
    </row>
    <row r="1911" spans="1:7" ht="15.6" x14ac:dyDescent="0.3">
      <c r="A1911" s="16">
        <v>44774</v>
      </c>
      <c r="B1911" s="10" t="s">
        <v>19</v>
      </c>
      <c r="C1911" s="10" t="s">
        <v>14</v>
      </c>
      <c r="D1911" s="10" t="s">
        <v>9</v>
      </c>
      <c r="E1911" s="4">
        <v>5</v>
      </c>
      <c r="F1911" s="4">
        <v>4420</v>
      </c>
      <c r="G1911" s="9">
        <v>380.69</v>
      </c>
    </row>
    <row r="1912" spans="1:7" ht="15.6" x14ac:dyDescent="0.3">
      <c r="A1912" s="16">
        <v>45351</v>
      </c>
      <c r="B1912" s="10" t="s">
        <v>21</v>
      </c>
      <c r="C1912" s="10" t="s">
        <v>14</v>
      </c>
      <c r="D1912" s="10" t="s">
        <v>16</v>
      </c>
      <c r="E1912" s="4">
        <v>6</v>
      </c>
      <c r="F1912" s="4">
        <v>456</v>
      </c>
      <c r="G1912" s="9">
        <v>69.150000000000006</v>
      </c>
    </row>
    <row r="1913" spans="1:7" ht="15.6" x14ac:dyDescent="0.3">
      <c r="A1913" s="16">
        <v>45347</v>
      </c>
      <c r="B1913" s="10" t="s">
        <v>13</v>
      </c>
      <c r="C1913" s="10" t="s">
        <v>14</v>
      </c>
      <c r="D1913" s="10" t="s">
        <v>9</v>
      </c>
      <c r="E1913" s="4">
        <v>2</v>
      </c>
      <c r="F1913" s="4">
        <v>1458</v>
      </c>
      <c r="G1913" s="9">
        <v>154.79</v>
      </c>
    </row>
    <row r="1914" spans="1:7" ht="15.6" x14ac:dyDescent="0.3">
      <c r="A1914" s="16">
        <v>45467</v>
      </c>
      <c r="B1914" s="10" t="s">
        <v>20</v>
      </c>
      <c r="C1914" s="10" t="s">
        <v>11</v>
      </c>
      <c r="D1914" s="10" t="s">
        <v>16</v>
      </c>
      <c r="E1914" s="4">
        <v>7</v>
      </c>
      <c r="F1914" s="4">
        <v>2989</v>
      </c>
      <c r="G1914" s="9">
        <v>197.58</v>
      </c>
    </row>
    <row r="1915" spans="1:7" ht="15.6" x14ac:dyDescent="0.3">
      <c r="A1915" s="16">
        <v>45646</v>
      </c>
      <c r="B1915" s="10" t="s">
        <v>17</v>
      </c>
      <c r="C1915" s="10" t="s">
        <v>14</v>
      </c>
      <c r="D1915" s="10" t="s">
        <v>9</v>
      </c>
      <c r="E1915" s="4">
        <v>4</v>
      </c>
      <c r="F1915" s="4">
        <v>3424</v>
      </c>
      <c r="G1915" s="9">
        <v>845.68</v>
      </c>
    </row>
    <row r="1916" spans="1:7" ht="15.6" x14ac:dyDescent="0.3">
      <c r="A1916" s="16">
        <v>45579</v>
      </c>
      <c r="B1916" s="10" t="s">
        <v>10</v>
      </c>
      <c r="C1916" s="10" t="s">
        <v>11</v>
      </c>
      <c r="D1916" s="10" t="s">
        <v>16</v>
      </c>
      <c r="E1916" s="4">
        <v>2</v>
      </c>
      <c r="F1916" s="4">
        <v>1226</v>
      </c>
      <c r="G1916" s="9">
        <v>124.25</v>
      </c>
    </row>
    <row r="1917" spans="1:7" ht="15.6" x14ac:dyDescent="0.3">
      <c r="A1917" s="16">
        <v>45612</v>
      </c>
      <c r="B1917" s="10" t="s">
        <v>23</v>
      </c>
      <c r="C1917" s="10" t="s">
        <v>14</v>
      </c>
      <c r="D1917" s="10" t="s">
        <v>9</v>
      </c>
      <c r="E1917" s="4">
        <v>8</v>
      </c>
      <c r="F1917" s="4">
        <v>6760</v>
      </c>
      <c r="G1917" s="9">
        <v>1097.6300000000001</v>
      </c>
    </row>
    <row r="1918" spans="1:7" ht="15.6" x14ac:dyDescent="0.3">
      <c r="A1918" s="16">
        <v>45194</v>
      </c>
      <c r="B1918" s="10" t="s">
        <v>21</v>
      </c>
      <c r="C1918" s="10" t="s">
        <v>14</v>
      </c>
      <c r="D1918" s="10" t="s">
        <v>16</v>
      </c>
      <c r="E1918" s="4">
        <v>1</v>
      </c>
      <c r="F1918" s="4">
        <v>111</v>
      </c>
      <c r="G1918" s="9">
        <v>13.61</v>
      </c>
    </row>
    <row r="1919" spans="1:7" ht="15.6" x14ac:dyDescent="0.3">
      <c r="A1919" s="16">
        <v>45086</v>
      </c>
      <c r="B1919" s="10" t="s">
        <v>7</v>
      </c>
      <c r="C1919" s="10" t="s">
        <v>8</v>
      </c>
      <c r="D1919" s="10" t="s">
        <v>9</v>
      </c>
      <c r="E1919" s="4">
        <v>5</v>
      </c>
      <c r="F1919" s="4">
        <v>3275</v>
      </c>
      <c r="G1919" s="9">
        <v>222.29</v>
      </c>
    </row>
    <row r="1920" spans="1:7" ht="15.6" x14ac:dyDescent="0.3">
      <c r="A1920" s="16">
        <v>45543</v>
      </c>
      <c r="B1920" s="10" t="s">
        <v>18</v>
      </c>
      <c r="C1920" s="10" t="s">
        <v>11</v>
      </c>
      <c r="D1920" s="10" t="s">
        <v>9</v>
      </c>
      <c r="E1920" s="4">
        <v>3</v>
      </c>
      <c r="F1920" s="4">
        <v>2508</v>
      </c>
      <c r="G1920" s="9">
        <v>498.69</v>
      </c>
    </row>
    <row r="1921" spans="1:7" ht="15.6" x14ac:dyDescent="0.3">
      <c r="A1921" s="16">
        <v>45536</v>
      </c>
      <c r="B1921" s="10" t="s">
        <v>22</v>
      </c>
      <c r="C1921" s="10" t="s">
        <v>11</v>
      </c>
      <c r="D1921" s="10" t="s">
        <v>15</v>
      </c>
      <c r="E1921" s="4">
        <v>8</v>
      </c>
      <c r="F1921" s="4">
        <v>904</v>
      </c>
      <c r="G1921" s="9">
        <v>202.35</v>
      </c>
    </row>
    <row r="1922" spans="1:7" ht="15.6" x14ac:dyDescent="0.3">
      <c r="A1922" s="16">
        <v>45540</v>
      </c>
      <c r="B1922" s="10" t="s">
        <v>7</v>
      </c>
      <c r="C1922" s="10" t="s">
        <v>8</v>
      </c>
      <c r="D1922" s="10" t="s">
        <v>16</v>
      </c>
      <c r="E1922" s="4">
        <v>3</v>
      </c>
      <c r="F1922" s="4">
        <v>1506</v>
      </c>
      <c r="G1922" s="9">
        <v>427.84</v>
      </c>
    </row>
    <row r="1923" spans="1:7" ht="15.6" x14ac:dyDescent="0.3">
      <c r="A1923" s="16">
        <v>44857</v>
      </c>
      <c r="B1923" s="10" t="s">
        <v>21</v>
      </c>
      <c r="C1923" s="10" t="s">
        <v>14</v>
      </c>
      <c r="D1923" s="10" t="s">
        <v>15</v>
      </c>
      <c r="E1923" s="4">
        <v>3</v>
      </c>
      <c r="F1923" s="4">
        <v>987</v>
      </c>
      <c r="G1923" s="9">
        <v>97.01</v>
      </c>
    </row>
    <row r="1924" spans="1:7" ht="15.6" x14ac:dyDescent="0.3">
      <c r="A1924" s="16">
        <v>44590</v>
      </c>
      <c r="B1924" s="10" t="s">
        <v>21</v>
      </c>
      <c r="C1924" s="10" t="s">
        <v>14</v>
      </c>
      <c r="D1924" s="10" t="s">
        <v>12</v>
      </c>
      <c r="E1924" s="4">
        <v>7</v>
      </c>
      <c r="F1924" s="4">
        <v>2968</v>
      </c>
      <c r="G1924" s="9">
        <v>728.94</v>
      </c>
    </row>
    <row r="1925" spans="1:7" ht="15.6" x14ac:dyDescent="0.3">
      <c r="A1925" s="16">
        <v>44637</v>
      </c>
      <c r="B1925" s="10" t="s">
        <v>10</v>
      </c>
      <c r="C1925" s="10" t="s">
        <v>11</v>
      </c>
      <c r="D1925" s="10" t="s">
        <v>15</v>
      </c>
      <c r="E1925" s="4">
        <v>5</v>
      </c>
      <c r="F1925" s="4">
        <v>4200</v>
      </c>
      <c r="G1925" s="9">
        <v>746.86</v>
      </c>
    </row>
    <row r="1926" spans="1:7" ht="15.6" x14ac:dyDescent="0.3">
      <c r="A1926" s="16">
        <v>45307</v>
      </c>
      <c r="B1926" s="10" t="s">
        <v>19</v>
      </c>
      <c r="C1926" s="10" t="s">
        <v>14</v>
      </c>
      <c r="D1926" s="10" t="s">
        <v>9</v>
      </c>
      <c r="E1926" s="4">
        <v>5</v>
      </c>
      <c r="F1926" s="4">
        <v>1645</v>
      </c>
      <c r="G1926" s="9">
        <v>313.66000000000003</v>
      </c>
    </row>
    <row r="1927" spans="1:7" ht="15.6" x14ac:dyDescent="0.3">
      <c r="A1927" s="16">
        <v>45621</v>
      </c>
      <c r="B1927" s="10" t="s">
        <v>7</v>
      </c>
      <c r="C1927" s="10" t="s">
        <v>8</v>
      </c>
      <c r="D1927" s="10" t="s">
        <v>12</v>
      </c>
      <c r="E1927" s="4">
        <v>3</v>
      </c>
      <c r="F1927" s="4">
        <v>3282</v>
      </c>
      <c r="G1927" s="9">
        <v>492.59</v>
      </c>
    </row>
    <row r="1928" spans="1:7" ht="15.6" x14ac:dyDescent="0.3">
      <c r="A1928" s="16">
        <v>44605</v>
      </c>
      <c r="B1928" s="10" t="s">
        <v>18</v>
      </c>
      <c r="C1928" s="10" t="s">
        <v>11</v>
      </c>
      <c r="D1928" s="10" t="s">
        <v>12</v>
      </c>
      <c r="E1928" s="4">
        <v>9</v>
      </c>
      <c r="F1928" s="4">
        <v>4914</v>
      </c>
      <c r="G1928" s="9">
        <v>1160.45</v>
      </c>
    </row>
    <row r="1929" spans="1:7" ht="15.6" x14ac:dyDescent="0.3">
      <c r="A1929" s="16">
        <v>45015</v>
      </c>
      <c r="B1929" s="10" t="s">
        <v>23</v>
      </c>
      <c r="C1929" s="10" t="s">
        <v>14</v>
      </c>
      <c r="D1929" s="10" t="s">
        <v>9</v>
      </c>
      <c r="E1929" s="4">
        <v>6</v>
      </c>
      <c r="F1929" s="4">
        <v>3924</v>
      </c>
      <c r="G1929" s="9">
        <v>762.96</v>
      </c>
    </row>
    <row r="1930" spans="1:7" ht="15.6" x14ac:dyDescent="0.3">
      <c r="A1930" s="16">
        <v>45181</v>
      </c>
      <c r="B1930" s="10" t="s">
        <v>18</v>
      </c>
      <c r="C1930" s="10" t="s">
        <v>11</v>
      </c>
      <c r="D1930" s="10" t="s">
        <v>15</v>
      </c>
      <c r="E1930" s="4">
        <v>6</v>
      </c>
      <c r="F1930" s="4">
        <v>420</v>
      </c>
      <c r="G1930" s="9">
        <v>65.62</v>
      </c>
    </row>
    <row r="1931" spans="1:7" ht="15.6" x14ac:dyDescent="0.3">
      <c r="A1931" s="16">
        <v>45471</v>
      </c>
      <c r="B1931" s="10" t="s">
        <v>7</v>
      </c>
      <c r="C1931" s="10" t="s">
        <v>8</v>
      </c>
      <c r="D1931" s="10" t="s">
        <v>16</v>
      </c>
      <c r="E1931" s="4">
        <v>4</v>
      </c>
      <c r="F1931" s="4">
        <v>1544</v>
      </c>
      <c r="G1931" s="9">
        <v>106.02</v>
      </c>
    </row>
    <row r="1932" spans="1:7" ht="15.6" x14ac:dyDescent="0.3">
      <c r="A1932" s="16">
        <v>44802</v>
      </c>
      <c r="B1932" s="10" t="s">
        <v>18</v>
      </c>
      <c r="C1932" s="10" t="s">
        <v>11</v>
      </c>
      <c r="D1932" s="10" t="s">
        <v>12</v>
      </c>
      <c r="E1932" s="4">
        <v>2</v>
      </c>
      <c r="F1932" s="4">
        <v>2046</v>
      </c>
      <c r="G1932" s="9">
        <v>233.47</v>
      </c>
    </row>
    <row r="1933" spans="1:7" ht="15.6" x14ac:dyDescent="0.3">
      <c r="A1933" s="16">
        <v>45252</v>
      </c>
      <c r="B1933" s="10" t="s">
        <v>18</v>
      </c>
      <c r="C1933" s="10" t="s">
        <v>11</v>
      </c>
      <c r="D1933" s="10" t="s">
        <v>16</v>
      </c>
      <c r="E1933" s="4">
        <v>2</v>
      </c>
      <c r="F1933" s="4">
        <v>1548</v>
      </c>
      <c r="G1933" s="9">
        <v>157.47999999999999</v>
      </c>
    </row>
    <row r="1934" spans="1:7" ht="15.6" x14ac:dyDescent="0.3">
      <c r="A1934" s="16">
        <v>45056</v>
      </c>
      <c r="B1934" s="10" t="s">
        <v>22</v>
      </c>
      <c r="C1934" s="10" t="s">
        <v>11</v>
      </c>
      <c r="D1934" s="10" t="s">
        <v>9</v>
      </c>
      <c r="E1934" s="4">
        <v>4</v>
      </c>
      <c r="F1934" s="4">
        <v>3184</v>
      </c>
      <c r="G1934" s="9">
        <v>478.27</v>
      </c>
    </row>
    <row r="1935" spans="1:7" ht="15.6" x14ac:dyDescent="0.3">
      <c r="A1935" s="16">
        <v>45582</v>
      </c>
      <c r="B1935" s="10" t="s">
        <v>7</v>
      </c>
      <c r="C1935" s="10" t="s">
        <v>8</v>
      </c>
      <c r="D1935" s="10" t="s">
        <v>15</v>
      </c>
      <c r="E1935" s="4">
        <v>5</v>
      </c>
      <c r="F1935" s="4">
        <v>3385</v>
      </c>
      <c r="G1935" s="9">
        <v>774.86</v>
      </c>
    </row>
    <row r="1936" spans="1:7" ht="15.6" x14ac:dyDescent="0.3">
      <c r="A1936" s="16">
        <v>45210</v>
      </c>
      <c r="B1936" s="10" t="s">
        <v>20</v>
      </c>
      <c r="C1936" s="10" t="s">
        <v>11</v>
      </c>
      <c r="D1936" s="10" t="s">
        <v>9</v>
      </c>
      <c r="E1936" s="4">
        <v>1</v>
      </c>
      <c r="F1936" s="4">
        <v>59</v>
      </c>
      <c r="G1936" s="9">
        <v>10.32</v>
      </c>
    </row>
    <row r="1937" spans="1:7" ht="15.6" x14ac:dyDescent="0.3">
      <c r="A1937" s="16">
        <v>45430</v>
      </c>
      <c r="B1937" s="10" t="s">
        <v>20</v>
      </c>
      <c r="C1937" s="10" t="s">
        <v>11</v>
      </c>
      <c r="D1937" s="10" t="s">
        <v>15</v>
      </c>
      <c r="E1937" s="4">
        <v>8</v>
      </c>
      <c r="F1937" s="4">
        <v>5976</v>
      </c>
      <c r="G1937" s="9">
        <v>1016.99</v>
      </c>
    </row>
    <row r="1938" spans="1:7" ht="15.6" x14ac:dyDescent="0.3">
      <c r="A1938" s="16">
        <v>44956</v>
      </c>
      <c r="B1938" s="10" t="s">
        <v>10</v>
      </c>
      <c r="C1938" s="10" t="s">
        <v>11</v>
      </c>
      <c r="D1938" s="10" t="s">
        <v>16</v>
      </c>
      <c r="E1938" s="4">
        <v>3</v>
      </c>
      <c r="F1938" s="4">
        <v>1791</v>
      </c>
      <c r="G1938" s="9">
        <v>122.5</v>
      </c>
    </row>
    <row r="1939" spans="1:7" ht="15.6" x14ac:dyDescent="0.3">
      <c r="A1939" s="16">
        <v>44939</v>
      </c>
      <c r="B1939" s="10" t="s">
        <v>19</v>
      </c>
      <c r="C1939" s="10" t="s">
        <v>14</v>
      </c>
      <c r="D1939" s="10" t="s">
        <v>16</v>
      </c>
      <c r="E1939" s="4">
        <v>2</v>
      </c>
      <c r="F1939" s="4">
        <v>1644</v>
      </c>
      <c r="G1939" s="9">
        <v>189.32</v>
      </c>
    </row>
    <row r="1940" spans="1:7" ht="15.6" x14ac:dyDescent="0.3">
      <c r="A1940" s="16">
        <v>45429</v>
      </c>
      <c r="B1940" s="10" t="s">
        <v>13</v>
      </c>
      <c r="C1940" s="10" t="s">
        <v>14</v>
      </c>
      <c r="D1940" s="10" t="s">
        <v>16</v>
      </c>
      <c r="E1940" s="4">
        <v>8</v>
      </c>
      <c r="F1940" s="4">
        <v>6584</v>
      </c>
      <c r="G1940" s="9">
        <v>544.62</v>
      </c>
    </row>
    <row r="1941" spans="1:7" ht="15.6" x14ac:dyDescent="0.3">
      <c r="A1941" s="16">
        <v>44776</v>
      </c>
      <c r="B1941" s="10" t="s">
        <v>18</v>
      </c>
      <c r="C1941" s="10" t="s">
        <v>11</v>
      </c>
      <c r="D1941" s="10" t="s">
        <v>12</v>
      </c>
      <c r="E1941" s="4">
        <v>5</v>
      </c>
      <c r="F1941" s="4">
        <v>1620</v>
      </c>
      <c r="G1941" s="9">
        <v>325.87</v>
      </c>
    </row>
    <row r="1942" spans="1:7" ht="15.6" x14ac:dyDescent="0.3">
      <c r="A1942" s="16">
        <v>45328</v>
      </c>
      <c r="B1942" s="10" t="s">
        <v>10</v>
      </c>
      <c r="C1942" s="10" t="s">
        <v>11</v>
      </c>
      <c r="D1942" s="10" t="s">
        <v>16</v>
      </c>
      <c r="E1942" s="4">
        <v>9</v>
      </c>
      <c r="F1942" s="4">
        <v>2736</v>
      </c>
      <c r="G1942" s="9">
        <v>407.22</v>
      </c>
    </row>
    <row r="1943" spans="1:7" ht="15.6" x14ac:dyDescent="0.3">
      <c r="A1943" s="16">
        <v>45393</v>
      </c>
      <c r="B1943" s="10" t="s">
        <v>20</v>
      </c>
      <c r="C1943" s="10" t="s">
        <v>11</v>
      </c>
      <c r="D1943" s="10" t="s">
        <v>15</v>
      </c>
      <c r="E1943" s="4">
        <v>4</v>
      </c>
      <c r="F1943" s="4">
        <v>1064</v>
      </c>
      <c r="G1943" s="9">
        <v>274.47000000000003</v>
      </c>
    </row>
    <row r="1944" spans="1:7" ht="15.6" x14ac:dyDescent="0.3">
      <c r="A1944" s="16">
        <v>45461</v>
      </c>
      <c r="B1944" s="10" t="s">
        <v>17</v>
      </c>
      <c r="C1944" s="10" t="s">
        <v>14</v>
      </c>
      <c r="D1944" s="10" t="s">
        <v>15</v>
      </c>
      <c r="E1944" s="4">
        <v>7</v>
      </c>
      <c r="F1944" s="4">
        <v>2667</v>
      </c>
      <c r="G1944" s="9">
        <v>363.5</v>
      </c>
    </row>
    <row r="1945" spans="1:7" ht="15.6" x14ac:dyDescent="0.3">
      <c r="A1945" s="16">
        <v>45019</v>
      </c>
      <c r="B1945" s="10" t="s">
        <v>18</v>
      </c>
      <c r="C1945" s="10" t="s">
        <v>11</v>
      </c>
      <c r="D1945" s="10" t="s">
        <v>15</v>
      </c>
      <c r="E1945" s="4">
        <v>3</v>
      </c>
      <c r="F1945" s="4">
        <v>735</v>
      </c>
      <c r="G1945" s="9">
        <v>217.79</v>
      </c>
    </row>
    <row r="1946" spans="1:7" ht="15.6" x14ac:dyDescent="0.3">
      <c r="A1946" s="16">
        <v>45644</v>
      </c>
      <c r="B1946" s="10" t="s">
        <v>23</v>
      </c>
      <c r="C1946" s="10" t="s">
        <v>14</v>
      </c>
      <c r="D1946" s="10" t="s">
        <v>12</v>
      </c>
      <c r="E1946" s="4">
        <v>1</v>
      </c>
      <c r="F1946" s="4">
        <v>58</v>
      </c>
      <c r="G1946" s="9">
        <v>11.25</v>
      </c>
    </row>
    <row r="1947" spans="1:7" ht="15.6" x14ac:dyDescent="0.3">
      <c r="A1947" s="16">
        <v>45041</v>
      </c>
      <c r="B1947" s="10" t="s">
        <v>17</v>
      </c>
      <c r="C1947" s="10" t="s">
        <v>14</v>
      </c>
      <c r="D1947" s="10" t="s">
        <v>15</v>
      </c>
      <c r="E1947" s="4">
        <v>7</v>
      </c>
      <c r="F1947" s="4">
        <v>3136</v>
      </c>
      <c r="G1947" s="9">
        <v>850.3</v>
      </c>
    </row>
    <row r="1948" spans="1:7" ht="15.6" x14ac:dyDescent="0.3">
      <c r="A1948" s="16">
        <v>45186</v>
      </c>
      <c r="B1948" s="10" t="s">
        <v>10</v>
      </c>
      <c r="C1948" s="10" t="s">
        <v>11</v>
      </c>
      <c r="D1948" s="10" t="s">
        <v>12</v>
      </c>
      <c r="E1948" s="4">
        <v>4</v>
      </c>
      <c r="F1948" s="4">
        <v>3936</v>
      </c>
      <c r="G1948" s="9">
        <v>374.34</v>
      </c>
    </row>
    <row r="1949" spans="1:7" ht="15.6" x14ac:dyDescent="0.3">
      <c r="A1949" s="16">
        <v>44888</v>
      </c>
      <c r="B1949" s="10" t="s">
        <v>21</v>
      </c>
      <c r="C1949" s="10" t="s">
        <v>14</v>
      </c>
      <c r="D1949" s="10" t="s">
        <v>12</v>
      </c>
      <c r="E1949" s="4">
        <v>9</v>
      </c>
      <c r="F1949" s="4">
        <v>6102</v>
      </c>
      <c r="G1949" s="9">
        <v>947.91</v>
      </c>
    </row>
    <row r="1950" spans="1:7" ht="15.6" x14ac:dyDescent="0.3">
      <c r="A1950" s="16">
        <v>45429</v>
      </c>
      <c r="B1950" s="10" t="s">
        <v>21</v>
      </c>
      <c r="C1950" s="10" t="s">
        <v>14</v>
      </c>
      <c r="D1950" s="10" t="s">
        <v>9</v>
      </c>
      <c r="E1950" s="4">
        <v>8</v>
      </c>
      <c r="F1950" s="4">
        <v>9408</v>
      </c>
      <c r="G1950" s="9">
        <v>552.44000000000005</v>
      </c>
    </row>
    <row r="1951" spans="1:7" ht="15.6" x14ac:dyDescent="0.3">
      <c r="A1951" s="16">
        <v>44909</v>
      </c>
      <c r="B1951" s="10" t="s">
        <v>10</v>
      </c>
      <c r="C1951" s="10" t="s">
        <v>11</v>
      </c>
      <c r="D1951" s="10" t="s">
        <v>15</v>
      </c>
      <c r="E1951" s="4">
        <v>9</v>
      </c>
      <c r="F1951" s="4">
        <v>7875</v>
      </c>
      <c r="G1951" s="9">
        <v>1243.56</v>
      </c>
    </row>
    <row r="1952" spans="1:7" ht="15.6" x14ac:dyDescent="0.3">
      <c r="A1952" s="16">
        <v>45578</v>
      </c>
      <c r="B1952" s="10" t="s">
        <v>22</v>
      </c>
      <c r="C1952" s="10" t="s">
        <v>11</v>
      </c>
      <c r="D1952" s="10" t="s">
        <v>9</v>
      </c>
      <c r="E1952" s="4">
        <v>9</v>
      </c>
      <c r="F1952" s="4">
        <v>9900</v>
      </c>
      <c r="G1952" s="9">
        <v>576.79999999999995</v>
      </c>
    </row>
    <row r="1953" spans="1:7" ht="15.6" x14ac:dyDescent="0.3">
      <c r="A1953" s="16">
        <v>45581</v>
      </c>
      <c r="B1953" s="10" t="s">
        <v>22</v>
      </c>
      <c r="C1953" s="10" t="s">
        <v>11</v>
      </c>
      <c r="D1953" s="10" t="s">
        <v>9</v>
      </c>
      <c r="E1953" s="4">
        <v>2</v>
      </c>
      <c r="F1953" s="4">
        <v>430</v>
      </c>
      <c r="G1953" s="9">
        <v>114.91</v>
      </c>
    </row>
    <row r="1954" spans="1:7" ht="15.6" x14ac:dyDescent="0.3">
      <c r="A1954" s="16">
        <v>45187</v>
      </c>
      <c r="B1954" s="10" t="s">
        <v>10</v>
      </c>
      <c r="C1954" s="10" t="s">
        <v>11</v>
      </c>
      <c r="D1954" s="10" t="s">
        <v>15</v>
      </c>
      <c r="E1954" s="4">
        <v>3</v>
      </c>
      <c r="F1954" s="4">
        <v>813</v>
      </c>
      <c r="G1954" s="9">
        <v>238.1</v>
      </c>
    </row>
    <row r="1955" spans="1:7" ht="15.6" x14ac:dyDescent="0.3">
      <c r="A1955" s="16">
        <v>45269</v>
      </c>
      <c r="B1955" s="10" t="s">
        <v>17</v>
      </c>
      <c r="C1955" s="10" t="s">
        <v>14</v>
      </c>
      <c r="D1955" s="10" t="s">
        <v>15</v>
      </c>
      <c r="E1955" s="4">
        <v>4</v>
      </c>
      <c r="F1955" s="4">
        <v>4176</v>
      </c>
      <c r="G1955" s="9">
        <v>980.11</v>
      </c>
    </row>
    <row r="1956" spans="1:7" ht="15.6" x14ac:dyDescent="0.3">
      <c r="A1956" s="16">
        <v>45201</v>
      </c>
      <c r="B1956" s="10" t="s">
        <v>17</v>
      </c>
      <c r="C1956" s="10" t="s">
        <v>14</v>
      </c>
      <c r="D1956" s="10" t="s">
        <v>15</v>
      </c>
      <c r="E1956" s="4">
        <v>4</v>
      </c>
      <c r="F1956" s="4">
        <v>3084</v>
      </c>
      <c r="G1956" s="9">
        <v>348.38</v>
      </c>
    </row>
    <row r="1957" spans="1:7" ht="15.6" x14ac:dyDescent="0.3">
      <c r="A1957" s="16">
        <v>44651</v>
      </c>
      <c r="B1957" s="10" t="s">
        <v>10</v>
      </c>
      <c r="C1957" s="10" t="s">
        <v>11</v>
      </c>
      <c r="D1957" s="10" t="s">
        <v>16</v>
      </c>
      <c r="E1957" s="4">
        <v>7</v>
      </c>
      <c r="F1957" s="4">
        <v>8008</v>
      </c>
      <c r="G1957" s="9">
        <v>1593.65</v>
      </c>
    </row>
    <row r="1958" spans="1:7" ht="15.6" x14ac:dyDescent="0.3">
      <c r="A1958" s="16">
        <v>45455</v>
      </c>
      <c r="B1958" s="10" t="s">
        <v>19</v>
      </c>
      <c r="C1958" s="10" t="s">
        <v>14</v>
      </c>
      <c r="D1958" s="10" t="s">
        <v>15</v>
      </c>
      <c r="E1958" s="4">
        <v>4</v>
      </c>
      <c r="F1958" s="4">
        <v>4608</v>
      </c>
      <c r="G1958" s="9">
        <v>963.5</v>
      </c>
    </row>
    <row r="1959" spans="1:7" ht="15.6" x14ac:dyDescent="0.3">
      <c r="A1959" s="16">
        <v>45459</v>
      </c>
      <c r="B1959" s="10" t="s">
        <v>18</v>
      </c>
      <c r="C1959" s="10" t="s">
        <v>11</v>
      </c>
      <c r="D1959" s="10" t="s">
        <v>16</v>
      </c>
      <c r="E1959" s="4">
        <v>4</v>
      </c>
      <c r="F1959" s="4">
        <v>4356</v>
      </c>
      <c r="G1959" s="9">
        <v>614.62</v>
      </c>
    </row>
    <row r="1960" spans="1:7" ht="15.6" x14ac:dyDescent="0.3">
      <c r="A1960" s="16">
        <v>45173</v>
      </c>
      <c r="B1960" s="10" t="s">
        <v>7</v>
      </c>
      <c r="C1960" s="10" t="s">
        <v>8</v>
      </c>
      <c r="D1960" s="10" t="s">
        <v>15</v>
      </c>
      <c r="E1960" s="4">
        <v>1</v>
      </c>
      <c r="F1960" s="4">
        <v>566</v>
      </c>
      <c r="G1960" s="9">
        <v>169.17</v>
      </c>
    </row>
    <row r="1961" spans="1:7" ht="15.6" x14ac:dyDescent="0.3">
      <c r="A1961" s="16">
        <v>44897</v>
      </c>
      <c r="B1961" s="10" t="s">
        <v>23</v>
      </c>
      <c r="C1961" s="10" t="s">
        <v>14</v>
      </c>
      <c r="D1961" s="10" t="s">
        <v>12</v>
      </c>
      <c r="E1961" s="4">
        <v>7</v>
      </c>
      <c r="F1961" s="4">
        <v>945</v>
      </c>
      <c r="G1961" s="9">
        <v>75.209999999999994</v>
      </c>
    </row>
    <row r="1962" spans="1:7" ht="15.6" x14ac:dyDescent="0.3">
      <c r="A1962" s="16">
        <v>44877</v>
      </c>
      <c r="B1962" s="10" t="s">
        <v>19</v>
      </c>
      <c r="C1962" s="10" t="s">
        <v>14</v>
      </c>
      <c r="D1962" s="10" t="s">
        <v>9</v>
      </c>
      <c r="E1962" s="4">
        <v>4</v>
      </c>
      <c r="F1962" s="4">
        <v>2200</v>
      </c>
      <c r="G1962" s="9">
        <v>484.33</v>
      </c>
    </row>
    <row r="1963" spans="1:7" ht="15.6" x14ac:dyDescent="0.3">
      <c r="A1963" s="16">
        <v>45656</v>
      </c>
      <c r="B1963" s="10" t="s">
        <v>10</v>
      </c>
      <c r="C1963" s="10" t="s">
        <v>11</v>
      </c>
      <c r="D1963" s="10" t="s">
        <v>9</v>
      </c>
      <c r="E1963" s="4">
        <v>1</v>
      </c>
      <c r="F1963" s="4">
        <v>746</v>
      </c>
      <c r="G1963" s="9">
        <v>131.25</v>
      </c>
    </row>
    <row r="1964" spans="1:7" ht="15.6" x14ac:dyDescent="0.3">
      <c r="A1964" s="16">
        <v>45632</v>
      </c>
      <c r="B1964" s="10" t="s">
        <v>20</v>
      </c>
      <c r="C1964" s="10" t="s">
        <v>11</v>
      </c>
      <c r="D1964" s="10" t="s">
        <v>12</v>
      </c>
      <c r="E1964" s="4">
        <v>5</v>
      </c>
      <c r="F1964" s="4">
        <v>3505</v>
      </c>
      <c r="G1964" s="9">
        <v>678.18</v>
      </c>
    </row>
    <row r="1965" spans="1:7" ht="15.6" x14ac:dyDescent="0.3">
      <c r="A1965" s="16">
        <v>45438</v>
      </c>
      <c r="B1965" s="10" t="s">
        <v>20</v>
      </c>
      <c r="C1965" s="10" t="s">
        <v>11</v>
      </c>
      <c r="D1965" s="10" t="s">
        <v>12</v>
      </c>
      <c r="E1965" s="4">
        <v>5</v>
      </c>
      <c r="F1965" s="4">
        <v>4795</v>
      </c>
      <c r="G1965" s="9">
        <v>819.12</v>
      </c>
    </row>
    <row r="1966" spans="1:7" ht="15.6" x14ac:dyDescent="0.3">
      <c r="A1966" s="16">
        <v>45585</v>
      </c>
      <c r="B1966" s="10" t="s">
        <v>20</v>
      </c>
      <c r="C1966" s="10" t="s">
        <v>11</v>
      </c>
      <c r="D1966" s="10" t="s">
        <v>9</v>
      </c>
      <c r="E1966" s="4">
        <v>5</v>
      </c>
      <c r="F1966" s="4">
        <v>4590</v>
      </c>
      <c r="G1966" s="9">
        <v>650.04999999999995</v>
      </c>
    </row>
    <row r="1967" spans="1:7" ht="15.6" x14ac:dyDescent="0.3">
      <c r="A1967" s="16">
        <v>45050</v>
      </c>
      <c r="B1967" s="10" t="s">
        <v>20</v>
      </c>
      <c r="C1967" s="10" t="s">
        <v>11</v>
      </c>
      <c r="D1967" s="10" t="s">
        <v>9</v>
      </c>
      <c r="E1967" s="4">
        <v>4</v>
      </c>
      <c r="F1967" s="4">
        <v>2092</v>
      </c>
      <c r="G1967" s="9">
        <v>467.02</v>
      </c>
    </row>
    <row r="1968" spans="1:7" ht="15.6" x14ac:dyDescent="0.3">
      <c r="A1968" s="16">
        <v>45421</v>
      </c>
      <c r="B1968" s="10" t="s">
        <v>10</v>
      </c>
      <c r="C1968" s="10" t="s">
        <v>11</v>
      </c>
      <c r="D1968" s="10" t="s">
        <v>15</v>
      </c>
      <c r="E1968" s="4">
        <v>8</v>
      </c>
      <c r="F1968" s="4">
        <v>3568</v>
      </c>
      <c r="G1968" s="9">
        <v>334.13</v>
      </c>
    </row>
    <row r="1969" spans="1:7" ht="15.6" x14ac:dyDescent="0.3">
      <c r="A1969" s="16">
        <v>45267</v>
      </c>
      <c r="B1969" s="10" t="s">
        <v>21</v>
      </c>
      <c r="C1969" s="10" t="s">
        <v>14</v>
      </c>
      <c r="D1969" s="10" t="s">
        <v>16</v>
      </c>
      <c r="E1969" s="4">
        <v>9</v>
      </c>
      <c r="F1969" s="4">
        <v>10404</v>
      </c>
      <c r="G1969" s="9">
        <v>2028.21</v>
      </c>
    </row>
    <row r="1970" spans="1:7" ht="15.6" x14ac:dyDescent="0.3">
      <c r="A1970" s="16">
        <v>44905</v>
      </c>
      <c r="B1970" s="10" t="s">
        <v>7</v>
      </c>
      <c r="C1970" s="10" t="s">
        <v>8</v>
      </c>
      <c r="D1970" s="10" t="s">
        <v>15</v>
      </c>
      <c r="E1970" s="4">
        <v>9</v>
      </c>
      <c r="F1970" s="4">
        <v>7029</v>
      </c>
      <c r="G1970" s="9">
        <v>1005.58</v>
      </c>
    </row>
    <row r="1971" spans="1:7" ht="15.6" x14ac:dyDescent="0.3">
      <c r="A1971" s="16">
        <v>44886</v>
      </c>
      <c r="B1971" s="10" t="s">
        <v>23</v>
      </c>
      <c r="C1971" s="10" t="s">
        <v>14</v>
      </c>
      <c r="D1971" s="10" t="s">
        <v>16</v>
      </c>
      <c r="E1971" s="4">
        <v>8</v>
      </c>
      <c r="F1971" s="4">
        <v>664</v>
      </c>
      <c r="G1971" s="9">
        <v>126.6</v>
      </c>
    </row>
    <row r="1972" spans="1:7" ht="15.6" x14ac:dyDescent="0.3">
      <c r="A1972" s="16">
        <v>45616</v>
      </c>
      <c r="B1972" s="10" t="s">
        <v>13</v>
      </c>
      <c r="C1972" s="10" t="s">
        <v>14</v>
      </c>
      <c r="D1972" s="10" t="s">
        <v>16</v>
      </c>
      <c r="E1972" s="4">
        <v>3</v>
      </c>
      <c r="F1972" s="4">
        <v>1923</v>
      </c>
      <c r="G1972" s="9">
        <v>274</v>
      </c>
    </row>
    <row r="1973" spans="1:7" ht="15.6" x14ac:dyDescent="0.3">
      <c r="A1973" s="16">
        <v>44895</v>
      </c>
      <c r="B1973" s="10" t="s">
        <v>7</v>
      </c>
      <c r="C1973" s="10" t="s">
        <v>8</v>
      </c>
      <c r="D1973" s="10" t="s">
        <v>16</v>
      </c>
      <c r="E1973" s="4">
        <v>7</v>
      </c>
      <c r="F1973" s="4">
        <v>2471</v>
      </c>
      <c r="G1973" s="9">
        <v>566.51</v>
      </c>
    </row>
    <row r="1974" spans="1:7" ht="15.6" x14ac:dyDescent="0.3">
      <c r="A1974" s="16">
        <v>45294</v>
      </c>
      <c r="B1974" s="10" t="s">
        <v>21</v>
      </c>
      <c r="C1974" s="10" t="s">
        <v>14</v>
      </c>
      <c r="D1974" s="10" t="s">
        <v>9</v>
      </c>
      <c r="E1974" s="4">
        <v>2</v>
      </c>
      <c r="F1974" s="4">
        <v>258</v>
      </c>
      <c r="G1974" s="9">
        <v>64.12</v>
      </c>
    </row>
    <row r="1975" spans="1:7" ht="15.6" x14ac:dyDescent="0.3">
      <c r="A1975" s="16">
        <v>45594</v>
      </c>
      <c r="B1975" s="10" t="s">
        <v>19</v>
      </c>
      <c r="C1975" s="10" t="s">
        <v>14</v>
      </c>
      <c r="D1975" s="10" t="s">
        <v>12</v>
      </c>
      <c r="E1975" s="4">
        <v>9</v>
      </c>
      <c r="F1975" s="4">
        <v>1134</v>
      </c>
      <c r="G1975" s="9">
        <v>267.26</v>
      </c>
    </row>
    <row r="1976" spans="1:7" ht="15.6" x14ac:dyDescent="0.3">
      <c r="A1976" s="16">
        <v>45559</v>
      </c>
      <c r="B1976" s="10" t="s">
        <v>18</v>
      </c>
      <c r="C1976" s="10" t="s">
        <v>11</v>
      </c>
      <c r="D1976" s="10" t="s">
        <v>12</v>
      </c>
      <c r="E1976" s="4">
        <v>5</v>
      </c>
      <c r="F1976" s="4">
        <v>855</v>
      </c>
      <c r="G1976" s="9">
        <v>238.83</v>
      </c>
    </row>
    <row r="1977" spans="1:7" ht="15.6" x14ac:dyDescent="0.3">
      <c r="A1977" s="16">
        <v>45391</v>
      </c>
      <c r="B1977" s="10" t="s">
        <v>19</v>
      </c>
      <c r="C1977" s="10" t="s">
        <v>14</v>
      </c>
      <c r="D1977" s="10" t="s">
        <v>16</v>
      </c>
      <c r="E1977" s="4">
        <v>9</v>
      </c>
      <c r="F1977" s="4">
        <v>3231</v>
      </c>
      <c r="G1977" s="9">
        <v>670.85</v>
      </c>
    </row>
    <row r="1978" spans="1:7" ht="15.6" x14ac:dyDescent="0.3">
      <c r="A1978" s="16">
        <v>45540</v>
      </c>
      <c r="B1978" s="10" t="s">
        <v>13</v>
      </c>
      <c r="C1978" s="10" t="s">
        <v>14</v>
      </c>
      <c r="D1978" s="10" t="s">
        <v>15</v>
      </c>
      <c r="E1978" s="4">
        <v>7</v>
      </c>
      <c r="F1978" s="4">
        <v>3591</v>
      </c>
      <c r="G1978" s="9">
        <v>266.58999999999997</v>
      </c>
    </row>
    <row r="1979" spans="1:7" ht="15.6" x14ac:dyDescent="0.3">
      <c r="A1979" s="16">
        <v>45325</v>
      </c>
      <c r="B1979" s="10" t="s">
        <v>17</v>
      </c>
      <c r="C1979" s="10" t="s">
        <v>14</v>
      </c>
      <c r="D1979" s="10" t="s">
        <v>12</v>
      </c>
      <c r="E1979" s="4">
        <v>2</v>
      </c>
      <c r="F1979" s="4">
        <v>254</v>
      </c>
      <c r="G1979" s="9">
        <v>20.48</v>
      </c>
    </row>
    <row r="1980" spans="1:7" ht="15.6" x14ac:dyDescent="0.3">
      <c r="A1980" s="16">
        <v>45002</v>
      </c>
      <c r="B1980" s="10" t="s">
        <v>21</v>
      </c>
      <c r="C1980" s="10" t="s">
        <v>14</v>
      </c>
      <c r="D1980" s="10" t="s">
        <v>15</v>
      </c>
      <c r="E1980" s="4">
        <v>5</v>
      </c>
      <c r="F1980" s="4">
        <v>5930</v>
      </c>
      <c r="G1980" s="9">
        <v>1193.32</v>
      </c>
    </row>
    <row r="1981" spans="1:7" ht="15.6" x14ac:dyDescent="0.3">
      <c r="A1981" s="16">
        <v>45488</v>
      </c>
      <c r="B1981" s="10" t="s">
        <v>18</v>
      </c>
      <c r="C1981" s="10" t="s">
        <v>11</v>
      </c>
      <c r="D1981" s="10" t="s">
        <v>16</v>
      </c>
      <c r="E1981" s="4">
        <v>2</v>
      </c>
      <c r="F1981" s="4">
        <v>1344</v>
      </c>
      <c r="G1981" s="9">
        <v>297.99</v>
      </c>
    </row>
    <row r="1982" spans="1:7" ht="15.6" x14ac:dyDescent="0.3">
      <c r="A1982" s="16">
        <v>45005</v>
      </c>
      <c r="B1982" s="10" t="s">
        <v>23</v>
      </c>
      <c r="C1982" s="10" t="s">
        <v>14</v>
      </c>
      <c r="D1982" s="10" t="s">
        <v>12</v>
      </c>
      <c r="E1982" s="4">
        <v>1</v>
      </c>
      <c r="F1982" s="4">
        <v>920</v>
      </c>
      <c r="G1982" s="9">
        <v>98.31</v>
      </c>
    </row>
    <row r="1983" spans="1:7" ht="15.6" x14ac:dyDescent="0.3">
      <c r="A1983" s="16">
        <v>44801</v>
      </c>
      <c r="B1983" s="10" t="s">
        <v>7</v>
      </c>
      <c r="C1983" s="10" t="s">
        <v>8</v>
      </c>
      <c r="D1983" s="10" t="s">
        <v>9</v>
      </c>
      <c r="E1983" s="4">
        <v>9</v>
      </c>
      <c r="F1983" s="4">
        <v>5454</v>
      </c>
      <c r="G1983" s="9">
        <v>385.51</v>
      </c>
    </row>
    <row r="1984" spans="1:7" ht="15.6" x14ac:dyDescent="0.3">
      <c r="A1984" s="16">
        <v>44896</v>
      </c>
      <c r="B1984" s="10" t="s">
        <v>23</v>
      </c>
      <c r="C1984" s="10" t="s">
        <v>14</v>
      </c>
      <c r="D1984" s="10" t="s">
        <v>16</v>
      </c>
      <c r="E1984" s="4">
        <v>8</v>
      </c>
      <c r="F1984" s="4">
        <v>9512</v>
      </c>
      <c r="G1984" s="9">
        <v>663.23</v>
      </c>
    </row>
    <row r="1985" spans="1:7" ht="15.6" x14ac:dyDescent="0.3">
      <c r="A1985" s="16">
        <v>44947</v>
      </c>
      <c r="B1985" s="10" t="s">
        <v>10</v>
      </c>
      <c r="C1985" s="10" t="s">
        <v>11</v>
      </c>
      <c r="D1985" s="10" t="s">
        <v>9</v>
      </c>
      <c r="E1985" s="4">
        <v>4</v>
      </c>
      <c r="F1985" s="4">
        <v>2972</v>
      </c>
      <c r="G1985" s="9">
        <v>827.46</v>
      </c>
    </row>
    <row r="1986" spans="1:7" ht="15.6" x14ac:dyDescent="0.3">
      <c r="A1986" s="16">
        <v>45435</v>
      </c>
      <c r="B1986" s="10" t="s">
        <v>19</v>
      </c>
      <c r="C1986" s="10" t="s">
        <v>14</v>
      </c>
      <c r="D1986" s="10" t="s">
        <v>16</v>
      </c>
      <c r="E1986" s="4">
        <v>3</v>
      </c>
      <c r="F1986" s="4">
        <v>3360</v>
      </c>
      <c r="G1986" s="9">
        <v>465.02</v>
      </c>
    </row>
    <row r="1987" spans="1:7" ht="15.6" x14ac:dyDescent="0.3">
      <c r="A1987" s="16">
        <v>44858</v>
      </c>
      <c r="B1987" s="10" t="s">
        <v>13</v>
      </c>
      <c r="C1987" s="10" t="s">
        <v>14</v>
      </c>
      <c r="D1987" s="10" t="s">
        <v>16</v>
      </c>
      <c r="E1987" s="4">
        <v>4</v>
      </c>
      <c r="F1987" s="4">
        <v>1004</v>
      </c>
      <c r="G1987" s="9">
        <v>240.13</v>
      </c>
    </row>
    <row r="1988" spans="1:7" ht="15.6" x14ac:dyDescent="0.3">
      <c r="A1988" s="16">
        <v>45651</v>
      </c>
      <c r="B1988" s="10" t="s">
        <v>18</v>
      </c>
      <c r="C1988" s="10" t="s">
        <v>11</v>
      </c>
      <c r="D1988" s="10" t="s">
        <v>16</v>
      </c>
      <c r="E1988" s="4">
        <v>2</v>
      </c>
      <c r="F1988" s="4">
        <v>1944</v>
      </c>
      <c r="G1988" s="9">
        <v>332.55</v>
      </c>
    </row>
    <row r="1989" spans="1:7" ht="15.6" x14ac:dyDescent="0.3">
      <c r="A1989" s="16">
        <v>45187</v>
      </c>
      <c r="B1989" s="10" t="s">
        <v>20</v>
      </c>
      <c r="C1989" s="10" t="s">
        <v>11</v>
      </c>
      <c r="D1989" s="10" t="s">
        <v>12</v>
      </c>
      <c r="E1989" s="4">
        <v>5</v>
      </c>
      <c r="F1989" s="4">
        <v>5055</v>
      </c>
      <c r="G1989" s="9">
        <v>1200.0899999999999</v>
      </c>
    </row>
    <row r="1990" spans="1:7" ht="15.6" x14ac:dyDescent="0.3">
      <c r="A1990" s="16">
        <v>44760</v>
      </c>
      <c r="B1990" s="10" t="s">
        <v>19</v>
      </c>
      <c r="C1990" s="10" t="s">
        <v>14</v>
      </c>
      <c r="D1990" s="10" t="s">
        <v>16</v>
      </c>
      <c r="E1990" s="4">
        <v>2</v>
      </c>
      <c r="F1990" s="4">
        <v>128</v>
      </c>
      <c r="G1990" s="9">
        <v>8.33</v>
      </c>
    </row>
    <row r="1991" spans="1:7" ht="15.6" x14ac:dyDescent="0.3">
      <c r="A1991" s="16">
        <v>45360</v>
      </c>
      <c r="B1991" s="10" t="s">
        <v>21</v>
      </c>
      <c r="C1991" s="10" t="s">
        <v>14</v>
      </c>
      <c r="D1991" s="10" t="s">
        <v>12</v>
      </c>
      <c r="E1991" s="4">
        <v>3</v>
      </c>
      <c r="F1991" s="4">
        <v>633</v>
      </c>
      <c r="G1991" s="9">
        <v>163.03</v>
      </c>
    </row>
    <row r="1992" spans="1:7" ht="15.6" x14ac:dyDescent="0.3">
      <c r="A1992" s="16">
        <v>44909</v>
      </c>
      <c r="B1992" s="10" t="s">
        <v>7</v>
      </c>
      <c r="C1992" s="10" t="s">
        <v>8</v>
      </c>
      <c r="D1992" s="10" t="s">
        <v>15</v>
      </c>
      <c r="E1992" s="4">
        <v>3</v>
      </c>
      <c r="F1992" s="4">
        <v>2523</v>
      </c>
      <c r="G1992" s="9">
        <v>506.7</v>
      </c>
    </row>
    <row r="1993" spans="1:7" ht="15.6" x14ac:dyDescent="0.3">
      <c r="A1993" s="16">
        <v>45236</v>
      </c>
      <c r="B1993" s="10" t="s">
        <v>7</v>
      </c>
      <c r="C1993" s="10" t="s">
        <v>8</v>
      </c>
      <c r="D1993" s="10" t="s">
        <v>16</v>
      </c>
      <c r="E1993" s="4">
        <v>1</v>
      </c>
      <c r="F1993" s="4">
        <v>196</v>
      </c>
      <c r="G1993" s="9">
        <v>39.6</v>
      </c>
    </row>
    <row r="1994" spans="1:7" ht="15.6" x14ac:dyDescent="0.3">
      <c r="A1994" s="16">
        <v>44603</v>
      </c>
      <c r="B1994" s="10" t="s">
        <v>7</v>
      </c>
      <c r="C1994" s="10" t="s">
        <v>8</v>
      </c>
      <c r="D1994" s="10" t="s">
        <v>12</v>
      </c>
      <c r="E1994" s="4">
        <v>9</v>
      </c>
      <c r="F1994" s="4">
        <v>4212</v>
      </c>
      <c r="G1994" s="9">
        <v>552.96</v>
      </c>
    </row>
    <row r="1995" spans="1:7" ht="15.6" x14ac:dyDescent="0.3">
      <c r="A1995" s="16">
        <v>45379</v>
      </c>
      <c r="B1995" s="10" t="s">
        <v>20</v>
      </c>
      <c r="C1995" s="10" t="s">
        <v>11</v>
      </c>
      <c r="D1995" s="10" t="s">
        <v>9</v>
      </c>
      <c r="E1995" s="4">
        <v>1</v>
      </c>
      <c r="F1995" s="4">
        <v>63</v>
      </c>
      <c r="G1995" s="9">
        <v>17.29</v>
      </c>
    </row>
    <row r="1996" spans="1:7" ht="15.6" x14ac:dyDescent="0.3">
      <c r="A1996" s="16">
        <v>45109</v>
      </c>
      <c r="B1996" s="10" t="s">
        <v>10</v>
      </c>
      <c r="C1996" s="10" t="s">
        <v>11</v>
      </c>
      <c r="D1996" s="10" t="s">
        <v>15</v>
      </c>
      <c r="E1996" s="4">
        <v>8</v>
      </c>
      <c r="F1996" s="4">
        <v>2752</v>
      </c>
      <c r="G1996" s="9">
        <v>394.66</v>
      </c>
    </row>
    <row r="1997" spans="1:7" ht="15.6" x14ac:dyDescent="0.3">
      <c r="A1997" s="16">
        <v>45607</v>
      </c>
      <c r="B1997" s="10" t="s">
        <v>10</v>
      </c>
      <c r="C1997" s="10" t="s">
        <v>11</v>
      </c>
      <c r="D1997" s="10" t="s">
        <v>16</v>
      </c>
      <c r="E1997" s="4">
        <v>3</v>
      </c>
      <c r="F1997" s="4">
        <v>1989</v>
      </c>
      <c r="G1997" s="9">
        <v>419.61</v>
      </c>
    </row>
    <row r="1998" spans="1:7" ht="15.6" x14ac:dyDescent="0.3">
      <c r="A1998" s="16">
        <v>45360</v>
      </c>
      <c r="B1998" s="10" t="s">
        <v>23</v>
      </c>
      <c r="C1998" s="10" t="s">
        <v>14</v>
      </c>
      <c r="D1998" s="10" t="s">
        <v>12</v>
      </c>
      <c r="E1998" s="4">
        <v>8</v>
      </c>
      <c r="F1998" s="4">
        <v>8032</v>
      </c>
      <c r="G1998" s="9">
        <v>466.19</v>
      </c>
    </row>
    <row r="1999" spans="1:7" ht="15.6" x14ac:dyDescent="0.3">
      <c r="A1999" s="16">
        <v>44582</v>
      </c>
      <c r="B1999" s="10" t="s">
        <v>13</v>
      </c>
      <c r="C1999" s="10" t="s">
        <v>14</v>
      </c>
      <c r="D1999" s="10" t="s">
        <v>15</v>
      </c>
      <c r="E1999" s="4">
        <v>6</v>
      </c>
      <c r="F1999" s="4">
        <v>3702</v>
      </c>
      <c r="G1999" s="9">
        <v>407.34</v>
      </c>
    </row>
    <row r="2000" spans="1:7" ht="15.6" x14ac:dyDescent="0.3">
      <c r="A2000" s="16">
        <v>44851</v>
      </c>
      <c r="B2000" s="10" t="s">
        <v>19</v>
      </c>
      <c r="C2000" s="10" t="s">
        <v>14</v>
      </c>
      <c r="D2000" s="10" t="s">
        <v>12</v>
      </c>
      <c r="E2000" s="4">
        <v>8</v>
      </c>
      <c r="F2000" s="4">
        <v>456</v>
      </c>
      <c r="G2000" s="9">
        <v>90.24</v>
      </c>
    </row>
    <row r="2001" spans="1:7" ht="15.6" x14ac:dyDescent="0.3">
      <c r="A2001" s="16">
        <v>44967</v>
      </c>
      <c r="B2001" s="10" t="s">
        <v>17</v>
      </c>
      <c r="C2001" s="10" t="s">
        <v>14</v>
      </c>
      <c r="D2001" s="10" t="s">
        <v>16</v>
      </c>
      <c r="E2001" s="4">
        <v>7</v>
      </c>
      <c r="F2001" s="4">
        <v>5355</v>
      </c>
      <c r="G2001" s="9">
        <v>1143.1600000000001</v>
      </c>
    </row>
    <row r="2002" spans="1:7" ht="15.6" x14ac:dyDescent="0.3">
      <c r="A2002" s="16">
        <v>45355</v>
      </c>
      <c r="B2002" s="10" t="s">
        <v>17</v>
      </c>
      <c r="C2002" s="10" t="s">
        <v>14</v>
      </c>
      <c r="D2002" s="10" t="s">
        <v>16</v>
      </c>
      <c r="E2002" s="4">
        <v>1</v>
      </c>
      <c r="F2002" s="4">
        <v>972</v>
      </c>
      <c r="G2002" s="9">
        <v>261.91000000000003</v>
      </c>
    </row>
    <row r="2003" spans="1:7" ht="15.6" x14ac:dyDescent="0.3">
      <c r="A2003" s="16">
        <v>44569</v>
      </c>
      <c r="B2003" s="10" t="s">
        <v>18</v>
      </c>
      <c r="C2003" s="10" t="s">
        <v>11</v>
      </c>
      <c r="D2003" s="10" t="s">
        <v>15</v>
      </c>
      <c r="E2003" s="4">
        <v>5</v>
      </c>
      <c r="F2003" s="4">
        <v>3290</v>
      </c>
      <c r="G2003" s="9">
        <v>797.82</v>
      </c>
    </row>
    <row r="2004" spans="1:7" ht="15.6" x14ac:dyDescent="0.3">
      <c r="A2004" s="16">
        <v>44889</v>
      </c>
      <c r="B2004" s="10" t="s">
        <v>23</v>
      </c>
      <c r="C2004" s="10" t="s">
        <v>14</v>
      </c>
      <c r="D2004" s="10" t="s">
        <v>12</v>
      </c>
      <c r="E2004" s="4">
        <v>1</v>
      </c>
      <c r="F2004" s="4">
        <v>735</v>
      </c>
      <c r="G2004" s="9">
        <v>139.31</v>
      </c>
    </row>
    <row r="2005" spans="1:7" ht="15.6" x14ac:dyDescent="0.3">
      <c r="A2005" s="16">
        <v>45589</v>
      </c>
      <c r="B2005" s="10" t="s">
        <v>13</v>
      </c>
      <c r="C2005" s="10" t="s">
        <v>14</v>
      </c>
      <c r="D2005" s="10" t="s">
        <v>9</v>
      </c>
      <c r="E2005" s="4">
        <v>3</v>
      </c>
      <c r="F2005" s="4">
        <v>3336</v>
      </c>
      <c r="G2005" s="9">
        <v>798.26</v>
      </c>
    </row>
    <row r="2006" spans="1:7" ht="15.6" x14ac:dyDescent="0.3">
      <c r="A2006" s="16">
        <v>44837</v>
      </c>
      <c r="B2006" s="10" t="s">
        <v>22</v>
      </c>
      <c r="C2006" s="10" t="s">
        <v>11</v>
      </c>
      <c r="D2006" s="10" t="s">
        <v>16</v>
      </c>
      <c r="E2006" s="4">
        <v>3</v>
      </c>
      <c r="F2006" s="4">
        <v>2082</v>
      </c>
      <c r="G2006" s="9">
        <v>346.53</v>
      </c>
    </row>
    <row r="2007" spans="1:7" ht="15.6" x14ac:dyDescent="0.3">
      <c r="A2007" s="16">
        <v>45491</v>
      </c>
      <c r="B2007" s="10" t="s">
        <v>22</v>
      </c>
      <c r="C2007" s="10" t="s">
        <v>11</v>
      </c>
      <c r="D2007" s="10" t="s">
        <v>12</v>
      </c>
      <c r="E2007" s="4">
        <v>2</v>
      </c>
      <c r="F2007" s="4">
        <v>1340</v>
      </c>
      <c r="G2007" s="9">
        <v>129.88999999999999</v>
      </c>
    </row>
    <row r="2008" spans="1:7" ht="15.6" x14ac:dyDescent="0.3">
      <c r="A2008" s="16">
        <v>44633</v>
      </c>
      <c r="B2008" s="10" t="s">
        <v>23</v>
      </c>
      <c r="C2008" s="10" t="s">
        <v>14</v>
      </c>
      <c r="D2008" s="10" t="s">
        <v>12</v>
      </c>
      <c r="E2008" s="4">
        <v>5</v>
      </c>
      <c r="F2008" s="4">
        <v>1160</v>
      </c>
      <c r="G2008" s="9">
        <v>227.13</v>
      </c>
    </row>
    <row r="2009" spans="1:7" ht="15.6" x14ac:dyDescent="0.3">
      <c r="A2009" s="16">
        <v>45556</v>
      </c>
      <c r="B2009" s="10" t="s">
        <v>20</v>
      </c>
      <c r="C2009" s="10" t="s">
        <v>11</v>
      </c>
      <c r="D2009" s="10" t="s">
        <v>12</v>
      </c>
      <c r="E2009" s="4">
        <v>4</v>
      </c>
      <c r="F2009" s="4">
        <v>1272</v>
      </c>
      <c r="G2009" s="9">
        <v>299.83999999999997</v>
      </c>
    </row>
    <row r="2010" spans="1:7" ht="15.6" x14ac:dyDescent="0.3">
      <c r="A2010" s="16">
        <v>44575</v>
      </c>
      <c r="B2010" s="10" t="s">
        <v>7</v>
      </c>
      <c r="C2010" s="10" t="s">
        <v>8</v>
      </c>
      <c r="D2010" s="10" t="s">
        <v>16</v>
      </c>
      <c r="E2010" s="4">
        <v>3</v>
      </c>
      <c r="F2010" s="4">
        <v>2817</v>
      </c>
      <c r="G2010" s="9">
        <v>588.47</v>
      </c>
    </row>
    <row r="2011" spans="1:7" ht="15.6" x14ac:dyDescent="0.3">
      <c r="A2011" s="16">
        <v>45356</v>
      </c>
      <c r="B2011" s="10" t="s">
        <v>20</v>
      </c>
      <c r="C2011" s="10" t="s">
        <v>11</v>
      </c>
      <c r="D2011" s="10" t="s">
        <v>12</v>
      </c>
      <c r="E2011" s="4">
        <v>3</v>
      </c>
      <c r="F2011" s="4">
        <v>1464</v>
      </c>
      <c r="G2011" s="9">
        <v>264.67</v>
      </c>
    </row>
    <row r="2012" spans="1:7" ht="15.6" x14ac:dyDescent="0.3">
      <c r="A2012" s="16">
        <v>44970</v>
      </c>
      <c r="B2012" s="10" t="s">
        <v>18</v>
      </c>
      <c r="C2012" s="10" t="s">
        <v>11</v>
      </c>
      <c r="D2012" s="10" t="s">
        <v>16</v>
      </c>
      <c r="E2012" s="4">
        <v>1</v>
      </c>
      <c r="F2012" s="4">
        <v>307</v>
      </c>
      <c r="G2012" s="9">
        <v>60.51</v>
      </c>
    </row>
    <row r="2013" spans="1:7" ht="15.6" x14ac:dyDescent="0.3">
      <c r="A2013" s="16">
        <v>44835</v>
      </c>
      <c r="B2013" s="10" t="s">
        <v>13</v>
      </c>
      <c r="C2013" s="10" t="s">
        <v>14</v>
      </c>
      <c r="D2013" s="10" t="s">
        <v>16</v>
      </c>
      <c r="E2013" s="4">
        <v>6</v>
      </c>
      <c r="F2013" s="4">
        <v>5706</v>
      </c>
      <c r="G2013" s="9">
        <v>1306.92</v>
      </c>
    </row>
    <row r="2014" spans="1:7" ht="15.6" x14ac:dyDescent="0.3">
      <c r="A2014" s="16">
        <v>45437</v>
      </c>
      <c r="B2014" s="10" t="s">
        <v>18</v>
      </c>
      <c r="C2014" s="10" t="s">
        <v>11</v>
      </c>
      <c r="D2014" s="10" t="s">
        <v>9</v>
      </c>
      <c r="E2014" s="4">
        <v>1</v>
      </c>
      <c r="F2014" s="4">
        <v>1112</v>
      </c>
      <c r="G2014" s="9">
        <v>100.47</v>
      </c>
    </row>
    <row r="2015" spans="1:7" ht="15.6" x14ac:dyDescent="0.3">
      <c r="A2015" s="16">
        <v>45122</v>
      </c>
      <c r="B2015" s="10" t="s">
        <v>22</v>
      </c>
      <c r="C2015" s="10" t="s">
        <v>11</v>
      </c>
      <c r="D2015" s="10" t="s">
        <v>16</v>
      </c>
      <c r="E2015" s="4">
        <v>1</v>
      </c>
      <c r="F2015" s="4">
        <v>1147</v>
      </c>
      <c r="G2015" s="9">
        <v>133.47999999999999</v>
      </c>
    </row>
    <row r="2016" spans="1:7" ht="15.6" x14ac:dyDescent="0.3">
      <c r="A2016" s="16">
        <v>44968</v>
      </c>
      <c r="B2016" s="10" t="s">
        <v>23</v>
      </c>
      <c r="C2016" s="10" t="s">
        <v>14</v>
      </c>
      <c r="D2016" s="10" t="s">
        <v>9</v>
      </c>
      <c r="E2016" s="4">
        <v>2</v>
      </c>
      <c r="F2016" s="4">
        <v>330</v>
      </c>
      <c r="G2016" s="9">
        <v>66.569999999999993</v>
      </c>
    </row>
    <row r="2017" spans="1:7" ht="15.6" x14ac:dyDescent="0.3">
      <c r="A2017" s="16">
        <v>45119</v>
      </c>
      <c r="B2017" s="10" t="s">
        <v>20</v>
      </c>
      <c r="C2017" s="10" t="s">
        <v>11</v>
      </c>
      <c r="D2017" s="10" t="s">
        <v>9</v>
      </c>
      <c r="E2017" s="4">
        <v>4</v>
      </c>
      <c r="F2017" s="4">
        <v>2176</v>
      </c>
      <c r="G2017" s="9">
        <v>250.89</v>
      </c>
    </row>
    <row r="2018" spans="1:7" ht="15.6" x14ac:dyDescent="0.3">
      <c r="A2018" s="16">
        <v>44639</v>
      </c>
      <c r="B2018" s="10" t="s">
        <v>18</v>
      </c>
      <c r="C2018" s="10" t="s">
        <v>11</v>
      </c>
      <c r="D2018" s="10" t="s">
        <v>15</v>
      </c>
      <c r="E2018" s="4">
        <v>7</v>
      </c>
      <c r="F2018" s="4">
        <v>7616</v>
      </c>
      <c r="G2018" s="9">
        <v>1317.79</v>
      </c>
    </row>
    <row r="2019" spans="1:7" ht="15.6" x14ac:dyDescent="0.3">
      <c r="A2019" s="16">
        <v>45489</v>
      </c>
      <c r="B2019" s="10" t="s">
        <v>7</v>
      </c>
      <c r="C2019" s="10" t="s">
        <v>8</v>
      </c>
      <c r="D2019" s="10" t="s">
        <v>9</v>
      </c>
      <c r="E2019" s="4">
        <v>1</v>
      </c>
      <c r="F2019" s="4">
        <v>1091</v>
      </c>
      <c r="G2019" s="9">
        <v>258.3</v>
      </c>
    </row>
    <row r="2020" spans="1:7" ht="15.6" x14ac:dyDescent="0.3">
      <c r="A2020" s="16">
        <v>45385</v>
      </c>
      <c r="B2020" s="10" t="s">
        <v>13</v>
      </c>
      <c r="C2020" s="10" t="s">
        <v>14</v>
      </c>
      <c r="D2020" s="10" t="s">
        <v>12</v>
      </c>
      <c r="E2020" s="4">
        <v>2</v>
      </c>
      <c r="F2020" s="4">
        <v>1026</v>
      </c>
      <c r="G2020" s="9">
        <v>279.76</v>
      </c>
    </row>
    <row r="2021" spans="1:7" ht="15.6" x14ac:dyDescent="0.3">
      <c r="A2021" s="16">
        <v>45613</v>
      </c>
      <c r="B2021" s="10" t="s">
        <v>13</v>
      </c>
      <c r="C2021" s="10" t="s">
        <v>14</v>
      </c>
      <c r="D2021" s="10" t="s">
        <v>16</v>
      </c>
      <c r="E2021" s="4">
        <v>2</v>
      </c>
      <c r="F2021" s="4">
        <v>210</v>
      </c>
      <c r="G2021" s="9">
        <v>42.04</v>
      </c>
    </row>
    <row r="2022" spans="1:7" ht="15.6" x14ac:dyDescent="0.3">
      <c r="A2022" s="16">
        <v>44821</v>
      </c>
      <c r="B2022" s="10" t="s">
        <v>7</v>
      </c>
      <c r="C2022" s="10" t="s">
        <v>8</v>
      </c>
      <c r="D2022" s="10" t="s">
        <v>9</v>
      </c>
      <c r="E2022" s="4">
        <v>2</v>
      </c>
      <c r="F2022" s="4">
        <v>180</v>
      </c>
      <c r="G2022" s="9">
        <v>10.78</v>
      </c>
    </row>
    <row r="2023" spans="1:7" ht="15.6" x14ac:dyDescent="0.3">
      <c r="A2023" s="16">
        <v>45547</v>
      </c>
      <c r="B2023" s="10" t="s">
        <v>13</v>
      </c>
      <c r="C2023" s="10" t="s">
        <v>14</v>
      </c>
      <c r="D2023" s="10" t="s">
        <v>9</v>
      </c>
      <c r="E2023" s="4">
        <v>4</v>
      </c>
      <c r="F2023" s="4">
        <v>380</v>
      </c>
      <c r="G2023" s="9">
        <v>72.88</v>
      </c>
    </row>
    <row r="2024" spans="1:7" ht="15.6" x14ac:dyDescent="0.3">
      <c r="A2024" s="16">
        <v>45151</v>
      </c>
      <c r="B2024" s="10" t="s">
        <v>20</v>
      </c>
      <c r="C2024" s="10" t="s">
        <v>11</v>
      </c>
      <c r="D2024" s="10" t="s">
        <v>16</v>
      </c>
      <c r="E2024" s="4">
        <v>8</v>
      </c>
      <c r="F2024" s="4">
        <v>7664</v>
      </c>
      <c r="G2024" s="9">
        <v>1580.55</v>
      </c>
    </row>
    <row r="2025" spans="1:7" ht="15.6" x14ac:dyDescent="0.3">
      <c r="A2025" s="16">
        <v>44856</v>
      </c>
      <c r="B2025" s="10" t="s">
        <v>21</v>
      </c>
      <c r="C2025" s="10" t="s">
        <v>14</v>
      </c>
      <c r="D2025" s="10" t="s">
        <v>12</v>
      </c>
      <c r="E2025" s="4">
        <v>8</v>
      </c>
      <c r="F2025" s="4">
        <v>6056</v>
      </c>
      <c r="G2025" s="9">
        <v>1029.9000000000001</v>
      </c>
    </row>
    <row r="2026" spans="1:7" ht="15.6" x14ac:dyDescent="0.3">
      <c r="A2026" s="16">
        <v>44589</v>
      </c>
      <c r="B2026" s="10" t="s">
        <v>10</v>
      </c>
      <c r="C2026" s="10" t="s">
        <v>11</v>
      </c>
      <c r="D2026" s="10" t="s">
        <v>9</v>
      </c>
      <c r="E2026" s="4">
        <v>6</v>
      </c>
      <c r="F2026" s="4">
        <v>606</v>
      </c>
      <c r="G2026" s="9">
        <v>104.52</v>
      </c>
    </row>
    <row r="2027" spans="1:7" ht="15.6" x14ac:dyDescent="0.3">
      <c r="A2027" s="16">
        <v>45381</v>
      </c>
      <c r="B2027" s="10" t="s">
        <v>20</v>
      </c>
      <c r="C2027" s="10" t="s">
        <v>11</v>
      </c>
      <c r="D2027" s="10" t="s">
        <v>9</v>
      </c>
      <c r="E2027" s="4">
        <v>3</v>
      </c>
      <c r="F2027" s="4">
        <v>750</v>
      </c>
      <c r="G2027" s="9">
        <v>193.86</v>
      </c>
    </row>
    <row r="2028" spans="1:7" ht="15.6" x14ac:dyDescent="0.3">
      <c r="A2028" s="16">
        <v>45637</v>
      </c>
      <c r="B2028" s="10" t="s">
        <v>7</v>
      </c>
      <c r="C2028" s="10" t="s">
        <v>8</v>
      </c>
      <c r="D2028" s="10" t="s">
        <v>12</v>
      </c>
      <c r="E2028" s="4">
        <v>2</v>
      </c>
      <c r="F2028" s="4">
        <v>1218</v>
      </c>
      <c r="G2028" s="9">
        <v>218.88</v>
      </c>
    </row>
    <row r="2029" spans="1:7" ht="15.6" x14ac:dyDescent="0.3">
      <c r="A2029" s="16">
        <v>45011</v>
      </c>
      <c r="B2029" s="10" t="s">
        <v>23</v>
      </c>
      <c r="C2029" s="10" t="s">
        <v>14</v>
      </c>
      <c r="D2029" s="10" t="s">
        <v>16</v>
      </c>
      <c r="E2029" s="4">
        <v>2</v>
      </c>
      <c r="F2029" s="4">
        <v>2162</v>
      </c>
      <c r="G2029" s="9">
        <v>355.45</v>
      </c>
    </row>
    <row r="2030" spans="1:7" ht="15.6" x14ac:dyDescent="0.3">
      <c r="A2030" s="16">
        <v>44998</v>
      </c>
      <c r="B2030" s="10" t="s">
        <v>18</v>
      </c>
      <c r="C2030" s="10" t="s">
        <v>11</v>
      </c>
      <c r="D2030" s="10" t="s">
        <v>12</v>
      </c>
      <c r="E2030" s="4">
        <v>9</v>
      </c>
      <c r="F2030" s="4">
        <v>2223</v>
      </c>
      <c r="G2030" s="9">
        <v>347.01</v>
      </c>
    </row>
    <row r="2031" spans="1:7" ht="15.6" x14ac:dyDescent="0.3">
      <c r="A2031" s="16">
        <v>45188</v>
      </c>
      <c r="B2031" s="10" t="s">
        <v>21</v>
      </c>
      <c r="C2031" s="10" t="s">
        <v>14</v>
      </c>
      <c r="D2031" s="10" t="s">
        <v>16</v>
      </c>
      <c r="E2031" s="4">
        <v>7</v>
      </c>
      <c r="F2031" s="4">
        <v>4452</v>
      </c>
      <c r="G2031" s="9">
        <v>920.05</v>
      </c>
    </row>
    <row r="2032" spans="1:7" ht="15.6" x14ac:dyDescent="0.3">
      <c r="A2032" s="16">
        <v>44600</v>
      </c>
      <c r="B2032" s="10" t="s">
        <v>7</v>
      </c>
      <c r="C2032" s="10" t="s">
        <v>8</v>
      </c>
      <c r="D2032" s="10" t="s">
        <v>16</v>
      </c>
      <c r="E2032" s="4">
        <v>1</v>
      </c>
      <c r="F2032" s="4">
        <v>184</v>
      </c>
      <c r="G2032" s="9">
        <v>50.19</v>
      </c>
    </row>
    <row r="2033" spans="1:7" ht="15.6" x14ac:dyDescent="0.3">
      <c r="A2033" s="16">
        <v>44656</v>
      </c>
      <c r="B2033" s="10" t="s">
        <v>18</v>
      </c>
      <c r="C2033" s="10" t="s">
        <v>11</v>
      </c>
      <c r="D2033" s="10" t="s">
        <v>9</v>
      </c>
      <c r="E2033" s="4">
        <v>3</v>
      </c>
      <c r="F2033" s="4">
        <v>288</v>
      </c>
      <c r="G2033" s="9">
        <v>77.38</v>
      </c>
    </row>
    <row r="2034" spans="1:7" ht="15.6" x14ac:dyDescent="0.3">
      <c r="A2034" s="16">
        <v>45315</v>
      </c>
      <c r="B2034" s="10" t="s">
        <v>17</v>
      </c>
      <c r="C2034" s="10" t="s">
        <v>14</v>
      </c>
      <c r="D2034" s="10" t="s">
        <v>16</v>
      </c>
      <c r="E2034" s="4">
        <v>2</v>
      </c>
      <c r="F2034" s="4">
        <v>834</v>
      </c>
      <c r="G2034" s="9">
        <v>150.12</v>
      </c>
    </row>
    <row r="2035" spans="1:7" ht="15.6" x14ac:dyDescent="0.3">
      <c r="A2035" s="16">
        <v>45158</v>
      </c>
      <c r="B2035" s="10" t="s">
        <v>22</v>
      </c>
      <c r="C2035" s="10" t="s">
        <v>11</v>
      </c>
      <c r="D2035" s="10" t="s">
        <v>12</v>
      </c>
      <c r="E2035" s="4">
        <v>5</v>
      </c>
      <c r="F2035" s="4">
        <v>4025</v>
      </c>
      <c r="G2035" s="9">
        <v>923.17</v>
      </c>
    </row>
    <row r="2036" spans="1:7" ht="15.6" x14ac:dyDescent="0.3">
      <c r="A2036" s="16">
        <v>45177</v>
      </c>
      <c r="B2036" s="10" t="s">
        <v>18</v>
      </c>
      <c r="C2036" s="10" t="s">
        <v>11</v>
      </c>
      <c r="D2036" s="10" t="s">
        <v>16</v>
      </c>
      <c r="E2036" s="4">
        <v>7</v>
      </c>
      <c r="F2036" s="4">
        <v>4732</v>
      </c>
      <c r="G2036" s="9">
        <v>1084.28</v>
      </c>
    </row>
    <row r="2037" spans="1:7" ht="15.6" x14ac:dyDescent="0.3">
      <c r="A2037" s="16">
        <v>44700</v>
      </c>
      <c r="B2037" s="10" t="s">
        <v>18</v>
      </c>
      <c r="C2037" s="10" t="s">
        <v>11</v>
      </c>
      <c r="D2037" s="10" t="s">
        <v>16</v>
      </c>
      <c r="E2037" s="4">
        <v>5</v>
      </c>
      <c r="F2037" s="4">
        <v>4025</v>
      </c>
      <c r="G2037" s="9">
        <v>407.72</v>
      </c>
    </row>
    <row r="2038" spans="1:7" ht="15.6" x14ac:dyDescent="0.3">
      <c r="A2038" s="16">
        <v>45122</v>
      </c>
      <c r="B2038" s="10" t="s">
        <v>7</v>
      </c>
      <c r="C2038" s="10" t="s">
        <v>8</v>
      </c>
      <c r="D2038" s="10" t="s">
        <v>15</v>
      </c>
      <c r="E2038" s="4">
        <v>8</v>
      </c>
      <c r="F2038" s="4">
        <v>2416</v>
      </c>
      <c r="G2038" s="9">
        <v>500.93</v>
      </c>
    </row>
    <row r="2039" spans="1:7" ht="15.6" x14ac:dyDescent="0.3">
      <c r="A2039" s="16">
        <v>45367</v>
      </c>
      <c r="B2039" s="10" t="s">
        <v>13</v>
      </c>
      <c r="C2039" s="10" t="s">
        <v>14</v>
      </c>
      <c r="D2039" s="10" t="s">
        <v>9</v>
      </c>
      <c r="E2039" s="4">
        <v>7</v>
      </c>
      <c r="F2039" s="4">
        <v>1897</v>
      </c>
      <c r="G2039" s="9">
        <v>524.69000000000005</v>
      </c>
    </row>
    <row r="2040" spans="1:7" ht="15.6" x14ac:dyDescent="0.3">
      <c r="A2040" s="16">
        <v>44667</v>
      </c>
      <c r="B2040" s="10" t="s">
        <v>10</v>
      </c>
      <c r="C2040" s="10" t="s">
        <v>11</v>
      </c>
      <c r="D2040" s="10" t="s">
        <v>12</v>
      </c>
      <c r="E2040" s="4">
        <v>4</v>
      </c>
      <c r="F2040" s="4">
        <v>840</v>
      </c>
      <c r="G2040" s="9">
        <v>190.13</v>
      </c>
    </row>
    <row r="2041" spans="1:7" ht="15.6" x14ac:dyDescent="0.3">
      <c r="A2041" s="16">
        <v>44563</v>
      </c>
      <c r="B2041" s="10" t="s">
        <v>10</v>
      </c>
      <c r="C2041" s="10" t="s">
        <v>11</v>
      </c>
      <c r="D2041" s="10" t="s">
        <v>9</v>
      </c>
      <c r="E2041" s="4">
        <v>8</v>
      </c>
      <c r="F2041" s="4">
        <v>6600</v>
      </c>
      <c r="G2041" s="9">
        <v>360.45</v>
      </c>
    </row>
    <row r="2042" spans="1:7" ht="15.6" x14ac:dyDescent="0.3">
      <c r="A2042" s="16">
        <v>44854</v>
      </c>
      <c r="B2042" s="10" t="s">
        <v>23</v>
      </c>
      <c r="C2042" s="10" t="s">
        <v>14</v>
      </c>
      <c r="D2042" s="10" t="s">
        <v>16</v>
      </c>
      <c r="E2042" s="4">
        <v>2</v>
      </c>
      <c r="F2042" s="4">
        <v>2362</v>
      </c>
      <c r="G2042" s="9">
        <v>342.27</v>
      </c>
    </row>
    <row r="2043" spans="1:7" ht="15.6" x14ac:dyDescent="0.3">
      <c r="A2043" s="16">
        <v>45326</v>
      </c>
      <c r="B2043" s="10" t="s">
        <v>18</v>
      </c>
      <c r="C2043" s="10" t="s">
        <v>11</v>
      </c>
      <c r="D2043" s="10" t="s">
        <v>15</v>
      </c>
      <c r="E2043" s="4">
        <v>6</v>
      </c>
      <c r="F2043" s="4">
        <v>2958</v>
      </c>
      <c r="G2043" s="9">
        <v>577.27</v>
      </c>
    </row>
    <row r="2044" spans="1:7" ht="15.6" x14ac:dyDescent="0.3">
      <c r="A2044" s="16">
        <v>45373</v>
      </c>
      <c r="B2044" s="10" t="s">
        <v>13</v>
      </c>
      <c r="C2044" s="10" t="s">
        <v>14</v>
      </c>
      <c r="D2044" s="10" t="s">
        <v>12</v>
      </c>
      <c r="E2044" s="4">
        <v>1</v>
      </c>
      <c r="F2044" s="4">
        <v>477</v>
      </c>
      <c r="G2044" s="9">
        <v>56.49</v>
      </c>
    </row>
    <row r="2045" spans="1:7" ht="15.6" x14ac:dyDescent="0.3">
      <c r="A2045" s="16">
        <v>44716</v>
      </c>
      <c r="B2045" s="10" t="s">
        <v>22</v>
      </c>
      <c r="C2045" s="10" t="s">
        <v>11</v>
      </c>
      <c r="D2045" s="10" t="s">
        <v>9</v>
      </c>
      <c r="E2045" s="4">
        <v>3</v>
      </c>
      <c r="F2045" s="4">
        <v>942</v>
      </c>
      <c r="G2045" s="9">
        <v>84.8</v>
      </c>
    </row>
    <row r="2046" spans="1:7" ht="15.6" x14ac:dyDescent="0.3">
      <c r="A2046" s="16">
        <v>44947</v>
      </c>
      <c r="B2046" s="10" t="s">
        <v>17</v>
      </c>
      <c r="C2046" s="10" t="s">
        <v>14</v>
      </c>
      <c r="D2046" s="10" t="s">
        <v>12</v>
      </c>
      <c r="E2046" s="4">
        <v>2</v>
      </c>
      <c r="F2046" s="4">
        <v>2084</v>
      </c>
      <c r="G2046" s="9">
        <v>586.72</v>
      </c>
    </row>
    <row r="2047" spans="1:7" ht="15.6" x14ac:dyDescent="0.3">
      <c r="A2047" s="16">
        <v>45154</v>
      </c>
      <c r="B2047" s="10" t="s">
        <v>13</v>
      </c>
      <c r="C2047" s="10" t="s">
        <v>14</v>
      </c>
      <c r="D2047" s="10" t="s">
        <v>16</v>
      </c>
      <c r="E2047" s="4">
        <v>6</v>
      </c>
      <c r="F2047" s="4">
        <v>4584</v>
      </c>
      <c r="G2047" s="9">
        <v>473.37</v>
      </c>
    </row>
    <row r="2048" spans="1:7" ht="15.6" x14ac:dyDescent="0.3">
      <c r="A2048" s="16">
        <v>44709</v>
      </c>
      <c r="B2048" s="10" t="s">
        <v>7</v>
      </c>
      <c r="C2048" s="10" t="s">
        <v>8</v>
      </c>
      <c r="D2048" s="10" t="s">
        <v>12</v>
      </c>
      <c r="E2048" s="4">
        <v>1</v>
      </c>
      <c r="F2048" s="4">
        <v>1118</v>
      </c>
      <c r="G2048" s="9">
        <v>319.27999999999997</v>
      </c>
    </row>
    <row r="2049" spans="1:7" ht="15.6" x14ac:dyDescent="0.3">
      <c r="A2049" s="16">
        <v>45412</v>
      </c>
      <c r="B2049" s="10" t="s">
        <v>10</v>
      </c>
      <c r="C2049" s="10" t="s">
        <v>11</v>
      </c>
      <c r="D2049" s="10" t="s">
        <v>9</v>
      </c>
      <c r="E2049" s="4">
        <v>9</v>
      </c>
      <c r="F2049" s="4">
        <v>4005</v>
      </c>
      <c r="G2049" s="9">
        <v>652.15</v>
      </c>
    </row>
    <row r="2050" spans="1:7" ht="15.6" x14ac:dyDescent="0.3">
      <c r="A2050" s="16">
        <v>45355</v>
      </c>
      <c r="B2050" s="10" t="s">
        <v>19</v>
      </c>
      <c r="C2050" s="10" t="s">
        <v>14</v>
      </c>
      <c r="D2050" s="10" t="s">
        <v>12</v>
      </c>
      <c r="E2050" s="4">
        <v>5</v>
      </c>
      <c r="F2050" s="4">
        <v>4610</v>
      </c>
      <c r="G2050" s="9">
        <v>1293.3699999999999</v>
      </c>
    </row>
    <row r="2051" spans="1:7" ht="15.6" x14ac:dyDescent="0.3">
      <c r="A2051" s="16">
        <v>45579</v>
      </c>
      <c r="B2051" s="10" t="s">
        <v>22</v>
      </c>
      <c r="C2051" s="10" t="s">
        <v>11</v>
      </c>
      <c r="D2051" s="10" t="s">
        <v>15</v>
      </c>
      <c r="E2051" s="4">
        <v>1</v>
      </c>
      <c r="F2051" s="4">
        <v>551</v>
      </c>
      <c r="G2051" s="9">
        <v>86.84</v>
      </c>
    </row>
    <row r="2052" spans="1:7" ht="15.6" x14ac:dyDescent="0.3">
      <c r="A2052" s="16">
        <v>44778</v>
      </c>
      <c r="B2052" s="10" t="s">
        <v>7</v>
      </c>
      <c r="C2052" s="10" t="s">
        <v>8</v>
      </c>
      <c r="D2052" s="10" t="s">
        <v>16</v>
      </c>
      <c r="E2052" s="4">
        <v>1</v>
      </c>
      <c r="F2052" s="4">
        <v>75</v>
      </c>
      <c r="G2052" s="9">
        <v>19.29</v>
      </c>
    </row>
    <row r="2053" spans="1:7" ht="15.6" x14ac:dyDescent="0.3">
      <c r="A2053" s="16">
        <v>45279</v>
      </c>
      <c r="B2053" s="10" t="s">
        <v>10</v>
      </c>
      <c r="C2053" s="10" t="s">
        <v>11</v>
      </c>
      <c r="D2053" s="10" t="s">
        <v>15</v>
      </c>
      <c r="E2053" s="4">
        <v>6</v>
      </c>
      <c r="F2053" s="4">
        <v>6576</v>
      </c>
      <c r="G2053" s="9">
        <v>1899.67</v>
      </c>
    </row>
    <row r="2054" spans="1:7" ht="15.6" x14ac:dyDescent="0.3">
      <c r="A2054" s="16">
        <v>45011</v>
      </c>
      <c r="B2054" s="10" t="s">
        <v>7</v>
      </c>
      <c r="C2054" s="10" t="s">
        <v>8</v>
      </c>
      <c r="D2054" s="10" t="s">
        <v>9</v>
      </c>
      <c r="E2054" s="4">
        <v>6</v>
      </c>
      <c r="F2054" s="4">
        <v>6432</v>
      </c>
      <c r="G2054" s="9">
        <v>1410.52</v>
      </c>
    </row>
    <row r="2055" spans="1:7" ht="15.6" x14ac:dyDescent="0.3">
      <c r="A2055" s="16">
        <v>44781</v>
      </c>
      <c r="B2055" s="10" t="s">
        <v>18</v>
      </c>
      <c r="C2055" s="10" t="s">
        <v>11</v>
      </c>
      <c r="D2055" s="10" t="s">
        <v>15</v>
      </c>
      <c r="E2055" s="4">
        <v>7</v>
      </c>
      <c r="F2055" s="4">
        <v>7763</v>
      </c>
      <c r="G2055" s="9">
        <v>1444.27</v>
      </c>
    </row>
    <row r="2056" spans="1:7" ht="15.6" x14ac:dyDescent="0.3">
      <c r="A2056" s="16">
        <v>45353</v>
      </c>
      <c r="B2056" s="10" t="s">
        <v>20</v>
      </c>
      <c r="C2056" s="10" t="s">
        <v>11</v>
      </c>
      <c r="D2056" s="10" t="s">
        <v>12</v>
      </c>
      <c r="E2056" s="4">
        <v>7</v>
      </c>
      <c r="F2056" s="4">
        <v>2240</v>
      </c>
      <c r="G2056" s="9">
        <v>622.29</v>
      </c>
    </row>
    <row r="2057" spans="1:7" ht="15.6" x14ac:dyDescent="0.3">
      <c r="A2057" s="16">
        <v>44899</v>
      </c>
      <c r="B2057" s="10" t="s">
        <v>18</v>
      </c>
      <c r="C2057" s="10" t="s">
        <v>11</v>
      </c>
      <c r="D2057" s="10" t="s">
        <v>12</v>
      </c>
      <c r="E2057" s="4">
        <v>6</v>
      </c>
      <c r="F2057" s="4">
        <v>5298</v>
      </c>
      <c r="G2057" s="9">
        <v>1209.8800000000001</v>
      </c>
    </row>
    <row r="2058" spans="1:7" ht="15.6" x14ac:dyDescent="0.3">
      <c r="A2058" s="16">
        <v>45122</v>
      </c>
      <c r="B2058" s="10" t="s">
        <v>19</v>
      </c>
      <c r="C2058" s="10" t="s">
        <v>14</v>
      </c>
      <c r="D2058" s="10" t="s">
        <v>9</v>
      </c>
      <c r="E2058" s="4">
        <v>2</v>
      </c>
      <c r="F2058" s="4">
        <v>116</v>
      </c>
      <c r="G2058" s="9">
        <v>32.270000000000003</v>
      </c>
    </row>
    <row r="2059" spans="1:7" ht="15.6" x14ac:dyDescent="0.3">
      <c r="A2059" s="16">
        <v>44594</v>
      </c>
      <c r="B2059" s="10" t="s">
        <v>13</v>
      </c>
      <c r="C2059" s="10" t="s">
        <v>14</v>
      </c>
      <c r="D2059" s="10" t="s">
        <v>12</v>
      </c>
      <c r="E2059" s="4">
        <v>8</v>
      </c>
      <c r="F2059" s="4">
        <v>6728</v>
      </c>
      <c r="G2059" s="9">
        <v>1140.19</v>
      </c>
    </row>
    <row r="2060" spans="1:7" ht="15.6" x14ac:dyDescent="0.3">
      <c r="A2060" s="16">
        <v>44897</v>
      </c>
      <c r="B2060" s="10" t="s">
        <v>20</v>
      </c>
      <c r="C2060" s="10" t="s">
        <v>11</v>
      </c>
      <c r="D2060" s="10" t="s">
        <v>9</v>
      </c>
      <c r="E2060" s="4">
        <v>5</v>
      </c>
      <c r="F2060" s="4">
        <v>490</v>
      </c>
      <c r="G2060" s="9">
        <v>55.59</v>
      </c>
    </row>
    <row r="2061" spans="1:7" ht="15.6" x14ac:dyDescent="0.3">
      <c r="A2061" s="16">
        <v>45317</v>
      </c>
      <c r="B2061" s="10" t="s">
        <v>20</v>
      </c>
      <c r="C2061" s="10" t="s">
        <v>11</v>
      </c>
      <c r="D2061" s="10" t="s">
        <v>9</v>
      </c>
      <c r="E2061" s="4">
        <v>7</v>
      </c>
      <c r="F2061" s="4">
        <v>2765</v>
      </c>
      <c r="G2061" s="9">
        <v>699.86</v>
      </c>
    </row>
    <row r="2062" spans="1:7" ht="15.6" x14ac:dyDescent="0.3">
      <c r="A2062" s="16">
        <v>44672</v>
      </c>
      <c r="B2062" s="10" t="s">
        <v>21</v>
      </c>
      <c r="C2062" s="10" t="s">
        <v>14</v>
      </c>
      <c r="D2062" s="10" t="s">
        <v>16</v>
      </c>
      <c r="E2062" s="4">
        <v>8</v>
      </c>
      <c r="F2062" s="4">
        <v>2680</v>
      </c>
      <c r="G2062" s="9">
        <v>598.97</v>
      </c>
    </row>
    <row r="2063" spans="1:7" ht="15.6" x14ac:dyDescent="0.3">
      <c r="A2063" s="16">
        <v>45157</v>
      </c>
      <c r="B2063" s="10" t="s">
        <v>17</v>
      </c>
      <c r="C2063" s="10" t="s">
        <v>14</v>
      </c>
      <c r="D2063" s="10" t="s">
        <v>12</v>
      </c>
      <c r="E2063" s="4">
        <v>2</v>
      </c>
      <c r="F2063" s="4">
        <v>2174</v>
      </c>
      <c r="G2063" s="9">
        <v>335.37</v>
      </c>
    </row>
    <row r="2064" spans="1:7" ht="15.6" x14ac:dyDescent="0.3">
      <c r="A2064" s="16">
        <v>45393</v>
      </c>
      <c r="B2064" s="10" t="s">
        <v>20</v>
      </c>
      <c r="C2064" s="10" t="s">
        <v>11</v>
      </c>
      <c r="D2064" s="10" t="s">
        <v>9</v>
      </c>
      <c r="E2064" s="4">
        <v>9</v>
      </c>
      <c r="F2064" s="4">
        <v>5562</v>
      </c>
      <c r="G2064" s="9">
        <v>1258.1199999999999</v>
      </c>
    </row>
    <row r="2065" spans="1:7" ht="15.6" x14ac:dyDescent="0.3">
      <c r="A2065" s="16">
        <v>44831</v>
      </c>
      <c r="B2065" s="10" t="s">
        <v>21</v>
      </c>
      <c r="C2065" s="10" t="s">
        <v>14</v>
      </c>
      <c r="D2065" s="10" t="s">
        <v>12</v>
      </c>
      <c r="E2065" s="4">
        <v>8</v>
      </c>
      <c r="F2065" s="4">
        <v>9208</v>
      </c>
      <c r="G2065" s="9">
        <v>2595.33</v>
      </c>
    </row>
    <row r="2066" spans="1:7" ht="15.6" x14ac:dyDescent="0.3">
      <c r="A2066" s="16">
        <v>45535</v>
      </c>
      <c r="B2066" s="10" t="s">
        <v>21</v>
      </c>
      <c r="C2066" s="10" t="s">
        <v>14</v>
      </c>
      <c r="D2066" s="10" t="s">
        <v>16</v>
      </c>
      <c r="E2066" s="4">
        <v>4</v>
      </c>
      <c r="F2066" s="4">
        <v>4512</v>
      </c>
      <c r="G2066" s="9">
        <v>546.71</v>
      </c>
    </row>
    <row r="2067" spans="1:7" ht="15.6" x14ac:dyDescent="0.3">
      <c r="A2067" s="16">
        <v>45355</v>
      </c>
      <c r="B2067" s="10" t="s">
        <v>17</v>
      </c>
      <c r="C2067" s="10" t="s">
        <v>14</v>
      </c>
      <c r="D2067" s="10" t="s">
        <v>16</v>
      </c>
      <c r="E2067" s="4">
        <v>9</v>
      </c>
      <c r="F2067" s="4">
        <v>7974</v>
      </c>
      <c r="G2067" s="9">
        <v>1965.96</v>
      </c>
    </row>
    <row r="2068" spans="1:7" ht="15.6" x14ac:dyDescent="0.3">
      <c r="A2068" s="16">
        <v>44681</v>
      </c>
      <c r="B2068" s="10" t="s">
        <v>20</v>
      </c>
      <c r="C2068" s="10" t="s">
        <v>11</v>
      </c>
      <c r="D2068" s="10" t="s">
        <v>12</v>
      </c>
      <c r="E2068" s="4">
        <v>6</v>
      </c>
      <c r="F2068" s="4">
        <v>4944</v>
      </c>
      <c r="G2068" s="9">
        <v>1335.04</v>
      </c>
    </row>
    <row r="2069" spans="1:7" ht="15.6" x14ac:dyDescent="0.3">
      <c r="A2069" s="16">
        <v>44639</v>
      </c>
      <c r="B2069" s="10" t="s">
        <v>7</v>
      </c>
      <c r="C2069" s="10" t="s">
        <v>8</v>
      </c>
      <c r="D2069" s="10" t="s">
        <v>15</v>
      </c>
      <c r="E2069" s="4">
        <v>3</v>
      </c>
      <c r="F2069" s="4">
        <v>1611</v>
      </c>
      <c r="G2069" s="9">
        <v>234.84</v>
      </c>
    </row>
    <row r="2070" spans="1:7" ht="15.6" x14ac:dyDescent="0.3">
      <c r="A2070" s="16">
        <v>45478</v>
      </c>
      <c r="B2070" s="10" t="s">
        <v>19</v>
      </c>
      <c r="C2070" s="10" t="s">
        <v>14</v>
      </c>
      <c r="D2070" s="10" t="s">
        <v>16</v>
      </c>
      <c r="E2070" s="4">
        <v>9</v>
      </c>
      <c r="F2070" s="4">
        <v>4599</v>
      </c>
      <c r="G2070" s="9">
        <v>618.89</v>
      </c>
    </row>
    <row r="2071" spans="1:7" ht="15.6" x14ac:dyDescent="0.3">
      <c r="A2071" s="16">
        <v>45372</v>
      </c>
      <c r="B2071" s="10" t="s">
        <v>23</v>
      </c>
      <c r="C2071" s="10" t="s">
        <v>14</v>
      </c>
      <c r="D2071" s="10" t="s">
        <v>12</v>
      </c>
      <c r="E2071" s="4">
        <v>6</v>
      </c>
      <c r="F2071" s="4">
        <v>4380</v>
      </c>
      <c r="G2071" s="9">
        <v>419.3</v>
      </c>
    </row>
    <row r="2072" spans="1:7" ht="15.6" x14ac:dyDescent="0.3">
      <c r="A2072" s="16">
        <v>45585</v>
      </c>
      <c r="B2072" s="10" t="s">
        <v>18</v>
      </c>
      <c r="C2072" s="10" t="s">
        <v>11</v>
      </c>
      <c r="D2072" s="10" t="s">
        <v>15</v>
      </c>
      <c r="E2072" s="4">
        <v>2</v>
      </c>
      <c r="F2072" s="4">
        <v>2376</v>
      </c>
      <c r="G2072" s="9">
        <v>580.26</v>
      </c>
    </row>
    <row r="2073" spans="1:7" ht="15.6" x14ac:dyDescent="0.3">
      <c r="A2073" s="16">
        <v>44929</v>
      </c>
      <c r="B2073" s="10" t="s">
        <v>20</v>
      </c>
      <c r="C2073" s="10" t="s">
        <v>11</v>
      </c>
      <c r="D2073" s="10" t="s">
        <v>15</v>
      </c>
      <c r="E2073" s="4">
        <v>9</v>
      </c>
      <c r="F2073" s="4">
        <v>6588</v>
      </c>
      <c r="G2073" s="9">
        <v>1800.9</v>
      </c>
    </row>
    <row r="2074" spans="1:7" ht="15.6" x14ac:dyDescent="0.3">
      <c r="A2074" s="16">
        <v>44566</v>
      </c>
      <c r="B2074" s="10" t="s">
        <v>10</v>
      </c>
      <c r="C2074" s="10" t="s">
        <v>11</v>
      </c>
      <c r="D2074" s="10" t="s">
        <v>12</v>
      </c>
      <c r="E2074" s="4">
        <v>5</v>
      </c>
      <c r="F2074" s="4">
        <v>3745</v>
      </c>
      <c r="G2074" s="9">
        <v>720.08</v>
      </c>
    </row>
    <row r="2075" spans="1:7" ht="15.6" x14ac:dyDescent="0.3">
      <c r="A2075" s="16">
        <v>44730</v>
      </c>
      <c r="B2075" s="10" t="s">
        <v>17</v>
      </c>
      <c r="C2075" s="10" t="s">
        <v>14</v>
      </c>
      <c r="D2075" s="10" t="s">
        <v>9</v>
      </c>
      <c r="E2075" s="4">
        <v>5</v>
      </c>
      <c r="F2075" s="4">
        <v>5305</v>
      </c>
      <c r="G2075" s="9">
        <v>1389.25</v>
      </c>
    </row>
    <row r="2076" spans="1:7" ht="15.6" x14ac:dyDescent="0.3">
      <c r="A2076" s="16">
        <v>45065</v>
      </c>
      <c r="B2076" s="10" t="s">
        <v>13</v>
      </c>
      <c r="C2076" s="10" t="s">
        <v>14</v>
      </c>
      <c r="D2076" s="10" t="s">
        <v>9</v>
      </c>
      <c r="E2076" s="4">
        <v>8</v>
      </c>
      <c r="F2076" s="4">
        <v>1608</v>
      </c>
      <c r="G2076" s="9">
        <v>332.12</v>
      </c>
    </row>
    <row r="2077" spans="1:7" ht="15.6" x14ac:dyDescent="0.3">
      <c r="A2077" s="16">
        <v>45491</v>
      </c>
      <c r="B2077" s="10" t="s">
        <v>20</v>
      </c>
      <c r="C2077" s="10" t="s">
        <v>11</v>
      </c>
      <c r="D2077" s="10" t="s">
        <v>12</v>
      </c>
      <c r="E2077" s="4">
        <v>9</v>
      </c>
      <c r="F2077" s="4">
        <v>4977</v>
      </c>
      <c r="G2077" s="9">
        <v>745.81</v>
      </c>
    </row>
    <row r="2078" spans="1:7" ht="15.6" x14ac:dyDescent="0.3">
      <c r="A2078" s="16">
        <v>44601</v>
      </c>
      <c r="B2078" s="10" t="s">
        <v>21</v>
      </c>
      <c r="C2078" s="10" t="s">
        <v>14</v>
      </c>
      <c r="D2078" s="10" t="s">
        <v>12</v>
      </c>
      <c r="E2078" s="4">
        <v>7</v>
      </c>
      <c r="F2078" s="4">
        <v>4529</v>
      </c>
      <c r="G2078" s="9">
        <v>273.97000000000003</v>
      </c>
    </row>
    <row r="2079" spans="1:7" ht="15.6" x14ac:dyDescent="0.3">
      <c r="A2079" s="16">
        <v>45397</v>
      </c>
      <c r="B2079" s="10" t="s">
        <v>17</v>
      </c>
      <c r="C2079" s="10" t="s">
        <v>14</v>
      </c>
      <c r="D2079" s="10" t="s">
        <v>16</v>
      </c>
      <c r="E2079" s="4">
        <v>7</v>
      </c>
      <c r="F2079" s="4">
        <v>4690</v>
      </c>
      <c r="G2079" s="9">
        <v>319.42</v>
      </c>
    </row>
    <row r="2080" spans="1:7" ht="15.6" x14ac:dyDescent="0.3">
      <c r="A2080" s="16">
        <v>45608</v>
      </c>
      <c r="B2080" s="10" t="s">
        <v>22</v>
      </c>
      <c r="C2080" s="10" t="s">
        <v>11</v>
      </c>
      <c r="D2080" s="10" t="s">
        <v>12</v>
      </c>
      <c r="E2080" s="4">
        <v>4</v>
      </c>
      <c r="F2080" s="4">
        <v>2424</v>
      </c>
      <c r="G2080" s="9">
        <v>544.07000000000005</v>
      </c>
    </row>
    <row r="2081" spans="1:7" ht="15.6" x14ac:dyDescent="0.3">
      <c r="A2081" s="16">
        <v>45623</v>
      </c>
      <c r="B2081" s="10" t="s">
        <v>22</v>
      </c>
      <c r="C2081" s="10" t="s">
        <v>11</v>
      </c>
      <c r="D2081" s="10" t="s">
        <v>9</v>
      </c>
      <c r="E2081" s="4">
        <v>6</v>
      </c>
      <c r="F2081" s="4">
        <v>3594</v>
      </c>
      <c r="G2081" s="9">
        <v>610.77</v>
      </c>
    </row>
    <row r="2082" spans="1:7" ht="15.6" x14ac:dyDescent="0.3">
      <c r="A2082" s="16">
        <v>44684</v>
      </c>
      <c r="B2082" s="10" t="s">
        <v>22</v>
      </c>
      <c r="C2082" s="10" t="s">
        <v>11</v>
      </c>
      <c r="D2082" s="10" t="s">
        <v>9</v>
      </c>
      <c r="E2082" s="4">
        <v>7</v>
      </c>
      <c r="F2082" s="4">
        <v>3962</v>
      </c>
      <c r="G2082" s="9">
        <v>491.9</v>
      </c>
    </row>
    <row r="2083" spans="1:7" ht="15.6" x14ac:dyDescent="0.3">
      <c r="A2083" s="16">
        <v>45365</v>
      </c>
      <c r="B2083" s="10" t="s">
        <v>17</v>
      </c>
      <c r="C2083" s="10" t="s">
        <v>14</v>
      </c>
      <c r="D2083" s="10" t="s">
        <v>12</v>
      </c>
      <c r="E2083" s="4">
        <v>2</v>
      </c>
      <c r="F2083" s="4">
        <v>944</v>
      </c>
      <c r="G2083" s="9">
        <v>149.38</v>
      </c>
    </row>
    <row r="2084" spans="1:7" ht="15.6" x14ac:dyDescent="0.3">
      <c r="A2084" s="16">
        <v>44915</v>
      </c>
      <c r="B2084" s="10" t="s">
        <v>19</v>
      </c>
      <c r="C2084" s="10" t="s">
        <v>14</v>
      </c>
      <c r="D2084" s="10" t="s">
        <v>16</v>
      </c>
      <c r="E2084" s="4">
        <v>6</v>
      </c>
      <c r="F2084" s="4">
        <v>6792</v>
      </c>
      <c r="G2084" s="9">
        <v>1787.97</v>
      </c>
    </row>
    <row r="2085" spans="1:7" ht="15.6" x14ac:dyDescent="0.3">
      <c r="A2085" s="16">
        <v>44991</v>
      </c>
      <c r="B2085" s="10" t="s">
        <v>13</v>
      </c>
      <c r="C2085" s="10" t="s">
        <v>14</v>
      </c>
      <c r="D2085" s="10" t="s">
        <v>9</v>
      </c>
      <c r="E2085" s="4">
        <v>7</v>
      </c>
      <c r="F2085" s="4">
        <v>6804</v>
      </c>
      <c r="G2085" s="9">
        <v>1383.81</v>
      </c>
    </row>
    <row r="2086" spans="1:7" ht="15.6" x14ac:dyDescent="0.3">
      <c r="A2086" s="16">
        <v>45555</v>
      </c>
      <c r="B2086" s="10" t="s">
        <v>17</v>
      </c>
      <c r="C2086" s="10" t="s">
        <v>14</v>
      </c>
      <c r="D2086" s="10" t="s">
        <v>15</v>
      </c>
      <c r="E2086" s="4">
        <v>6</v>
      </c>
      <c r="F2086" s="4">
        <v>816</v>
      </c>
      <c r="G2086" s="9">
        <v>98.75</v>
      </c>
    </row>
    <row r="2087" spans="1:7" ht="15.6" x14ac:dyDescent="0.3">
      <c r="A2087" s="16">
        <v>44752</v>
      </c>
      <c r="B2087" s="10" t="s">
        <v>20</v>
      </c>
      <c r="C2087" s="10" t="s">
        <v>11</v>
      </c>
      <c r="D2087" s="10" t="s">
        <v>9</v>
      </c>
      <c r="E2087" s="4">
        <v>6</v>
      </c>
      <c r="F2087" s="4">
        <v>5916</v>
      </c>
      <c r="G2087" s="9">
        <v>544.59</v>
      </c>
    </row>
    <row r="2088" spans="1:7" ht="15.6" x14ac:dyDescent="0.3">
      <c r="A2088" s="16">
        <v>44729</v>
      </c>
      <c r="B2088" s="10" t="s">
        <v>10</v>
      </c>
      <c r="C2088" s="10" t="s">
        <v>11</v>
      </c>
      <c r="D2088" s="10" t="s">
        <v>15</v>
      </c>
      <c r="E2088" s="4">
        <v>5</v>
      </c>
      <c r="F2088" s="4">
        <v>5730</v>
      </c>
      <c r="G2088" s="9">
        <v>310.58</v>
      </c>
    </row>
    <row r="2089" spans="1:7" ht="15.6" x14ac:dyDescent="0.3">
      <c r="A2089" s="16">
        <v>45425</v>
      </c>
      <c r="B2089" s="10" t="s">
        <v>18</v>
      </c>
      <c r="C2089" s="10" t="s">
        <v>11</v>
      </c>
      <c r="D2089" s="10" t="s">
        <v>12</v>
      </c>
      <c r="E2089" s="4">
        <v>7</v>
      </c>
      <c r="F2089" s="4">
        <v>8288</v>
      </c>
      <c r="G2089" s="9">
        <v>785.54</v>
      </c>
    </row>
    <row r="2090" spans="1:7" ht="15.6" x14ac:dyDescent="0.3">
      <c r="A2090" s="16">
        <v>44736</v>
      </c>
      <c r="B2090" s="10" t="s">
        <v>18</v>
      </c>
      <c r="C2090" s="10" t="s">
        <v>11</v>
      </c>
      <c r="D2090" s="10" t="s">
        <v>15</v>
      </c>
      <c r="E2090" s="4">
        <v>2</v>
      </c>
      <c r="F2090" s="4">
        <v>2046</v>
      </c>
      <c r="G2090" s="9">
        <v>394.93</v>
      </c>
    </row>
    <row r="2091" spans="1:7" ht="15.6" x14ac:dyDescent="0.3">
      <c r="A2091" s="16">
        <v>44717</v>
      </c>
      <c r="B2091" s="10" t="s">
        <v>13</v>
      </c>
      <c r="C2091" s="10" t="s">
        <v>14</v>
      </c>
      <c r="D2091" s="10" t="s">
        <v>12</v>
      </c>
      <c r="E2091" s="4">
        <v>9</v>
      </c>
      <c r="F2091" s="4">
        <v>5031</v>
      </c>
      <c r="G2091" s="9">
        <v>1149.48</v>
      </c>
    </row>
    <row r="2092" spans="1:7" ht="15.6" x14ac:dyDescent="0.3">
      <c r="A2092" s="16">
        <v>44630</v>
      </c>
      <c r="B2092" s="10" t="s">
        <v>22</v>
      </c>
      <c r="C2092" s="10" t="s">
        <v>11</v>
      </c>
      <c r="D2092" s="10" t="s">
        <v>15</v>
      </c>
      <c r="E2092" s="4">
        <v>9</v>
      </c>
      <c r="F2092" s="4">
        <v>1764</v>
      </c>
      <c r="G2092" s="9">
        <v>417.95</v>
      </c>
    </row>
    <row r="2093" spans="1:7" ht="15.6" x14ac:dyDescent="0.3">
      <c r="A2093" s="16">
        <v>44765</v>
      </c>
      <c r="B2093" s="10" t="s">
        <v>23</v>
      </c>
      <c r="C2093" s="10" t="s">
        <v>14</v>
      </c>
      <c r="D2093" s="10" t="s">
        <v>15</v>
      </c>
      <c r="E2093" s="4">
        <v>8</v>
      </c>
      <c r="F2093" s="4">
        <v>1880</v>
      </c>
      <c r="G2093" s="9">
        <v>486.88</v>
      </c>
    </row>
    <row r="2094" spans="1:7" ht="15.6" x14ac:dyDescent="0.3">
      <c r="A2094" s="16">
        <v>45285</v>
      </c>
      <c r="B2094" s="10" t="s">
        <v>19</v>
      </c>
      <c r="C2094" s="10" t="s">
        <v>14</v>
      </c>
      <c r="D2094" s="10" t="s">
        <v>16</v>
      </c>
      <c r="E2094" s="4">
        <v>2</v>
      </c>
      <c r="F2094" s="4">
        <v>200</v>
      </c>
      <c r="G2094" s="9">
        <v>10.45</v>
      </c>
    </row>
    <row r="2095" spans="1:7" ht="15.6" x14ac:dyDescent="0.3">
      <c r="A2095" s="16">
        <v>44840</v>
      </c>
      <c r="B2095" s="10" t="s">
        <v>10</v>
      </c>
      <c r="C2095" s="10" t="s">
        <v>11</v>
      </c>
      <c r="D2095" s="10" t="s">
        <v>12</v>
      </c>
      <c r="E2095" s="4">
        <v>3</v>
      </c>
      <c r="F2095" s="4">
        <v>2688</v>
      </c>
      <c r="G2095" s="9">
        <v>476.77</v>
      </c>
    </row>
    <row r="2096" spans="1:7" ht="15.6" x14ac:dyDescent="0.3">
      <c r="A2096" s="16">
        <v>44928</v>
      </c>
      <c r="B2096" s="10" t="s">
        <v>23</v>
      </c>
      <c r="C2096" s="10" t="s">
        <v>14</v>
      </c>
      <c r="D2096" s="10" t="s">
        <v>16</v>
      </c>
      <c r="E2096" s="4">
        <v>4</v>
      </c>
      <c r="F2096" s="4">
        <v>3216</v>
      </c>
      <c r="G2096" s="9">
        <v>213.81</v>
      </c>
    </row>
    <row r="2097" spans="1:7" ht="15.6" x14ac:dyDescent="0.3">
      <c r="A2097" s="16">
        <v>45281</v>
      </c>
      <c r="B2097" s="10" t="s">
        <v>17</v>
      </c>
      <c r="C2097" s="10" t="s">
        <v>14</v>
      </c>
      <c r="D2097" s="10" t="s">
        <v>12</v>
      </c>
      <c r="E2097" s="4">
        <v>8</v>
      </c>
      <c r="F2097" s="4">
        <v>8440</v>
      </c>
      <c r="G2097" s="9">
        <v>1504.18</v>
      </c>
    </row>
    <row r="2098" spans="1:7" ht="15.6" x14ac:dyDescent="0.3">
      <c r="A2098" s="16">
        <v>45408</v>
      </c>
      <c r="B2098" s="10" t="s">
        <v>13</v>
      </c>
      <c r="C2098" s="10" t="s">
        <v>14</v>
      </c>
      <c r="D2098" s="10" t="s">
        <v>12</v>
      </c>
      <c r="E2098" s="4">
        <v>7</v>
      </c>
      <c r="F2098" s="4">
        <v>1582</v>
      </c>
      <c r="G2098" s="9">
        <v>208.42</v>
      </c>
    </row>
    <row r="2099" spans="1:7" ht="15.6" x14ac:dyDescent="0.3">
      <c r="A2099" s="16">
        <v>45485</v>
      </c>
      <c r="B2099" s="10" t="s">
        <v>23</v>
      </c>
      <c r="C2099" s="10" t="s">
        <v>14</v>
      </c>
      <c r="D2099" s="10" t="s">
        <v>9</v>
      </c>
      <c r="E2099" s="4">
        <v>1</v>
      </c>
      <c r="F2099" s="4">
        <v>58</v>
      </c>
      <c r="G2099" s="9">
        <v>10.79</v>
      </c>
    </row>
    <row r="2100" spans="1:7" ht="15.6" x14ac:dyDescent="0.3">
      <c r="A2100" s="16">
        <v>44646</v>
      </c>
      <c r="B2100" s="10" t="s">
        <v>19</v>
      </c>
      <c r="C2100" s="10" t="s">
        <v>14</v>
      </c>
      <c r="D2100" s="10" t="s">
        <v>16</v>
      </c>
      <c r="E2100" s="4">
        <v>8</v>
      </c>
      <c r="F2100" s="4">
        <v>608</v>
      </c>
      <c r="G2100" s="9">
        <v>163.18</v>
      </c>
    </row>
    <row r="2101" spans="1:7" ht="15.6" x14ac:dyDescent="0.3">
      <c r="A2101" s="16">
        <v>45615</v>
      </c>
      <c r="B2101" s="10" t="s">
        <v>21</v>
      </c>
      <c r="C2101" s="10" t="s">
        <v>14</v>
      </c>
      <c r="D2101" s="10" t="s">
        <v>9</v>
      </c>
      <c r="E2101" s="4">
        <v>3</v>
      </c>
      <c r="F2101" s="4">
        <v>183</v>
      </c>
      <c r="G2101" s="9">
        <v>41.82</v>
      </c>
    </row>
    <row r="2102" spans="1:7" ht="15.6" x14ac:dyDescent="0.3">
      <c r="A2102" s="16">
        <v>45475</v>
      </c>
      <c r="B2102" s="10" t="s">
        <v>20</v>
      </c>
      <c r="C2102" s="10" t="s">
        <v>11</v>
      </c>
      <c r="D2102" s="10" t="s">
        <v>16</v>
      </c>
      <c r="E2102" s="4">
        <v>5</v>
      </c>
      <c r="F2102" s="4">
        <v>3105</v>
      </c>
      <c r="G2102" s="9">
        <v>744.26</v>
      </c>
    </row>
    <row r="2103" spans="1:7" ht="15.6" x14ac:dyDescent="0.3">
      <c r="A2103" s="16">
        <v>45029</v>
      </c>
      <c r="B2103" s="10" t="s">
        <v>20</v>
      </c>
      <c r="C2103" s="10" t="s">
        <v>11</v>
      </c>
      <c r="D2103" s="10" t="s">
        <v>9</v>
      </c>
      <c r="E2103" s="4">
        <v>5</v>
      </c>
      <c r="F2103" s="4">
        <v>2450</v>
      </c>
      <c r="G2103" s="9">
        <v>485.18</v>
      </c>
    </row>
    <row r="2104" spans="1:7" ht="15.6" x14ac:dyDescent="0.3">
      <c r="A2104" s="16">
        <v>44900</v>
      </c>
      <c r="B2104" s="10" t="s">
        <v>23</v>
      </c>
      <c r="C2104" s="10" t="s">
        <v>14</v>
      </c>
      <c r="D2104" s="10" t="s">
        <v>9</v>
      </c>
      <c r="E2104" s="4">
        <v>3</v>
      </c>
      <c r="F2104" s="4">
        <v>3024</v>
      </c>
      <c r="G2104" s="9">
        <v>622.29</v>
      </c>
    </row>
    <row r="2105" spans="1:7" ht="15.6" x14ac:dyDescent="0.3">
      <c r="A2105" s="16">
        <v>45036</v>
      </c>
      <c r="B2105" s="10" t="s">
        <v>7</v>
      </c>
      <c r="C2105" s="10" t="s">
        <v>8</v>
      </c>
      <c r="D2105" s="10" t="s">
        <v>12</v>
      </c>
      <c r="E2105" s="4">
        <v>4</v>
      </c>
      <c r="F2105" s="4">
        <v>3856</v>
      </c>
      <c r="G2105" s="9">
        <v>747.79</v>
      </c>
    </row>
    <row r="2106" spans="1:7" ht="15.6" x14ac:dyDescent="0.3">
      <c r="A2106" s="16">
        <v>45362</v>
      </c>
      <c r="B2106" s="10" t="s">
        <v>22</v>
      </c>
      <c r="C2106" s="10" t="s">
        <v>11</v>
      </c>
      <c r="D2106" s="10" t="s">
        <v>16</v>
      </c>
      <c r="E2106" s="4">
        <v>7</v>
      </c>
      <c r="F2106" s="4">
        <v>532</v>
      </c>
      <c r="G2106" s="9">
        <v>121.03</v>
      </c>
    </row>
    <row r="2107" spans="1:7" ht="15.6" x14ac:dyDescent="0.3">
      <c r="A2107" s="16">
        <v>44976</v>
      </c>
      <c r="B2107" s="10" t="s">
        <v>21</v>
      </c>
      <c r="C2107" s="10" t="s">
        <v>14</v>
      </c>
      <c r="D2107" s="10" t="s">
        <v>15</v>
      </c>
      <c r="E2107" s="4">
        <v>4</v>
      </c>
      <c r="F2107" s="4">
        <v>3152</v>
      </c>
      <c r="G2107" s="9">
        <v>307.62</v>
      </c>
    </row>
    <row r="2108" spans="1:7" ht="15.6" x14ac:dyDescent="0.3">
      <c r="A2108" s="16">
        <v>45264</v>
      </c>
      <c r="B2108" s="10" t="s">
        <v>20</v>
      </c>
      <c r="C2108" s="10" t="s">
        <v>11</v>
      </c>
      <c r="D2108" s="10" t="s">
        <v>12</v>
      </c>
      <c r="E2108" s="4">
        <v>9</v>
      </c>
      <c r="F2108" s="4">
        <v>8586</v>
      </c>
      <c r="G2108" s="9">
        <v>1555.82</v>
      </c>
    </row>
    <row r="2109" spans="1:7" ht="15.6" x14ac:dyDescent="0.3">
      <c r="A2109" s="16">
        <v>44855</v>
      </c>
      <c r="B2109" s="10" t="s">
        <v>20</v>
      </c>
      <c r="C2109" s="10" t="s">
        <v>11</v>
      </c>
      <c r="D2109" s="10" t="s">
        <v>15</v>
      </c>
      <c r="E2109" s="4">
        <v>2</v>
      </c>
      <c r="F2109" s="4">
        <v>1046</v>
      </c>
      <c r="G2109" s="9">
        <v>273.38</v>
      </c>
    </row>
    <row r="2110" spans="1:7" ht="15.6" x14ac:dyDescent="0.3">
      <c r="A2110" s="16">
        <v>44607</v>
      </c>
      <c r="B2110" s="10" t="s">
        <v>13</v>
      </c>
      <c r="C2110" s="10" t="s">
        <v>14</v>
      </c>
      <c r="D2110" s="10" t="s">
        <v>16</v>
      </c>
      <c r="E2110" s="4">
        <v>4</v>
      </c>
      <c r="F2110" s="4">
        <v>3452</v>
      </c>
      <c r="G2110" s="9">
        <v>560.30999999999995</v>
      </c>
    </row>
    <row r="2111" spans="1:7" ht="15.6" x14ac:dyDescent="0.3">
      <c r="A2111" s="16">
        <v>44632</v>
      </c>
      <c r="B2111" s="10" t="s">
        <v>20</v>
      </c>
      <c r="C2111" s="10" t="s">
        <v>11</v>
      </c>
      <c r="D2111" s="10" t="s">
        <v>16</v>
      </c>
      <c r="E2111" s="4">
        <v>4</v>
      </c>
      <c r="F2111" s="4">
        <v>2368</v>
      </c>
      <c r="G2111" s="9">
        <v>361.02</v>
      </c>
    </row>
    <row r="2112" spans="1:7" ht="15.6" x14ac:dyDescent="0.3">
      <c r="A2112" s="16">
        <v>44854</v>
      </c>
      <c r="B2112" s="10" t="s">
        <v>17</v>
      </c>
      <c r="C2112" s="10" t="s">
        <v>14</v>
      </c>
      <c r="D2112" s="10" t="s">
        <v>15</v>
      </c>
      <c r="E2112" s="4">
        <v>2</v>
      </c>
      <c r="F2112" s="4">
        <v>1924</v>
      </c>
      <c r="G2112" s="9">
        <v>422.25</v>
      </c>
    </row>
    <row r="2113" spans="1:7" ht="15.6" x14ac:dyDescent="0.3">
      <c r="A2113" s="16">
        <v>44823</v>
      </c>
      <c r="B2113" s="10" t="s">
        <v>23</v>
      </c>
      <c r="C2113" s="10" t="s">
        <v>14</v>
      </c>
      <c r="D2113" s="10" t="s">
        <v>16</v>
      </c>
      <c r="E2113" s="4">
        <v>5</v>
      </c>
      <c r="F2113" s="4">
        <v>4580</v>
      </c>
      <c r="G2113" s="9">
        <v>1148.06</v>
      </c>
    </row>
    <row r="2114" spans="1:7" ht="15.6" x14ac:dyDescent="0.3">
      <c r="A2114" s="16">
        <v>45598</v>
      </c>
      <c r="B2114" s="10" t="s">
        <v>18</v>
      </c>
      <c r="C2114" s="10" t="s">
        <v>11</v>
      </c>
      <c r="D2114" s="10" t="s">
        <v>12</v>
      </c>
      <c r="E2114" s="4">
        <v>5</v>
      </c>
      <c r="F2114" s="4">
        <v>3735</v>
      </c>
      <c r="G2114" s="9">
        <v>423.94</v>
      </c>
    </row>
    <row r="2115" spans="1:7" ht="15.6" x14ac:dyDescent="0.3">
      <c r="A2115" s="16">
        <v>45059</v>
      </c>
      <c r="B2115" s="10" t="s">
        <v>20</v>
      </c>
      <c r="C2115" s="10" t="s">
        <v>11</v>
      </c>
      <c r="D2115" s="10" t="s">
        <v>9</v>
      </c>
      <c r="E2115" s="4">
        <v>4</v>
      </c>
      <c r="F2115" s="4">
        <v>2476</v>
      </c>
      <c r="G2115" s="9">
        <v>417.16</v>
      </c>
    </row>
    <row r="2116" spans="1:7" ht="15.6" x14ac:dyDescent="0.3">
      <c r="A2116" s="16">
        <v>45120</v>
      </c>
      <c r="B2116" s="10" t="s">
        <v>23</v>
      </c>
      <c r="C2116" s="10" t="s">
        <v>14</v>
      </c>
      <c r="D2116" s="10" t="s">
        <v>15</v>
      </c>
      <c r="E2116" s="4">
        <v>2</v>
      </c>
      <c r="F2116" s="4">
        <v>162</v>
      </c>
      <c r="G2116" s="9">
        <v>16.510000000000002</v>
      </c>
    </row>
    <row r="2117" spans="1:7" ht="15.6" x14ac:dyDescent="0.3">
      <c r="A2117" s="16">
        <v>44746</v>
      </c>
      <c r="B2117" s="10" t="s">
        <v>7</v>
      </c>
      <c r="C2117" s="10" t="s">
        <v>8</v>
      </c>
      <c r="D2117" s="10" t="s">
        <v>16</v>
      </c>
      <c r="E2117" s="4">
        <v>3</v>
      </c>
      <c r="F2117" s="4">
        <v>258</v>
      </c>
      <c r="G2117" s="9">
        <v>38.03</v>
      </c>
    </row>
    <row r="2118" spans="1:7" ht="15.6" x14ac:dyDescent="0.3">
      <c r="A2118" s="16">
        <v>44639</v>
      </c>
      <c r="B2118" s="10" t="s">
        <v>22</v>
      </c>
      <c r="C2118" s="10" t="s">
        <v>11</v>
      </c>
      <c r="D2118" s="10" t="s">
        <v>12</v>
      </c>
      <c r="E2118" s="4">
        <v>4</v>
      </c>
      <c r="F2118" s="4">
        <v>3524</v>
      </c>
      <c r="G2118" s="9">
        <v>998.29</v>
      </c>
    </row>
    <row r="2119" spans="1:7" ht="15.6" x14ac:dyDescent="0.3">
      <c r="A2119" s="16">
        <v>45073</v>
      </c>
      <c r="B2119" s="10" t="s">
        <v>19</v>
      </c>
      <c r="C2119" s="10" t="s">
        <v>14</v>
      </c>
      <c r="D2119" s="10" t="s">
        <v>15</v>
      </c>
      <c r="E2119" s="4">
        <v>8</v>
      </c>
      <c r="F2119" s="4">
        <v>6184</v>
      </c>
      <c r="G2119" s="9">
        <v>1796.9</v>
      </c>
    </row>
    <row r="2120" spans="1:7" ht="15.6" x14ac:dyDescent="0.3">
      <c r="A2120" s="16">
        <v>44992</v>
      </c>
      <c r="B2120" s="10" t="s">
        <v>20</v>
      </c>
      <c r="C2120" s="10" t="s">
        <v>11</v>
      </c>
      <c r="D2120" s="10" t="s">
        <v>16</v>
      </c>
      <c r="E2120" s="4">
        <v>6</v>
      </c>
      <c r="F2120" s="4">
        <v>3750</v>
      </c>
      <c r="G2120" s="9">
        <v>645.69000000000005</v>
      </c>
    </row>
    <row r="2121" spans="1:7" ht="15.6" x14ac:dyDescent="0.3">
      <c r="A2121" s="16">
        <v>44666</v>
      </c>
      <c r="B2121" s="10" t="s">
        <v>10</v>
      </c>
      <c r="C2121" s="10" t="s">
        <v>11</v>
      </c>
      <c r="D2121" s="10" t="s">
        <v>15</v>
      </c>
      <c r="E2121" s="4">
        <v>5</v>
      </c>
      <c r="F2121" s="4">
        <v>1465</v>
      </c>
      <c r="G2121" s="9">
        <v>424.64</v>
      </c>
    </row>
    <row r="2122" spans="1:7" ht="15.6" x14ac:dyDescent="0.3">
      <c r="A2122" s="16">
        <v>45379</v>
      </c>
      <c r="B2122" s="10" t="s">
        <v>17</v>
      </c>
      <c r="C2122" s="10" t="s">
        <v>14</v>
      </c>
      <c r="D2122" s="10" t="s">
        <v>9</v>
      </c>
      <c r="E2122" s="4">
        <v>4</v>
      </c>
      <c r="F2122" s="4">
        <v>4480</v>
      </c>
      <c r="G2122" s="9">
        <v>412.05</v>
      </c>
    </row>
    <row r="2123" spans="1:7" ht="15.6" x14ac:dyDescent="0.3">
      <c r="A2123" s="16">
        <v>45351</v>
      </c>
      <c r="B2123" s="10" t="s">
        <v>23</v>
      </c>
      <c r="C2123" s="10" t="s">
        <v>14</v>
      </c>
      <c r="D2123" s="10" t="s">
        <v>9</v>
      </c>
      <c r="E2123" s="4">
        <v>8</v>
      </c>
      <c r="F2123" s="4">
        <v>1544</v>
      </c>
      <c r="G2123" s="9">
        <v>281.22000000000003</v>
      </c>
    </row>
    <row r="2124" spans="1:7" ht="15.6" x14ac:dyDescent="0.3">
      <c r="A2124" s="16">
        <v>45312</v>
      </c>
      <c r="B2124" s="10" t="s">
        <v>18</v>
      </c>
      <c r="C2124" s="10" t="s">
        <v>11</v>
      </c>
      <c r="D2124" s="10" t="s">
        <v>9</v>
      </c>
      <c r="E2124" s="4">
        <v>9</v>
      </c>
      <c r="F2124" s="4">
        <v>7974</v>
      </c>
      <c r="G2124" s="9">
        <v>1181.04</v>
      </c>
    </row>
    <row r="2125" spans="1:7" ht="15.6" x14ac:dyDescent="0.3">
      <c r="A2125" s="16">
        <v>45381</v>
      </c>
      <c r="B2125" s="10" t="s">
        <v>7</v>
      </c>
      <c r="C2125" s="10" t="s">
        <v>8</v>
      </c>
      <c r="D2125" s="10" t="s">
        <v>12</v>
      </c>
      <c r="E2125" s="4">
        <v>5</v>
      </c>
      <c r="F2125" s="4">
        <v>5920</v>
      </c>
      <c r="G2125" s="9">
        <v>1679.15</v>
      </c>
    </row>
    <row r="2126" spans="1:7" ht="15.6" x14ac:dyDescent="0.3">
      <c r="A2126" s="16">
        <v>45567</v>
      </c>
      <c r="B2126" s="10" t="s">
        <v>19</v>
      </c>
      <c r="C2126" s="10" t="s">
        <v>14</v>
      </c>
      <c r="D2126" s="10" t="s">
        <v>15</v>
      </c>
      <c r="E2126" s="4">
        <v>8</v>
      </c>
      <c r="F2126" s="4">
        <v>8792</v>
      </c>
      <c r="G2126" s="9">
        <v>2045.54</v>
      </c>
    </row>
    <row r="2127" spans="1:7" ht="15.6" x14ac:dyDescent="0.3">
      <c r="A2127" s="16">
        <v>45278</v>
      </c>
      <c r="B2127" s="10" t="s">
        <v>19</v>
      </c>
      <c r="C2127" s="10" t="s">
        <v>14</v>
      </c>
      <c r="D2127" s="10" t="s">
        <v>12</v>
      </c>
      <c r="E2127" s="4">
        <v>1</v>
      </c>
      <c r="F2127" s="4">
        <v>294</v>
      </c>
      <c r="G2127" s="9">
        <v>52.37</v>
      </c>
    </row>
    <row r="2128" spans="1:7" ht="15.6" x14ac:dyDescent="0.3">
      <c r="A2128" s="16">
        <v>44584</v>
      </c>
      <c r="B2128" s="10" t="s">
        <v>17</v>
      </c>
      <c r="C2128" s="10" t="s">
        <v>14</v>
      </c>
      <c r="D2128" s="10" t="s">
        <v>12</v>
      </c>
      <c r="E2128" s="4">
        <v>7</v>
      </c>
      <c r="F2128" s="4">
        <v>1169</v>
      </c>
      <c r="G2128" s="9">
        <v>264.37</v>
      </c>
    </row>
    <row r="2129" spans="1:7" ht="15.6" x14ac:dyDescent="0.3">
      <c r="A2129" s="16">
        <v>45336</v>
      </c>
      <c r="B2129" s="10" t="s">
        <v>17</v>
      </c>
      <c r="C2129" s="10" t="s">
        <v>14</v>
      </c>
      <c r="D2129" s="10" t="s">
        <v>16</v>
      </c>
      <c r="E2129" s="4">
        <v>8</v>
      </c>
      <c r="F2129" s="4">
        <v>9232</v>
      </c>
      <c r="G2129" s="9">
        <v>880.52</v>
      </c>
    </row>
    <row r="2130" spans="1:7" ht="15.6" x14ac:dyDescent="0.3">
      <c r="A2130" s="16">
        <v>45208</v>
      </c>
      <c r="B2130" s="10" t="s">
        <v>18</v>
      </c>
      <c r="C2130" s="10" t="s">
        <v>11</v>
      </c>
      <c r="D2130" s="10" t="s">
        <v>15</v>
      </c>
      <c r="E2130" s="4">
        <v>4</v>
      </c>
      <c r="F2130" s="4">
        <v>1396</v>
      </c>
      <c r="G2130" s="9">
        <v>135.47999999999999</v>
      </c>
    </row>
    <row r="2131" spans="1:7" ht="15.6" x14ac:dyDescent="0.3">
      <c r="A2131" s="16">
        <v>45314</v>
      </c>
      <c r="B2131" s="10" t="s">
        <v>17</v>
      </c>
      <c r="C2131" s="10" t="s">
        <v>14</v>
      </c>
      <c r="D2131" s="10" t="s">
        <v>9</v>
      </c>
      <c r="E2131" s="4">
        <v>9</v>
      </c>
      <c r="F2131" s="4">
        <v>10188</v>
      </c>
      <c r="G2131" s="9">
        <v>1408.18</v>
      </c>
    </row>
    <row r="2132" spans="1:7" ht="15.6" x14ac:dyDescent="0.3">
      <c r="A2132" s="16">
        <v>44817</v>
      </c>
      <c r="B2132" s="10" t="s">
        <v>20</v>
      </c>
      <c r="C2132" s="10" t="s">
        <v>11</v>
      </c>
      <c r="D2132" s="10" t="s">
        <v>16</v>
      </c>
      <c r="E2132" s="4">
        <v>2</v>
      </c>
      <c r="F2132" s="4">
        <v>222</v>
      </c>
      <c r="G2132" s="9">
        <v>23.65</v>
      </c>
    </row>
    <row r="2133" spans="1:7" ht="15.6" x14ac:dyDescent="0.3">
      <c r="A2133" s="16">
        <v>45385</v>
      </c>
      <c r="B2133" s="10" t="s">
        <v>20</v>
      </c>
      <c r="C2133" s="10" t="s">
        <v>11</v>
      </c>
      <c r="D2133" s="10" t="s">
        <v>16</v>
      </c>
      <c r="E2133" s="4">
        <v>2</v>
      </c>
      <c r="F2133" s="4">
        <v>1328</v>
      </c>
      <c r="G2133" s="9">
        <v>358.07</v>
      </c>
    </row>
    <row r="2134" spans="1:7" ht="15.6" x14ac:dyDescent="0.3">
      <c r="A2134" s="16">
        <v>45602</v>
      </c>
      <c r="B2134" s="10" t="s">
        <v>7</v>
      </c>
      <c r="C2134" s="10" t="s">
        <v>8</v>
      </c>
      <c r="D2134" s="10" t="s">
        <v>12</v>
      </c>
      <c r="E2134" s="4">
        <v>9</v>
      </c>
      <c r="F2134" s="4">
        <v>5085</v>
      </c>
      <c r="G2134" s="9">
        <v>488.63</v>
      </c>
    </row>
    <row r="2135" spans="1:7" ht="15.6" x14ac:dyDescent="0.3">
      <c r="A2135" s="16">
        <v>45506</v>
      </c>
      <c r="B2135" s="10" t="s">
        <v>10</v>
      </c>
      <c r="C2135" s="10" t="s">
        <v>11</v>
      </c>
      <c r="D2135" s="10" t="s">
        <v>16</v>
      </c>
      <c r="E2135" s="4">
        <v>3</v>
      </c>
      <c r="F2135" s="4">
        <v>1245</v>
      </c>
      <c r="G2135" s="9">
        <v>229.73</v>
      </c>
    </row>
    <row r="2136" spans="1:7" ht="15.6" x14ac:dyDescent="0.3">
      <c r="A2136" s="16">
        <v>44791</v>
      </c>
      <c r="B2136" s="10" t="s">
        <v>13</v>
      </c>
      <c r="C2136" s="10" t="s">
        <v>14</v>
      </c>
      <c r="D2136" s="10" t="s">
        <v>15</v>
      </c>
      <c r="E2136" s="4">
        <v>2</v>
      </c>
      <c r="F2136" s="4">
        <v>960</v>
      </c>
      <c r="G2136" s="9">
        <v>124.02</v>
      </c>
    </row>
    <row r="2137" spans="1:7" ht="15.6" x14ac:dyDescent="0.3">
      <c r="A2137" s="16">
        <v>45354</v>
      </c>
      <c r="B2137" s="10" t="s">
        <v>21</v>
      </c>
      <c r="C2137" s="10" t="s">
        <v>14</v>
      </c>
      <c r="D2137" s="10" t="s">
        <v>16</v>
      </c>
      <c r="E2137" s="4">
        <v>9</v>
      </c>
      <c r="F2137" s="4">
        <v>5553</v>
      </c>
      <c r="G2137" s="9">
        <v>329.79</v>
      </c>
    </row>
    <row r="2138" spans="1:7" ht="15.6" x14ac:dyDescent="0.3">
      <c r="A2138" s="16">
        <v>45179</v>
      </c>
      <c r="B2138" s="10" t="s">
        <v>22</v>
      </c>
      <c r="C2138" s="10" t="s">
        <v>11</v>
      </c>
      <c r="D2138" s="10" t="s">
        <v>9</v>
      </c>
      <c r="E2138" s="4">
        <v>2</v>
      </c>
      <c r="F2138" s="4">
        <v>1790</v>
      </c>
      <c r="G2138" s="9">
        <v>236.76</v>
      </c>
    </row>
    <row r="2139" spans="1:7" ht="15.6" x14ac:dyDescent="0.3">
      <c r="A2139" s="16">
        <v>45484</v>
      </c>
      <c r="B2139" s="10" t="s">
        <v>22</v>
      </c>
      <c r="C2139" s="10" t="s">
        <v>11</v>
      </c>
      <c r="D2139" s="10" t="s">
        <v>16</v>
      </c>
      <c r="E2139" s="4">
        <v>8</v>
      </c>
      <c r="F2139" s="4">
        <v>2712</v>
      </c>
      <c r="G2139" s="9">
        <v>247.84</v>
      </c>
    </row>
    <row r="2140" spans="1:7" ht="15.6" x14ac:dyDescent="0.3">
      <c r="A2140" s="16">
        <v>45418</v>
      </c>
      <c r="B2140" s="10" t="s">
        <v>23</v>
      </c>
      <c r="C2140" s="10" t="s">
        <v>14</v>
      </c>
      <c r="D2140" s="10" t="s">
        <v>9</v>
      </c>
      <c r="E2140" s="4">
        <v>1</v>
      </c>
      <c r="F2140" s="4">
        <v>632</v>
      </c>
      <c r="G2140" s="9">
        <v>89.14</v>
      </c>
    </row>
    <row r="2141" spans="1:7" ht="15.6" x14ac:dyDescent="0.3">
      <c r="A2141" s="16">
        <v>44574</v>
      </c>
      <c r="B2141" s="10" t="s">
        <v>18</v>
      </c>
      <c r="C2141" s="10" t="s">
        <v>11</v>
      </c>
      <c r="D2141" s="10" t="s">
        <v>15</v>
      </c>
      <c r="E2141" s="4">
        <v>8</v>
      </c>
      <c r="F2141" s="4">
        <v>4904</v>
      </c>
      <c r="G2141" s="9">
        <v>520.74</v>
      </c>
    </row>
    <row r="2142" spans="1:7" ht="15.6" x14ac:dyDescent="0.3">
      <c r="A2142" s="16">
        <v>44900</v>
      </c>
      <c r="B2142" s="10" t="s">
        <v>22</v>
      </c>
      <c r="C2142" s="10" t="s">
        <v>11</v>
      </c>
      <c r="D2142" s="10" t="s">
        <v>15</v>
      </c>
      <c r="E2142" s="4">
        <v>1</v>
      </c>
      <c r="F2142" s="4">
        <v>361</v>
      </c>
      <c r="G2142" s="9">
        <v>58.8</v>
      </c>
    </row>
    <row r="2143" spans="1:7" ht="15.6" x14ac:dyDescent="0.3">
      <c r="A2143" s="16">
        <v>44603</v>
      </c>
      <c r="B2143" s="10" t="s">
        <v>7</v>
      </c>
      <c r="C2143" s="10" t="s">
        <v>8</v>
      </c>
      <c r="D2143" s="10" t="s">
        <v>16</v>
      </c>
      <c r="E2143" s="4">
        <v>9</v>
      </c>
      <c r="F2143" s="4">
        <v>7290</v>
      </c>
      <c r="G2143" s="9">
        <v>841.07</v>
      </c>
    </row>
    <row r="2144" spans="1:7" ht="15.6" x14ac:dyDescent="0.3">
      <c r="A2144" s="16">
        <v>45359</v>
      </c>
      <c r="B2144" s="10" t="s">
        <v>19</v>
      </c>
      <c r="C2144" s="10" t="s">
        <v>14</v>
      </c>
      <c r="D2144" s="10" t="s">
        <v>15</v>
      </c>
      <c r="E2144" s="4">
        <v>4</v>
      </c>
      <c r="F2144" s="4">
        <v>2052</v>
      </c>
      <c r="G2144" s="9">
        <v>181.64</v>
      </c>
    </row>
    <row r="2145" spans="1:7" ht="15.6" x14ac:dyDescent="0.3">
      <c r="A2145" s="16">
        <v>45433</v>
      </c>
      <c r="B2145" s="10" t="s">
        <v>10</v>
      </c>
      <c r="C2145" s="10" t="s">
        <v>11</v>
      </c>
      <c r="D2145" s="10" t="s">
        <v>9</v>
      </c>
      <c r="E2145" s="4">
        <v>3</v>
      </c>
      <c r="F2145" s="4">
        <v>1842</v>
      </c>
      <c r="G2145" s="9">
        <v>112.85</v>
      </c>
    </row>
    <row r="2146" spans="1:7" ht="15.6" x14ac:dyDescent="0.3">
      <c r="A2146" s="16">
        <v>45266</v>
      </c>
      <c r="B2146" s="10" t="s">
        <v>10</v>
      </c>
      <c r="C2146" s="10" t="s">
        <v>11</v>
      </c>
      <c r="D2146" s="10" t="s">
        <v>9</v>
      </c>
      <c r="E2146" s="4">
        <v>9</v>
      </c>
      <c r="F2146" s="4">
        <v>10593</v>
      </c>
      <c r="G2146" s="9">
        <v>2488.69</v>
      </c>
    </row>
    <row r="2147" spans="1:7" ht="15.6" x14ac:dyDescent="0.3">
      <c r="A2147" s="16">
        <v>44801</v>
      </c>
      <c r="B2147" s="10" t="s">
        <v>17</v>
      </c>
      <c r="C2147" s="10" t="s">
        <v>14</v>
      </c>
      <c r="D2147" s="10" t="s">
        <v>15</v>
      </c>
      <c r="E2147" s="4">
        <v>6</v>
      </c>
      <c r="F2147" s="4">
        <v>1218</v>
      </c>
      <c r="G2147" s="9">
        <v>129.36000000000001</v>
      </c>
    </row>
    <row r="2148" spans="1:7" ht="15.6" x14ac:dyDescent="0.3">
      <c r="A2148" s="16">
        <v>45249</v>
      </c>
      <c r="B2148" s="10" t="s">
        <v>10</v>
      </c>
      <c r="C2148" s="10" t="s">
        <v>11</v>
      </c>
      <c r="D2148" s="10" t="s">
        <v>15</v>
      </c>
      <c r="E2148" s="4">
        <v>5</v>
      </c>
      <c r="F2148" s="4">
        <v>4240</v>
      </c>
      <c r="G2148" s="9">
        <v>426.41</v>
      </c>
    </row>
    <row r="2149" spans="1:7" ht="15.6" x14ac:dyDescent="0.3">
      <c r="A2149" s="16">
        <v>45594</v>
      </c>
      <c r="B2149" s="10" t="s">
        <v>22</v>
      </c>
      <c r="C2149" s="10" t="s">
        <v>11</v>
      </c>
      <c r="D2149" s="10" t="s">
        <v>12</v>
      </c>
      <c r="E2149" s="4">
        <v>2</v>
      </c>
      <c r="F2149" s="4">
        <v>226</v>
      </c>
      <c r="G2149" s="9">
        <v>38.520000000000003</v>
      </c>
    </row>
    <row r="2150" spans="1:7" ht="15.6" x14ac:dyDescent="0.3">
      <c r="A2150" s="16">
        <v>44645</v>
      </c>
      <c r="B2150" s="10" t="s">
        <v>17</v>
      </c>
      <c r="C2150" s="10" t="s">
        <v>14</v>
      </c>
      <c r="D2150" s="10" t="s">
        <v>12</v>
      </c>
      <c r="E2150" s="4">
        <v>6</v>
      </c>
      <c r="F2150" s="4">
        <v>5154</v>
      </c>
      <c r="G2150" s="9">
        <v>1072.8</v>
      </c>
    </row>
    <row r="2151" spans="1:7" ht="15.6" x14ac:dyDescent="0.3">
      <c r="A2151" s="16">
        <v>45137</v>
      </c>
      <c r="B2151" s="10" t="s">
        <v>10</v>
      </c>
      <c r="C2151" s="10" t="s">
        <v>11</v>
      </c>
      <c r="D2151" s="10" t="s">
        <v>9</v>
      </c>
      <c r="E2151" s="4">
        <v>6</v>
      </c>
      <c r="F2151" s="4">
        <v>1236</v>
      </c>
      <c r="G2151" s="9">
        <v>304.88</v>
      </c>
    </row>
    <row r="2152" spans="1:7" ht="15.6" x14ac:dyDescent="0.3">
      <c r="A2152" s="16">
        <v>44879</v>
      </c>
      <c r="B2152" s="10" t="s">
        <v>13</v>
      </c>
      <c r="C2152" s="10" t="s">
        <v>14</v>
      </c>
      <c r="D2152" s="10" t="s">
        <v>15</v>
      </c>
      <c r="E2152" s="4">
        <v>1</v>
      </c>
      <c r="F2152" s="4">
        <v>1179</v>
      </c>
      <c r="G2152" s="9">
        <v>159.41999999999999</v>
      </c>
    </row>
    <row r="2153" spans="1:7" ht="15.6" x14ac:dyDescent="0.3">
      <c r="A2153" s="16">
        <v>45655</v>
      </c>
      <c r="B2153" s="10" t="s">
        <v>7</v>
      </c>
      <c r="C2153" s="10" t="s">
        <v>8</v>
      </c>
      <c r="D2153" s="10" t="s">
        <v>16</v>
      </c>
      <c r="E2153" s="4">
        <v>5</v>
      </c>
      <c r="F2153" s="4">
        <v>2275</v>
      </c>
      <c r="G2153" s="9">
        <v>313.5</v>
      </c>
    </row>
    <row r="2154" spans="1:7" ht="15.6" x14ac:dyDescent="0.3">
      <c r="A2154" s="16">
        <v>45067</v>
      </c>
      <c r="B2154" s="10" t="s">
        <v>19</v>
      </c>
      <c r="C2154" s="10" t="s">
        <v>14</v>
      </c>
      <c r="D2154" s="10" t="s">
        <v>9</v>
      </c>
      <c r="E2154" s="4">
        <v>7</v>
      </c>
      <c r="F2154" s="4">
        <v>6188</v>
      </c>
      <c r="G2154" s="9">
        <v>1231.3</v>
      </c>
    </row>
    <row r="2155" spans="1:7" ht="15.6" x14ac:dyDescent="0.3">
      <c r="A2155" s="16">
        <v>45276</v>
      </c>
      <c r="B2155" s="10" t="s">
        <v>18</v>
      </c>
      <c r="C2155" s="10" t="s">
        <v>11</v>
      </c>
      <c r="D2155" s="10" t="s">
        <v>16</v>
      </c>
      <c r="E2155" s="4">
        <v>3</v>
      </c>
      <c r="F2155" s="4">
        <v>2946</v>
      </c>
      <c r="G2155" s="9">
        <v>666.99</v>
      </c>
    </row>
    <row r="2156" spans="1:7" ht="15.6" x14ac:dyDescent="0.3">
      <c r="A2156" s="16">
        <v>45179</v>
      </c>
      <c r="B2156" s="10" t="s">
        <v>18</v>
      </c>
      <c r="C2156" s="10" t="s">
        <v>11</v>
      </c>
      <c r="D2156" s="10" t="s">
        <v>15</v>
      </c>
      <c r="E2156" s="4">
        <v>5</v>
      </c>
      <c r="F2156" s="4">
        <v>5085</v>
      </c>
      <c r="G2156" s="9">
        <v>1172.1199999999999</v>
      </c>
    </row>
    <row r="2157" spans="1:7" ht="15.6" x14ac:dyDescent="0.3">
      <c r="A2157" s="16">
        <v>44683</v>
      </c>
      <c r="B2157" s="10" t="s">
        <v>22</v>
      </c>
      <c r="C2157" s="10" t="s">
        <v>11</v>
      </c>
      <c r="D2157" s="10" t="s">
        <v>9</v>
      </c>
      <c r="E2157" s="4">
        <v>2</v>
      </c>
      <c r="F2157" s="4">
        <v>712</v>
      </c>
      <c r="G2157" s="9">
        <v>205.53</v>
      </c>
    </row>
    <row r="2158" spans="1:7" ht="15.6" x14ac:dyDescent="0.3">
      <c r="A2158" s="16">
        <v>44960</v>
      </c>
      <c r="B2158" s="10" t="s">
        <v>19</v>
      </c>
      <c r="C2158" s="10" t="s">
        <v>14</v>
      </c>
      <c r="D2158" s="10" t="s">
        <v>12</v>
      </c>
      <c r="E2158" s="4">
        <v>6</v>
      </c>
      <c r="F2158" s="4">
        <v>648</v>
      </c>
      <c r="G2158" s="9">
        <v>62.25</v>
      </c>
    </row>
    <row r="2159" spans="1:7" ht="15.6" x14ac:dyDescent="0.3">
      <c r="A2159" s="16">
        <v>44959</v>
      </c>
      <c r="B2159" s="10" t="s">
        <v>10</v>
      </c>
      <c r="C2159" s="10" t="s">
        <v>11</v>
      </c>
      <c r="D2159" s="10" t="s">
        <v>9</v>
      </c>
      <c r="E2159" s="4">
        <v>5</v>
      </c>
      <c r="F2159" s="4">
        <v>2735</v>
      </c>
      <c r="G2159" s="9">
        <v>483.2</v>
      </c>
    </row>
    <row r="2160" spans="1:7" ht="15.6" x14ac:dyDescent="0.3">
      <c r="A2160" s="16">
        <v>44921</v>
      </c>
      <c r="B2160" s="10" t="s">
        <v>7</v>
      </c>
      <c r="C2160" s="10" t="s">
        <v>8</v>
      </c>
      <c r="D2160" s="10" t="s">
        <v>9</v>
      </c>
      <c r="E2160" s="4">
        <v>6</v>
      </c>
      <c r="F2160" s="4">
        <v>2910</v>
      </c>
      <c r="G2160" s="9">
        <v>173.45</v>
      </c>
    </row>
    <row r="2161" spans="1:7" ht="15.6" x14ac:dyDescent="0.3">
      <c r="A2161" s="16">
        <v>44696</v>
      </c>
      <c r="B2161" s="10" t="s">
        <v>19</v>
      </c>
      <c r="C2161" s="10" t="s">
        <v>14</v>
      </c>
      <c r="D2161" s="10" t="s">
        <v>15</v>
      </c>
      <c r="E2161" s="4">
        <v>1</v>
      </c>
      <c r="F2161" s="4">
        <v>263</v>
      </c>
      <c r="G2161" s="9">
        <v>69.39</v>
      </c>
    </row>
    <row r="2162" spans="1:7" ht="15.6" x14ac:dyDescent="0.3">
      <c r="A2162" s="16">
        <v>45265</v>
      </c>
      <c r="B2162" s="10" t="s">
        <v>21</v>
      </c>
      <c r="C2162" s="10" t="s">
        <v>14</v>
      </c>
      <c r="D2162" s="10" t="s">
        <v>9</v>
      </c>
      <c r="E2162" s="4">
        <v>2</v>
      </c>
      <c r="F2162" s="4">
        <v>876</v>
      </c>
      <c r="G2162" s="9">
        <v>66.680000000000007</v>
      </c>
    </row>
    <row r="2163" spans="1:7" ht="15.6" x14ac:dyDescent="0.3">
      <c r="A2163" s="16">
        <v>45235</v>
      </c>
      <c r="B2163" s="10" t="s">
        <v>10</v>
      </c>
      <c r="C2163" s="10" t="s">
        <v>11</v>
      </c>
      <c r="D2163" s="10" t="s">
        <v>16</v>
      </c>
      <c r="E2163" s="4">
        <v>1</v>
      </c>
      <c r="F2163" s="4">
        <v>913</v>
      </c>
      <c r="G2163" s="9">
        <v>162.24</v>
      </c>
    </row>
    <row r="2164" spans="1:7" ht="15.6" x14ac:dyDescent="0.3">
      <c r="A2164" s="16">
        <v>45578</v>
      </c>
      <c r="B2164" s="10" t="s">
        <v>23</v>
      </c>
      <c r="C2164" s="10" t="s">
        <v>14</v>
      </c>
      <c r="D2164" s="10" t="s">
        <v>15</v>
      </c>
      <c r="E2164" s="4">
        <v>9</v>
      </c>
      <c r="F2164" s="4">
        <v>594</v>
      </c>
      <c r="G2164" s="9">
        <v>93.92</v>
      </c>
    </row>
    <row r="2165" spans="1:7" ht="15.6" x14ac:dyDescent="0.3">
      <c r="A2165" s="16">
        <v>44619</v>
      </c>
      <c r="B2165" s="10" t="s">
        <v>18</v>
      </c>
      <c r="C2165" s="10" t="s">
        <v>11</v>
      </c>
      <c r="D2165" s="10" t="s">
        <v>15</v>
      </c>
      <c r="E2165" s="4">
        <v>2</v>
      </c>
      <c r="F2165" s="4">
        <v>956</v>
      </c>
      <c r="G2165" s="9">
        <v>202.14</v>
      </c>
    </row>
    <row r="2166" spans="1:7" ht="15.6" x14ac:dyDescent="0.3">
      <c r="A2166" s="16">
        <v>45460</v>
      </c>
      <c r="B2166" s="10" t="s">
        <v>23</v>
      </c>
      <c r="C2166" s="10" t="s">
        <v>14</v>
      </c>
      <c r="D2166" s="10" t="s">
        <v>12</v>
      </c>
      <c r="E2166" s="4">
        <v>7</v>
      </c>
      <c r="F2166" s="4">
        <v>7301</v>
      </c>
      <c r="G2166" s="9">
        <v>2026.43</v>
      </c>
    </row>
    <row r="2167" spans="1:7" ht="15.6" x14ac:dyDescent="0.3">
      <c r="A2167" s="16">
        <v>45060</v>
      </c>
      <c r="B2167" s="10" t="s">
        <v>18</v>
      </c>
      <c r="C2167" s="10" t="s">
        <v>11</v>
      </c>
      <c r="D2167" s="10" t="s">
        <v>15</v>
      </c>
      <c r="E2167" s="4">
        <v>6</v>
      </c>
      <c r="F2167" s="4">
        <v>5754</v>
      </c>
      <c r="G2167" s="9">
        <v>1628.61</v>
      </c>
    </row>
    <row r="2168" spans="1:7" ht="15.6" x14ac:dyDescent="0.3">
      <c r="A2168" s="16">
        <v>44733</v>
      </c>
      <c r="B2168" s="10" t="s">
        <v>18</v>
      </c>
      <c r="C2168" s="10" t="s">
        <v>11</v>
      </c>
      <c r="D2168" s="10" t="s">
        <v>12</v>
      </c>
      <c r="E2168" s="4">
        <v>4</v>
      </c>
      <c r="F2168" s="4">
        <v>1372</v>
      </c>
      <c r="G2168" s="9">
        <v>274.47000000000003</v>
      </c>
    </row>
    <row r="2169" spans="1:7" ht="15.6" x14ac:dyDescent="0.3">
      <c r="A2169" s="16">
        <v>44750</v>
      </c>
      <c r="B2169" s="10" t="s">
        <v>18</v>
      </c>
      <c r="C2169" s="10" t="s">
        <v>11</v>
      </c>
      <c r="D2169" s="10" t="s">
        <v>9</v>
      </c>
      <c r="E2169" s="4">
        <v>8</v>
      </c>
      <c r="F2169" s="4">
        <v>920</v>
      </c>
      <c r="G2169" s="9">
        <v>214.27</v>
      </c>
    </row>
    <row r="2170" spans="1:7" ht="15.6" x14ac:dyDescent="0.3">
      <c r="A2170" s="16">
        <v>45309</v>
      </c>
      <c r="B2170" s="10" t="s">
        <v>21</v>
      </c>
      <c r="C2170" s="10" t="s">
        <v>14</v>
      </c>
      <c r="D2170" s="10" t="s">
        <v>9</v>
      </c>
      <c r="E2170" s="4">
        <v>3</v>
      </c>
      <c r="F2170" s="4">
        <v>885</v>
      </c>
      <c r="G2170" s="9">
        <v>150.79</v>
      </c>
    </row>
    <row r="2171" spans="1:7" ht="15.6" x14ac:dyDescent="0.3">
      <c r="A2171" s="16">
        <v>45656</v>
      </c>
      <c r="B2171" s="10" t="s">
        <v>17</v>
      </c>
      <c r="C2171" s="10" t="s">
        <v>14</v>
      </c>
      <c r="D2171" s="10" t="s">
        <v>9</v>
      </c>
      <c r="E2171" s="4">
        <v>1</v>
      </c>
      <c r="F2171" s="4">
        <v>379</v>
      </c>
      <c r="G2171" s="9">
        <v>39.409999999999997</v>
      </c>
    </row>
    <row r="2172" spans="1:7" ht="15.6" x14ac:dyDescent="0.3">
      <c r="A2172" s="16">
        <v>45544</v>
      </c>
      <c r="B2172" s="10" t="s">
        <v>18</v>
      </c>
      <c r="C2172" s="10" t="s">
        <v>11</v>
      </c>
      <c r="D2172" s="10" t="s">
        <v>16</v>
      </c>
      <c r="E2172" s="4">
        <v>8</v>
      </c>
      <c r="F2172" s="4">
        <v>1024</v>
      </c>
      <c r="G2172" s="9">
        <v>201.92</v>
      </c>
    </row>
    <row r="2173" spans="1:7" ht="15.6" x14ac:dyDescent="0.3">
      <c r="A2173" s="16">
        <v>45416</v>
      </c>
      <c r="B2173" s="10" t="s">
        <v>22</v>
      </c>
      <c r="C2173" s="10" t="s">
        <v>11</v>
      </c>
      <c r="D2173" s="10" t="s">
        <v>16</v>
      </c>
      <c r="E2173" s="4">
        <v>4</v>
      </c>
      <c r="F2173" s="4">
        <v>4312</v>
      </c>
      <c r="G2173" s="9">
        <v>388.48</v>
      </c>
    </row>
    <row r="2174" spans="1:7" ht="15.6" x14ac:dyDescent="0.3">
      <c r="A2174" s="16">
        <v>45083</v>
      </c>
      <c r="B2174" s="10" t="s">
        <v>10</v>
      </c>
      <c r="C2174" s="10" t="s">
        <v>11</v>
      </c>
      <c r="D2174" s="10" t="s">
        <v>12</v>
      </c>
      <c r="E2174" s="4">
        <v>5</v>
      </c>
      <c r="F2174" s="4">
        <v>5030</v>
      </c>
      <c r="G2174" s="9">
        <v>540.73</v>
      </c>
    </row>
    <row r="2175" spans="1:7" ht="15.6" x14ac:dyDescent="0.3">
      <c r="A2175" s="16">
        <v>44592</v>
      </c>
      <c r="B2175" s="10" t="s">
        <v>21</v>
      </c>
      <c r="C2175" s="10" t="s">
        <v>14</v>
      </c>
      <c r="D2175" s="10" t="s">
        <v>16</v>
      </c>
      <c r="E2175" s="4">
        <v>2</v>
      </c>
      <c r="F2175" s="4">
        <v>1438</v>
      </c>
      <c r="G2175" s="9">
        <v>315.83</v>
      </c>
    </row>
    <row r="2176" spans="1:7" ht="15.6" x14ac:dyDescent="0.3">
      <c r="A2176" s="16">
        <v>44658</v>
      </c>
      <c r="B2176" s="10" t="s">
        <v>22</v>
      </c>
      <c r="C2176" s="10" t="s">
        <v>11</v>
      </c>
      <c r="D2176" s="10" t="s">
        <v>15</v>
      </c>
      <c r="E2176" s="4">
        <v>1</v>
      </c>
      <c r="F2176" s="4">
        <v>419</v>
      </c>
      <c r="G2176" s="9">
        <v>108.36</v>
      </c>
    </row>
    <row r="2177" spans="1:7" ht="15.6" x14ac:dyDescent="0.3">
      <c r="A2177" s="16">
        <v>44616</v>
      </c>
      <c r="B2177" s="10" t="s">
        <v>18</v>
      </c>
      <c r="C2177" s="10" t="s">
        <v>11</v>
      </c>
      <c r="D2177" s="10" t="s">
        <v>12</v>
      </c>
      <c r="E2177" s="4">
        <v>3</v>
      </c>
      <c r="F2177" s="4">
        <v>3519</v>
      </c>
      <c r="G2177" s="9">
        <v>935.72</v>
      </c>
    </row>
    <row r="2178" spans="1:7" ht="15.6" x14ac:dyDescent="0.3">
      <c r="A2178" s="16">
        <v>44654</v>
      </c>
      <c r="B2178" s="10" t="s">
        <v>13</v>
      </c>
      <c r="C2178" s="10" t="s">
        <v>14</v>
      </c>
      <c r="D2178" s="10" t="s">
        <v>12</v>
      </c>
      <c r="E2178" s="4">
        <v>8</v>
      </c>
      <c r="F2178" s="4">
        <v>2912</v>
      </c>
      <c r="G2178" s="9">
        <v>451.97</v>
      </c>
    </row>
    <row r="2179" spans="1:7" ht="15.6" x14ac:dyDescent="0.3">
      <c r="A2179" s="16">
        <v>44977</v>
      </c>
      <c r="B2179" s="10" t="s">
        <v>21</v>
      </c>
      <c r="C2179" s="10" t="s">
        <v>14</v>
      </c>
      <c r="D2179" s="10" t="s">
        <v>9</v>
      </c>
      <c r="E2179" s="4">
        <v>5</v>
      </c>
      <c r="F2179" s="4">
        <v>4005</v>
      </c>
      <c r="G2179" s="9">
        <v>226.09</v>
      </c>
    </row>
    <row r="2180" spans="1:7" ht="15.6" x14ac:dyDescent="0.3">
      <c r="A2180" s="16">
        <v>45160</v>
      </c>
      <c r="B2180" s="10" t="s">
        <v>19</v>
      </c>
      <c r="C2180" s="10" t="s">
        <v>14</v>
      </c>
      <c r="D2180" s="10" t="s">
        <v>15</v>
      </c>
      <c r="E2180" s="4">
        <v>5</v>
      </c>
      <c r="F2180" s="4">
        <v>2075</v>
      </c>
      <c r="G2180" s="9">
        <v>271.70999999999998</v>
      </c>
    </row>
    <row r="2181" spans="1:7" ht="15.6" x14ac:dyDescent="0.3">
      <c r="A2181" s="16">
        <v>44980</v>
      </c>
      <c r="B2181" s="10" t="s">
        <v>23</v>
      </c>
      <c r="C2181" s="10" t="s">
        <v>14</v>
      </c>
      <c r="D2181" s="10" t="s">
        <v>15</v>
      </c>
      <c r="E2181" s="4">
        <v>2</v>
      </c>
      <c r="F2181" s="4">
        <v>120</v>
      </c>
      <c r="G2181" s="9">
        <v>7.74</v>
      </c>
    </row>
    <row r="2182" spans="1:7" ht="15.6" x14ac:dyDescent="0.3">
      <c r="A2182" s="16">
        <v>45516</v>
      </c>
      <c r="B2182" s="10" t="s">
        <v>17</v>
      </c>
      <c r="C2182" s="10" t="s">
        <v>14</v>
      </c>
      <c r="D2182" s="10" t="s">
        <v>9</v>
      </c>
      <c r="E2182" s="4">
        <v>4</v>
      </c>
      <c r="F2182" s="4">
        <v>564</v>
      </c>
      <c r="G2182" s="9">
        <v>32.799999999999997</v>
      </c>
    </row>
    <row r="2183" spans="1:7" ht="15.6" x14ac:dyDescent="0.3">
      <c r="A2183" s="16">
        <v>45200</v>
      </c>
      <c r="B2183" s="10" t="s">
        <v>19</v>
      </c>
      <c r="C2183" s="10" t="s">
        <v>14</v>
      </c>
      <c r="D2183" s="10" t="s">
        <v>12</v>
      </c>
      <c r="E2183" s="4">
        <v>2</v>
      </c>
      <c r="F2183" s="4">
        <v>486</v>
      </c>
      <c r="G2183" s="9">
        <v>62.58</v>
      </c>
    </row>
    <row r="2184" spans="1:7" ht="15.6" x14ac:dyDescent="0.3">
      <c r="A2184" s="16">
        <v>45031</v>
      </c>
      <c r="B2184" s="10" t="s">
        <v>19</v>
      </c>
      <c r="C2184" s="10" t="s">
        <v>14</v>
      </c>
      <c r="D2184" s="10" t="s">
        <v>12</v>
      </c>
      <c r="E2184" s="4">
        <v>2</v>
      </c>
      <c r="F2184" s="4">
        <v>1488</v>
      </c>
      <c r="G2184" s="9">
        <v>342.87</v>
      </c>
    </row>
    <row r="2185" spans="1:7" ht="15.6" x14ac:dyDescent="0.3">
      <c r="A2185" s="16">
        <v>44981</v>
      </c>
      <c r="B2185" s="10" t="s">
        <v>23</v>
      </c>
      <c r="C2185" s="10" t="s">
        <v>14</v>
      </c>
      <c r="D2185" s="10" t="s">
        <v>16</v>
      </c>
      <c r="E2185" s="4">
        <v>6</v>
      </c>
      <c r="F2185" s="4">
        <v>3096</v>
      </c>
      <c r="G2185" s="9">
        <v>277.68</v>
      </c>
    </row>
    <row r="2186" spans="1:7" ht="15.6" x14ac:dyDescent="0.3">
      <c r="A2186" s="16">
        <v>44869</v>
      </c>
      <c r="B2186" s="10" t="s">
        <v>19</v>
      </c>
      <c r="C2186" s="10" t="s">
        <v>14</v>
      </c>
      <c r="D2186" s="10" t="s">
        <v>16</v>
      </c>
      <c r="E2186" s="4">
        <v>8</v>
      </c>
      <c r="F2186" s="4">
        <v>6488</v>
      </c>
      <c r="G2186" s="9">
        <v>1845.07</v>
      </c>
    </row>
    <row r="2187" spans="1:7" ht="15.6" x14ac:dyDescent="0.3">
      <c r="A2187" s="16">
        <v>45393</v>
      </c>
      <c r="B2187" s="10" t="s">
        <v>19</v>
      </c>
      <c r="C2187" s="10" t="s">
        <v>14</v>
      </c>
      <c r="D2187" s="10" t="s">
        <v>16</v>
      </c>
      <c r="E2187" s="4">
        <v>4</v>
      </c>
      <c r="F2187" s="4">
        <v>4284</v>
      </c>
      <c r="G2187" s="9">
        <v>848.44</v>
      </c>
    </row>
    <row r="2188" spans="1:7" ht="15.6" x14ac:dyDescent="0.3">
      <c r="A2188" s="16">
        <v>44747</v>
      </c>
      <c r="B2188" s="10" t="s">
        <v>19</v>
      </c>
      <c r="C2188" s="10" t="s">
        <v>14</v>
      </c>
      <c r="D2188" s="10" t="s">
        <v>9</v>
      </c>
      <c r="E2188" s="4">
        <v>8</v>
      </c>
      <c r="F2188" s="4">
        <v>1864</v>
      </c>
      <c r="G2188" s="9">
        <v>110.81</v>
      </c>
    </row>
    <row r="2189" spans="1:7" ht="15.6" x14ac:dyDescent="0.3">
      <c r="A2189" s="16">
        <v>45420</v>
      </c>
      <c r="B2189" s="10" t="s">
        <v>17</v>
      </c>
      <c r="C2189" s="10" t="s">
        <v>14</v>
      </c>
      <c r="D2189" s="10" t="s">
        <v>16</v>
      </c>
      <c r="E2189" s="4">
        <v>5</v>
      </c>
      <c r="F2189" s="4">
        <v>4435</v>
      </c>
      <c r="G2189" s="9">
        <v>954.12</v>
      </c>
    </row>
    <row r="2190" spans="1:7" ht="15.6" x14ac:dyDescent="0.3">
      <c r="A2190" s="16">
        <v>45568</v>
      </c>
      <c r="B2190" s="10" t="s">
        <v>17</v>
      </c>
      <c r="C2190" s="10" t="s">
        <v>14</v>
      </c>
      <c r="D2190" s="10" t="s">
        <v>12</v>
      </c>
      <c r="E2190" s="4">
        <v>4</v>
      </c>
      <c r="F2190" s="4">
        <v>3296</v>
      </c>
      <c r="G2190" s="9">
        <v>460.98</v>
      </c>
    </row>
    <row r="2191" spans="1:7" ht="15.6" x14ac:dyDescent="0.3">
      <c r="A2191" s="16">
        <v>45051</v>
      </c>
      <c r="B2191" s="10" t="s">
        <v>10</v>
      </c>
      <c r="C2191" s="10" t="s">
        <v>11</v>
      </c>
      <c r="D2191" s="10" t="s">
        <v>12</v>
      </c>
      <c r="E2191" s="4">
        <v>3</v>
      </c>
      <c r="F2191" s="4">
        <v>780</v>
      </c>
      <c r="G2191" s="9">
        <v>217.92</v>
      </c>
    </row>
    <row r="2192" spans="1:7" ht="15.6" x14ac:dyDescent="0.3">
      <c r="A2192" s="16">
        <v>44714</v>
      </c>
      <c r="B2192" s="10" t="s">
        <v>19</v>
      </c>
      <c r="C2192" s="10" t="s">
        <v>14</v>
      </c>
      <c r="D2192" s="10" t="s">
        <v>12</v>
      </c>
      <c r="E2192" s="4">
        <v>7</v>
      </c>
      <c r="F2192" s="4">
        <v>4396</v>
      </c>
      <c r="G2192" s="9">
        <v>962.61</v>
      </c>
    </row>
    <row r="2193" spans="1:7" ht="15.6" x14ac:dyDescent="0.3">
      <c r="A2193" s="16">
        <v>45048</v>
      </c>
      <c r="B2193" s="10" t="s">
        <v>22</v>
      </c>
      <c r="C2193" s="10" t="s">
        <v>11</v>
      </c>
      <c r="D2193" s="10" t="s">
        <v>15</v>
      </c>
      <c r="E2193" s="4">
        <v>6</v>
      </c>
      <c r="F2193" s="4">
        <v>1362</v>
      </c>
      <c r="G2193" s="9">
        <v>202.68</v>
      </c>
    </row>
    <row r="2194" spans="1:7" ht="15.6" x14ac:dyDescent="0.3">
      <c r="A2194" s="16">
        <v>44574</v>
      </c>
      <c r="B2194" s="10" t="s">
        <v>10</v>
      </c>
      <c r="C2194" s="10" t="s">
        <v>11</v>
      </c>
      <c r="D2194" s="10" t="s">
        <v>12</v>
      </c>
      <c r="E2194" s="4">
        <v>7</v>
      </c>
      <c r="F2194" s="4">
        <v>3843</v>
      </c>
      <c r="G2194" s="9">
        <v>378.03</v>
      </c>
    </row>
    <row r="2195" spans="1:7" ht="15.6" x14ac:dyDescent="0.3">
      <c r="A2195" s="16">
        <v>44813</v>
      </c>
      <c r="B2195" s="10" t="s">
        <v>7</v>
      </c>
      <c r="C2195" s="10" t="s">
        <v>8</v>
      </c>
      <c r="D2195" s="10" t="s">
        <v>12</v>
      </c>
      <c r="E2195" s="4">
        <v>2</v>
      </c>
      <c r="F2195" s="4">
        <v>2080</v>
      </c>
      <c r="G2195" s="9">
        <v>450.24</v>
      </c>
    </row>
    <row r="2196" spans="1:7" ht="15.6" x14ac:dyDescent="0.3">
      <c r="A2196" s="16">
        <v>44658</v>
      </c>
      <c r="B2196" s="10" t="s">
        <v>10</v>
      </c>
      <c r="C2196" s="10" t="s">
        <v>11</v>
      </c>
      <c r="D2196" s="10" t="s">
        <v>15</v>
      </c>
      <c r="E2196" s="4">
        <v>5</v>
      </c>
      <c r="F2196" s="4">
        <v>1210</v>
      </c>
      <c r="G2196" s="9">
        <v>201.45</v>
      </c>
    </row>
    <row r="2197" spans="1:7" ht="15.6" x14ac:dyDescent="0.3">
      <c r="A2197" s="16">
        <v>45245</v>
      </c>
      <c r="B2197" s="10" t="s">
        <v>7</v>
      </c>
      <c r="C2197" s="10" t="s">
        <v>8</v>
      </c>
      <c r="D2197" s="10" t="s">
        <v>16</v>
      </c>
      <c r="E2197" s="4">
        <v>3</v>
      </c>
      <c r="F2197" s="4">
        <v>2316</v>
      </c>
      <c r="G2197" s="9">
        <v>356.5</v>
      </c>
    </row>
    <row r="2198" spans="1:7" ht="15.6" x14ac:dyDescent="0.3">
      <c r="A2198" s="16">
        <v>45125</v>
      </c>
      <c r="B2198" s="10" t="s">
        <v>20</v>
      </c>
      <c r="C2198" s="10" t="s">
        <v>11</v>
      </c>
      <c r="D2198" s="10" t="s">
        <v>16</v>
      </c>
      <c r="E2198" s="4">
        <v>6</v>
      </c>
      <c r="F2198" s="4">
        <v>3366</v>
      </c>
      <c r="G2198" s="9">
        <v>614.22</v>
      </c>
    </row>
    <row r="2199" spans="1:7" ht="15.6" x14ac:dyDescent="0.3">
      <c r="A2199" s="16">
        <v>45450</v>
      </c>
      <c r="B2199" s="10" t="s">
        <v>13</v>
      </c>
      <c r="C2199" s="10" t="s">
        <v>14</v>
      </c>
      <c r="D2199" s="10" t="s">
        <v>16</v>
      </c>
      <c r="E2199" s="4">
        <v>9</v>
      </c>
      <c r="F2199" s="4">
        <v>6507</v>
      </c>
      <c r="G2199" s="9">
        <v>1075.51</v>
      </c>
    </row>
    <row r="2200" spans="1:7" ht="15.6" x14ac:dyDescent="0.3">
      <c r="A2200" s="16">
        <v>45426</v>
      </c>
      <c r="B2200" s="10" t="s">
        <v>10</v>
      </c>
      <c r="C2200" s="10" t="s">
        <v>11</v>
      </c>
      <c r="D2200" s="10" t="s">
        <v>15</v>
      </c>
      <c r="E2200" s="4">
        <v>1</v>
      </c>
      <c r="F2200" s="4">
        <v>384</v>
      </c>
      <c r="G2200" s="9">
        <v>35.36</v>
      </c>
    </row>
    <row r="2201" spans="1:7" ht="15.6" x14ac:dyDescent="0.3">
      <c r="A2201" s="16">
        <v>44566</v>
      </c>
      <c r="B2201" s="10" t="s">
        <v>23</v>
      </c>
      <c r="C2201" s="10" t="s">
        <v>14</v>
      </c>
      <c r="D2201" s="10" t="s">
        <v>15</v>
      </c>
      <c r="E2201" s="4">
        <v>5</v>
      </c>
      <c r="F2201" s="4">
        <v>3625</v>
      </c>
      <c r="G2201" s="9">
        <v>563.95000000000005</v>
      </c>
    </row>
    <row r="2202" spans="1:7" ht="15.6" x14ac:dyDescent="0.3">
      <c r="A2202" s="16">
        <v>44909</v>
      </c>
      <c r="B2202" s="10" t="s">
        <v>13</v>
      </c>
      <c r="C2202" s="10" t="s">
        <v>14</v>
      </c>
      <c r="D2202" s="10" t="s">
        <v>15</v>
      </c>
      <c r="E2202" s="4">
        <v>1</v>
      </c>
      <c r="F2202" s="4">
        <v>400</v>
      </c>
      <c r="G2202" s="9">
        <v>45.16</v>
      </c>
    </row>
    <row r="2203" spans="1:7" ht="15.6" x14ac:dyDescent="0.3">
      <c r="A2203" s="16">
        <v>44614</v>
      </c>
      <c r="B2203" s="10" t="s">
        <v>20</v>
      </c>
      <c r="C2203" s="10" t="s">
        <v>11</v>
      </c>
      <c r="D2203" s="10" t="s">
        <v>9</v>
      </c>
      <c r="E2203" s="4">
        <v>5</v>
      </c>
      <c r="F2203" s="4">
        <v>2880</v>
      </c>
      <c r="G2203" s="9">
        <v>209.58</v>
      </c>
    </row>
    <row r="2204" spans="1:7" ht="15.6" x14ac:dyDescent="0.3">
      <c r="A2204" s="16">
        <v>45013</v>
      </c>
      <c r="B2204" s="10" t="s">
        <v>7</v>
      </c>
      <c r="C2204" s="10" t="s">
        <v>8</v>
      </c>
      <c r="D2204" s="10" t="s">
        <v>16</v>
      </c>
      <c r="E2204" s="4">
        <v>6</v>
      </c>
      <c r="F2204" s="4">
        <v>1608</v>
      </c>
      <c r="G2204" s="9">
        <v>302.32</v>
      </c>
    </row>
    <row r="2205" spans="1:7" ht="15.6" x14ac:dyDescent="0.3">
      <c r="A2205" s="16">
        <v>44965</v>
      </c>
      <c r="B2205" s="10" t="s">
        <v>18</v>
      </c>
      <c r="C2205" s="10" t="s">
        <v>11</v>
      </c>
      <c r="D2205" s="10" t="s">
        <v>15</v>
      </c>
      <c r="E2205" s="4">
        <v>2</v>
      </c>
      <c r="F2205" s="4">
        <v>1574</v>
      </c>
      <c r="G2205" s="9">
        <v>196.84</v>
      </c>
    </row>
    <row r="2206" spans="1:7" ht="15.6" x14ac:dyDescent="0.3">
      <c r="A2206" s="16">
        <v>45548</v>
      </c>
      <c r="B2206" s="10" t="s">
        <v>22</v>
      </c>
      <c r="C2206" s="10" t="s">
        <v>11</v>
      </c>
      <c r="D2206" s="10" t="s">
        <v>12</v>
      </c>
      <c r="E2206" s="4">
        <v>3</v>
      </c>
      <c r="F2206" s="4">
        <v>2478</v>
      </c>
      <c r="G2206" s="9">
        <v>584.37</v>
      </c>
    </row>
    <row r="2207" spans="1:7" ht="15.6" x14ac:dyDescent="0.3">
      <c r="A2207" s="16">
        <v>45555</v>
      </c>
      <c r="B2207" s="10" t="s">
        <v>18</v>
      </c>
      <c r="C2207" s="10" t="s">
        <v>11</v>
      </c>
      <c r="D2207" s="10" t="s">
        <v>12</v>
      </c>
      <c r="E2207" s="4">
        <v>8</v>
      </c>
      <c r="F2207" s="4">
        <v>8872</v>
      </c>
      <c r="G2207" s="9">
        <v>1486.58</v>
      </c>
    </row>
    <row r="2208" spans="1:7" ht="15.6" x14ac:dyDescent="0.3">
      <c r="A2208" s="16">
        <v>45375</v>
      </c>
      <c r="B2208" s="10" t="s">
        <v>7</v>
      </c>
      <c r="C2208" s="10" t="s">
        <v>8</v>
      </c>
      <c r="D2208" s="10" t="s">
        <v>12</v>
      </c>
      <c r="E2208" s="4">
        <v>8</v>
      </c>
      <c r="F2208" s="4">
        <v>2320</v>
      </c>
      <c r="G2208" s="9">
        <v>668.63</v>
      </c>
    </row>
    <row r="2209" spans="1:7" ht="15.6" x14ac:dyDescent="0.3">
      <c r="A2209" s="16">
        <v>45136</v>
      </c>
      <c r="B2209" s="10" t="s">
        <v>18</v>
      </c>
      <c r="C2209" s="10" t="s">
        <v>11</v>
      </c>
      <c r="D2209" s="10" t="s">
        <v>16</v>
      </c>
      <c r="E2209" s="4">
        <v>3</v>
      </c>
      <c r="F2209" s="4">
        <v>171</v>
      </c>
      <c r="G2209" s="9">
        <v>9.02</v>
      </c>
    </row>
    <row r="2210" spans="1:7" ht="15.6" x14ac:dyDescent="0.3">
      <c r="A2210" s="16">
        <v>45616</v>
      </c>
      <c r="B2210" s="10" t="s">
        <v>22</v>
      </c>
      <c r="C2210" s="10" t="s">
        <v>11</v>
      </c>
      <c r="D2210" s="10" t="s">
        <v>15</v>
      </c>
      <c r="E2210" s="4">
        <v>8</v>
      </c>
      <c r="F2210" s="4">
        <v>4536</v>
      </c>
      <c r="G2210" s="9">
        <v>627.13</v>
      </c>
    </row>
    <row r="2211" spans="1:7" ht="15.6" x14ac:dyDescent="0.3">
      <c r="A2211" s="16">
        <v>45452</v>
      </c>
      <c r="B2211" s="10" t="s">
        <v>18</v>
      </c>
      <c r="C2211" s="10" t="s">
        <v>11</v>
      </c>
      <c r="D2211" s="10" t="s">
        <v>15</v>
      </c>
      <c r="E2211" s="4">
        <v>3</v>
      </c>
      <c r="F2211" s="4">
        <v>1308</v>
      </c>
      <c r="G2211" s="9">
        <v>73.28</v>
      </c>
    </row>
    <row r="2212" spans="1:7" ht="15.6" x14ac:dyDescent="0.3">
      <c r="A2212" s="16">
        <v>44861</v>
      </c>
      <c r="B2212" s="10" t="s">
        <v>23</v>
      </c>
      <c r="C2212" s="10" t="s">
        <v>14</v>
      </c>
      <c r="D2212" s="10" t="s">
        <v>9</v>
      </c>
      <c r="E2212" s="4">
        <v>4</v>
      </c>
      <c r="F2212" s="4">
        <v>4048</v>
      </c>
      <c r="G2212" s="9">
        <v>641.23</v>
      </c>
    </row>
    <row r="2213" spans="1:7" ht="15.6" x14ac:dyDescent="0.3">
      <c r="A2213" s="16">
        <v>44710</v>
      </c>
      <c r="B2213" s="10" t="s">
        <v>13</v>
      </c>
      <c r="C2213" s="10" t="s">
        <v>14</v>
      </c>
      <c r="D2213" s="10" t="s">
        <v>12</v>
      </c>
      <c r="E2213" s="4">
        <v>9</v>
      </c>
      <c r="F2213" s="4">
        <v>4041</v>
      </c>
      <c r="G2213" s="9">
        <v>963.58</v>
      </c>
    </row>
    <row r="2214" spans="1:7" ht="15.6" x14ac:dyDescent="0.3">
      <c r="A2214" s="16">
        <v>45436</v>
      </c>
      <c r="B2214" s="10" t="s">
        <v>18</v>
      </c>
      <c r="C2214" s="10" t="s">
        <v>11</v>
      </c>
      <c r="D2214" s="10" t="s">
        <v>15</v>
      </c>
      <c r="E2214" s="4">
        <v>5</v>
      </c>
      <c r="F2214" s="4">
        <v>5665</v>
      </c>
      <c r="G2214" s="9">
        <v>332.46</v>
      </c>
    </row>
    <row r="2215" spans="1:7" ht="15.6" x14ac:dyDescent="0.3">
      <c r="A2215" s="16">
        <v>45259</v>
      </c>
      <c r="B2215" s="10" t="s">
        <v>10</v>
      </c>
      <c r="C2215" s="10" t="s">
        <v>11</v>
      </c>
      <c r="D2215" s="10" t="s">
        <v>15</v>
      </c>
      <c r="E2215" s="4">
        <v>6</v>
      </c>
      <c r="F2215" s="4">
        <v>6876</v>
      </c>
      <c r="G2215" s="9">
        <v>1029.92</v>
      </c>
    </row>
    <row r="2216" spans="1:7" ht="15.6" x14ac:dyDescent="0.3">
      <c r="A2216" s="16">
        <v>44987</v>
      </c>
      <c r="B2216" s="10" t="s">
        <v>20</v>
      </c>
      <c r="C2216" s="10" t="s">
        <v>11</v>
      </c>
      <c r="D2216" s="10" t="s">
        <v>15</v>
      </c>
      <c r="E2216" s="4">
        <v>1</v>
      </c>
      <c r="F2216" s="4">
        <v>617</v>
      </c>
      <c r="G2216" s="9">
        <v>145.37</v>
      </c>
    </row>
    <row r="2217" spans="1:7" ht="15.6" x14ac:dyDescent="0.3">
      <c r="A2217" s="16">
        <v>44819</v>
      </c>
      <c r="B2217" s="10" t="s">
        <v>20</v>
      </c>
      <c r="C2217" s="10" t="s">
        <v>11</v>
      </c>
      <c r="D2217" s="10" t="s">
        <v>15</v>
      </c>
      <c r="E2217" s="4">
        <v>6</v>
      </c>
      <c r="F2217" s="4">
        <v>1440</v>
      </c>
      <c r="G2217" s="9">
        <v>130.4</v>
      </c>
    </row>
    <row r="2218" spans="1:7" ht="15.6" x14ac:dyDescent="0.3">
      <c r="A2218" s="16">
        <v>45399</v>
      </c>
      <c r="B2218" s="10" t="s">
        <v>19</v>
      </c>
      <c r="C2218" s="10" t="s">
        <v>14</v>
      </c>
      <c r="D2218" s="10" t="s">
        <v>12</v>
      </c>
      <c r="E2218" s="4">
        <v>8</v>
      </c>
      <c r="F2218" s="4">
        <v>472</v>
      </c>
      <c r="G2218" s="9">
        <v>116.36</v>
      </c>
    </row>
    <row r="2219" spans="1:7" ht="15.6" x14ac:dyDescent="0.3">
      <c r="A2219" s="16">
        <v>45107</v>
      </c>
      <c r="B2219" s="10" t="s">
        <v>23</v>
      </c>
      <c r="C2219" s="10" t="s">
        <v>14</v>
      </c>
      <c r="D2219" s="10" t="s">
        <v>9</v>
      </c>
      <c r="E2219" s="4">
        <v>5</v>
      </c>
      <c r="F2219" s="4">
        <v>5640</v>
      </c>
      <c r="G2219" s="9">
        <v>1227.77</v>
      </c>
    </row>
    <row r="2220" spans="1:7" ht="15.6" x14ac:dyDescent="0.3">
      <c r="A2220" s="16">
        <v>44860</v>
      </c>
      <c r="B2220" s="10" t="s">
        <v>18</v>
      </c>
      <c r="C2220" s="10" t="s">
        <v>11</v>
      </c>
      <c r="D2220" s="10" t="s">
        <v>16</v>
      </c>
      <c r="E2220" s="4">
        <v>6</v>
      </c>
      <c r="F2220" s="4">
        <v>2640</v>
      </c>
      <c r="G2220" s="9">
        <v>668.12</v>
      </c>
    </row>
    <row r="2221" spans="1:7" ht="15.6" x14ac:dyDescent="0.3">
      <c r="A2221" s="16">
        <v>45486</v>
      </c>
      <c r="B2221" s="10" t="s">
        <v>21</v>
      </c>
      <c r="C2221" s="10" t="s">
        <v>14</v>
      </c>
      <c r="D2221" s="10" t="s">
        <v>15</v>
      </c>
      <c r="E2221" s="4">
        <v>3</v>
      </c>
      <c r="F2221" s="4">
        <v>768</v>
      </c>
      <c r="G2221" s="9">
        <v>72.67</v>
      </c>
    </row>
    <row r="2222" spans="1:7" ht="15.6" x14ac:dyDescent="0.3">
      <c r="A2222" s="16">
        <v>45344</v>
      </c>
      <c r="B2222" s="10" t="s">
        <v>22</v>
      </c>
      <c r="C2222" s="10" t="s">
        <v>11</v>
      </c>
      <c r="D2222" s="10" t="s">
        <v>15</v>
      </c>
      <c r="E2222" s="4">
        <v>1</v>
      </c>
      <c r="F2222" s="4">
        <v>725</v>
      </c>
      <c r="G2222" s="9">
        <v>81.96</v>
      </c>
    </row>
    <row r="2223" spans="1:7" ht="15.6" x14ac:dyDescent="0.3">
      <c r="A2223" s="16">
        <v>45410</v>
      </c>
      <c r="B2223" s="10" t="s">
        <v>18</v>
      </c>
      <c r="C2223" s="10" t="s">
        <v>11</v>
      </c>
      <c r="D2223" s="10" t="s">
        <v>9</v>
      </c>
      <c r="E2223" s="4">
        <v>8</v>
      </c>
      <c r="F2223" s="4">
        <v>1080</v>
      </c>
      <c r="G2223" s="9">
        <v>210.69</v>
      </c>
    </row>
    <row r="2224" spans="1:7" ht="15.6" x14ac:dyDescent="0.3">
      <c r="A2224" s="16">
        <v>45595</v>
      </c>
      <c r="B2224" s="10" t="s">
        <v>18</v>
      </c>
      <c r="C2224" s="10" t="s">
        <v>11</v>
      </c>
      <c r="D2224" s="10" t="s">
        <v>15</v>
      </c>
      <c r="E2224" s="4">
        <v>1</v>
      </c>
      <c r="F2224" s="4">
        <v>393</v>
      </c>
      <c r="G2224" s="9">
        <v>40.340000000000003</v>
      </c>
    </row>
    <row r="2225" spans="1:7" ht="15.6" x14ac:dyDescent="0.3">
      <c r="A2225" s="16">
        <v>45454</v>
      </c>
      <c r="B2225" s="10" t="s">
        <v>19</v>
      </c>
      <c r="C2225" s="10" t="s">
        <v>14</v>
      </c>
      <c r="D2225" s="10" t="s">
        <v>9</v>
      </c>
      <c r="E2225" s="4">
        <v>4</v>
      </c>
      <c r="F2225" s="4">
        <v>1264</v>
      </c>
      <c r="G2225" s="9">
        <v>371.92</v>
      </c>
    </row>
    <row r="2226" spans="1:7" ht="15.6" x14ac:dyDescent="0.3">
      <c r="A2226" s="16">
        <v>44807</v>
      </c>
      <c r="B2226" s="10" t="s">
        <v>18</v>
      </c>
      <c r="C2226" s="10" t="s">
        <v>11</v>
      </c>
      <c r="D2226" s="10" t="s">
        <v>15</v>
      </c>
      <c r="E2226" s="4">
        <v>9</v>
      </c>
      <c r="F2226" s="4">
        <v>4797</v>
      </c>
      <c r="G2226" s="9">
        <v>1193.95</v>
      </c>
    </row>
    <row r="2227" spans="1:7" ht="15.6" x14ac:dyDescent="0.3">
      <c r="A2227" s="16">
        <v>44647</v>
      </c>
      <c r="B2227" s="10" t="s">
        <v>13</v>
      </c>
      <c r="C2227" s="10" t="s">
        <v>14</v>
      </c>
      <c r="D2227" s="10" t="s">
        <v>12</v>
      </c>
      <c r="E2227" s="4">
        <v>8</v>
      </c>
      <c r="F2227" s="4">
        <v>2080</v>
      </c>
      <c r="G2227" s="9">
        <v>151.13999999999999</v>
      </c>
    </row>
    <row r="2228" spans="1:7" ht="15.6" x14ac:dyDescent="0.3">
      <c r="A2228" s="16">
        <v>44608</v>
      </c>
      <c r="B2228" s="10" t="s">
        <v>17</v>
      </c>
      <c r="C2228" s="10" t="s">
        <v>14</v>
      </c>
      <c r="D2228" s="10" t="s">
        <v>16</v>
      </c>
      <c r="E2228" s="4">
        <v>4</v>
      </c>
      <c r="F2228" s="4">
        <v>3812</v>
      </c>
      <c r="G2228" s="9">
        <v>312.8</v>
      </c>
    </row>
    <row r="2229" spans="1:7" ht="15.6" x14ac:dyDescent="0.3">
      <c r="A2229" s="16">
        <v>45347</v>
      </c>
      <c r="B2229" s="10" t="s">
        <v>10</v>
      </c>
      <c r="C2229" s="10" t="s">
        <v>11</v>
      </c>
      <c r="D2229" s="10" t="s">
        <v>16</v>
      </c>
      <c r="E2229" s="4">
        <v>5</v>
      </c>
      <c r="F2229" s="4">
        <v>3695</v>
      </c>
      <c r="G2229" s="9">
        <v>463.57</v>
      </c>
    </row>
    <row r="2230" spans="1:7" ht="15.6" x14ac:dyDescent="0.3">
      <c r="A2230" s="16">
        <v>44592</v>
      </c>
      <c r="B2230" s="10" t="s">
        <v>10</v>
      </c>
      <c r="C2230" s="10" t="s">
        <v>11</v>
      </c>
      <c r="D2230" s="10" t="s">
        <v>15</v>
      </c>
      <c r="E2230" s="4">
        <v>1</v>
      </c>
      <c r="F2230" s="4">
        <v>1159</v>
      </c>
      <c r="G2230" s="9">
        <v>344.22</v>
      </c>
    </row>
    <row r="2231" spans="1:7" ht="15.6" x14ac:dyDescent="0.3">
      <c r="A2231" s="16">
        <v>45510</v>
      </c>
      <c r="B2231" s="10" t="s">
        <v>13</v>
      </c>
      <c r="C2231" s="10" t="s">
        <v>14</v>
      </c>
      <c r="D2231" s="10" t="s">
        <v>16</v>
      </c>
      <c r="E2231" s="4">
        <v>9</v>
      </c>
      <c r="F2231" s="4">
        <v>4149</v>
      </c>
      <c r="G2231" s="9">
        <v>605.52</v>
      </c>
    </row>
    <row r="2232" spans="1:7" ht="15.6" x14ac:dyDescent="0.3">
      <c r="A2232" s="16">
        <v>45265</v>
      </c>
      <c r="B2232" s="10" t="s">
        <v>22</v>
      </c>
      <c r="C2232" s="10" t="s">
        <v>11</v>
      </c>
      <c r="D2232" s="10" t="s">
        <v>12</v>
      </c>
      <c r="E2232" s="4">
        <v>2</v>
      </c>
      <c r="F2232" s="4">
        <v>1446</v>
      </c>
      <c r="G2232" s="9">
        <v>171.73</v>
      </c>
    </row>
    <row r="2233" spans="1:7" ht="15.6" x14ac:dyDescent="0.3">
      <c r="A2233" s="16">
        <v>45497</v>
      </c>
      <c r="B2233" s="10" t="s">
        <v>23</v>
      </c>
      <c r="C2233" s="10" t="s">
        <v>14</v>
      </c>
      <c r="D2233" s="10" t="s">
        <v>15</v>
      </c>
      <c r="E2233" s="4">
        <v>1</v>
      </c>
      <c r="F2233" s="4">
        <v>225</v>
      </c>
      <c r="G2233" s="9">
        <v>48.82</v>
      </c>
    </row>
    <row r="2234" spans="1:7" ht="15.6" x14ac:dyDescent="0.3">
      <c r="A2234" s="16">
        <v>44904</v>
      </c>
      <c r="B2234" s="10" t="s">
        <v>18</v>
      </c>
      <c r="C2234" s="10" t="s">
        <v>11</v>
      </c>
      <c r="D2234" s="10" t="s">
        <v>15</v>
      </c>
      <c r="E2234" s="4">
        <v>1</v>
      </c>
      <c r="F2234" s="4">
        <v>355</v>
      </c>
      <c r="G2234" s="9">
        <v>26.8</v>
      </c>
    </row>
    <row r="2235" spans="1:7" ht="15.6" x14ac:dyDescent="0.3">
      <c r="A2235" s="16">
        <v>45184</v>
      </c>
      <c r="B2235" s="10" t="s">
        <v>13</v>
      </c>
      <c r="C2235" s="10" t="s">
        <v>14</v>
      </c>
      <c r="D2235" s="10" t="s">
        <v>16</v>
      </c>
      <c r="E2235" s="4">
        <v>7</v>
      </c>
      <c r="F2235" s="4">
        <v>3164</v>
      </c>
      <c r="G2235" s="9">
        <v>166.4</v>
      </c>
    </row>
    <row r="2236" spans="1:7" ht="15.6" x14ac:dyDescent="0.3">
      <c r="A2236" s="16">
        <v>44862</v>
      </c>
      <c r="B2236" s="10" t="s">
        <v>19</v>
      </c>
      <c r="C2236" s="10" t="s">
        <v>14</v>
      </c>
      <c r="D2236" s="10" t="s">
        <v>12</v>
      </c>
      <c r="E2236" s="4">
        <v>1</v>
      </c>
      <c r="F2236" s="4">
        <v>498</v>
      </c>
      <c r="G2236" s="9">
        <v>38.67</v>
      </c>
    </row>
    <row r="2237" spans="1:7" ht="15.6" x14ac:dyDescent="0.3">
      <c r="A2237" s="16">
        <v>45044</v>
      </c>
      <c r="B2237" s="10" t="s">
        <v>18</v>
      </c>
      <c r="C2237" s="10" t="s">
        <v>11</v>
      </c>
      <c r="D2237" s="10" t="s">
        <v>15</v>
      </c>
      <c r="E2237" s="4">
        <v>5</v>
      </c>
      <c r="F2237" s="4">
        <v>1315</v>
      </c>
      <c r="G2237" s="9">
        <v>217.79</v>
      </c>
    </row>
    <row r="2238" spans="1:7" ht="15.6" x14ac:dyDescent="0.3">
      <c r="A2238" s="16">
        <v>45548</v>
      </c>
      <c r="B2238" s="10" t="s">
        <v>18</v>
      </c>
      <c r="C2238" s="10" t="s">
        <v>11</v>
      </c>
      <c r="D2238" s="10" t="s">
        <v>9</v>
      </c>
      <c r="E2238" s="4">
        <v>5</v>
      </c>
      <c r="F2238" s="4">
        <v>2805</v>
      </c>
      <c r="G2238" s="9">
        <v>438.89</v>
      </c>
    </row>
    <row r="2239" spans="1:7" ht="15.6" x14ac:dyDescent="0.3">
      <c r="A2239" s="16">
        <v>44866</v>
      </c>
      <c r="B2239" s="10" t="s">
        <v>20</v>
      </c>
      <c r="C2239" s="10" t="s">
        <v>11</v>
      </c>
      <c r="D2239" s="10" t="s">
        <v>12</v>
      </c>
      <c r="E2239" s="4">
        <v>5</v>
      </c>
      <c r="F2239" s="4">
        <v>5180</v>
      </c>
      <c r="G2239" s="9">
        <v>726.62</v>
      </c>
    </row>
    <row r="2240" spans="1:7" ht="15.6" x14ac:dyDescent="0.3">
      <c r="A2240" s="16">
        <v>44719</v>
      </c>
      <c r="B2240" s="10" t="s">
        <v>17</v>
      </c>
      <c r="C2240" s="10" t="s">
        <v>14</v>
      </c>
      <c r="D2240" s="10" t="s">
        <v>9</v>
      </c>
      <c r="E2240" s="4">
        <v>5</v>
      </c>
      <c r="F2240" s="4">
        <v>4045</v>
      </c>
      <c r="G2240" s="9">
        <v>203.35</v>
      </c>
    </row>
    <row r="2241" spans="1:7" ht="15.6" x14ac:dyDescent="0.3">
      <c r="A2241" s="16">
        <v>45465</v>
      </c>
      <c r="B2241" s="10" t="s">
        <v>23</v>
      </c>
      <c r="C2241" s="10" t="s">
        <v>14</v>
      </c>
      <c r="D2241" s="10" t="s">
        <v>9</v>
      </c>
      <c r="E2241" s="4">
        <v>9</v>
      </c>
      <c r="F2241" s="4">
        <v>8793</v>
      </c>
      <c r="G2241" s="9">
        <v>2262.4299999999998</v>
      </c>
    </row>
    <row r="2242" spans="1:7" ht="15.6" x14ac:dyDescent="0.3">
      <c r="A2242" s="16">
        <v>45512</v>
      </c>
      <c r="B2242" s="10" t="s">
        <v>18</v>
      </c>
      <c r="C2242" s="10" t="s">
        <v>11</v>
      </c>
      <c r="D2242" s="10" t="s">
        <v>15</v>
      </c>
      <c r="E2242" s="4">
        <v>8</v>
      </c>
      <c r="F2242" s="4">
        <v>2592</v>
      </c>
      <c r="G2242" s="9">
        <v>526.38</v>
      </c>
    </row>
    <row r="2243" spans="1:7" ht="15.6" x14ac:dyDescent="0.3">
      <c r="A2243" s="16">
        <v>44600</v>
      </c>
      <c r="B2243" s="10" t="s">
        <v>22</v>
      </c>
      <c r="C2243" s="10" t="s">
        <v>11</v>
      </c>
      <c r="D2243" s="10" t="s">
        <v>12</v>
      </c>
      <c r="E2243" s="4">
        <v>7</v>
      </c>
      <c r="F2243" s="4">
        <v>7819</v>
      </c>
      <c r="G2243" s="9">
        <v>1708.84</v>
      </c>
    </row>
    <row r="2244" spans="1:7" ht="15.6" x14ac:dyDescent="0.3">
      <c r="A2244" s="16">
        <v>45484</v>
      </c>
      <c r="B2244" s="10" t="s">
        <v>19</v>
      </c>
      <c r="C2244" s="10" t="s">
        <v>14</v>
      </c>
      <c r="D2244" s="10" t="s">
        <v>9</v>
      </c>
      <c r="E2244" s="4">
        <v>7</v>
      </c>
      <c r="F2244" s="4">
        <v>2919</v>
      </c>
      <c r="G2244" s="9">
        <v>325.35000000000002</v>
      </c>
    </row>
    <row r="2245" spans="1:7" ht="15.6" x14ac:dyDescent="0.3">
      <c r="A2245" s="16">
        <v>45080</v>
      </c>
      <c r="B2245" s="10" t="s">
        <v>7</v>
      </c>
      <c r="C2245" s="10" t="s">
        <v>8</v>
      </c>
      <c r="D2245" s="10" t="s">
        <v>15</v>
      </c>
      <c r="E2245" s="4">
        <v>3</v>
      </c>
      <c r="F2245" s="4">
        <v>768</v>
      </c>
      <c r="G2245" s="9">
        <v>85.37</v>
      </c>
    </row>
    <row r="2246" spans="1:7" ht="15.6" x14ac:dyDescent="0.3">
      <c r="A2246" s="16">
        <v>45262</v>
      </c>
      <c r="B2246" s="10" t="s">
        <v>21</v>
      </c>
      <c r="C2246" s="10" t="s">
        <v>14</v>
      </c>
      <c r="D2246" s="10" t="s">
        <v>16</v>
      </c>
      <c r="E2246" s="4">
        <v>2</v>
      </c>
      <c r="F2246" s="4">
        <v>1736</v>
      </c>
      <c r="G2246" s="9">
        <v>388.09</v>
      </c>
    </row>
    <row r="2247" spans="1:7" ht="15.6" x14ac:dyDescent="0.3">
      <c r="A2247" s="16">
        <v>45125</v>
      </c>
      <c r="B2247" s="10" t="s">
        <v>19</v>
      </c>
      <c r="C2247" s="10" t="s">
        <v>14</v>
      </c>
      <c r="D2247" s="10" t="s">
        <v>15</v>
      </c>
      <c r="E2247" s="4">
        <v>7</v>
      </c>
      <c r="F2247" s="4">
        <v>6293</v>
      </c>
      <c r="G2247" s="9">
        <v>389.22</v>
      </c>
    </row>
    <row r="2248" spans="1:7" ht="15.6" x14ac:dyDescent="0.3">
      <c r="A2248" s="16">
        <v>45372</v>
      </c>
      <c r="B2248" s="10" t="s">
        <v>18</v>
      </c>
      <c r="C2248" s="10" t="s">
        <v>11</v>
      </c>
      <c r="D2248" s="10" t="s">
        <v>15</v>
      </c>
      <c r="E2248" s="4">
        <v>6</v>
      </c>
      <c r="F2248" s="4">
        <v>3684</v>
      </c>
      <c r="G2248" s="9">
        <v>477.02</v>
      </c>
    </row>
    <row r="2249" spans="1:7" ht="15.6" x14ac:dyDescent="0.3">
      <c r="A2249" s="16">
        <v>45650</v>
      </c>
      <c r="B2249" s="10" t="s">
        <v>7</v>
      </c>
      <c r="C2249" s="10" t="s">
        <v>8</v>
      </c>
      <c r="D2249" s="10" t="s">
        <v>15</v>
      </c>
      <c r="E2249" s="4">
        <v>9</v>
      </c>
      <c r="F2249" s="4">
        <v>8370</v>
      </c>
      <c r="G2249" s="9">
        <v>1064.6500000000001</v>
      </c>
    </row>
    <row r="2250" spans="1:7" ht="15.6" x14ac:dyDescent="0.3">
      <c r="A2250" s="16">
        <v>45162</v>
      </c>
      <c r="B2250" s="10" t="s">
        <v>22</v>
      </c>
      <c r="C2250" s="10" t="s">
        <v>11</v>
      </c>
      <c r="D2250" s="10" t="s">
        <v>15</v>
      </c>
      <c r="E2250" s="4">
        <v>4</v>
      </c>
      <c r="F2250" s="4">
        <v>3788</v>
      </c>
      <c r="G2250" s="9">
        <v>875.54</v>
      </c>
    </row>
    <row r="2251" spans="1:7" ht="15.6" x14ac:dyDescent="0.3">
      <c r="A2251" s="16">
        <v>45160</v>
      </c>
      <c r="B2251" s="10" t="s">
        <v>23</v>
      </c>
      <c r="C2251" s="10" t="s">
        <v>14</v>
      </c>
      <c r="D2251" s="10" t="s">
        <v>16</v>
      </c>
      <c r="E2251" s="4">
        <v>8</v>
      </c>
      <c r="F2251" s="4">
        <v>8296</v>
      </c>
      <c r="G2251" s="9">
        <v>1884.18</v>
      </c>
    </row>
    <row r="2252" spans="1:7" ht="15.6" x14ac:dyDescent="0.3">
      <c r="A2252" s="16">
        <v>44844</v>
      </c>
      <c r="B2252" s="10" t="s">
        <v>13</v>
      </c>
      <c r="C2252" s="10" t="s">
        <v>14</v>
      </c>
      <c r="D2252" s="10" t="s">
        <v>16</v>
      </c>
      <c r="E2252" s="4">
        <v>5</v>
      </c>
      <c r="F2252" s="4">
        <v>325</v>
      </c>
      <c r="G2252" s="9">
        <v>21.01</v>
      </c>
    </row>
    <row r="2253" spans="1:7" ht="15.6" x14ac:dyDescent="0.3">
      <c r="A2253" s="16">
        <v>45520</v>
      </c>
      <c r="B2253" s="10" t="s">
        <v>17</v>
      </c>
      <c r="C2253" s="10" t="s">
        <v>14</v>
      </c>
      <c r="D2253" s="10" t="s">
        <v>9</v>
      </c>
      <c r="E2253" s="4">
        <v>2</v>
      </c>
      <c r="F2253" s="4">
        <v>2216</v>
      </c>
      <c r="G2253" s="9">
        <v>444.36</v>
      </c>
    </row>
    <row r="2254" spans="1:7" ht="15.6" x14ac:dyDescent="0.3">
      <c r="A2254" s="16">
        <v>44592</v>
      </c>
      <c r="B2254" s="10" t="s">
        <v>23</v>
      </c>
      <c r="C2254" s="10" t="s">
        <v>14</v>
      </c>
      <c r="D2254" s="10" t="s">
        <v>9</v>
      </c>
      <c r="E2254" s="4">
        <v>8</v>
      </c>
      <c r="F2254" s="4">
        <v>7064</v>
      </c>
      <c r="G2254" s="9">
        <v>1873.02</v>
      </c>
    </row>
    <row r="2255" spans="1:7" ht="15.6" x14ac:dyDescent="0.3">
      <c r="A2255" s="16">
        <v>45512</v>
      </c>
      <c r="B2255" s="10" t="s">
        <v>10</v>
      </c>
      <c r="C2255" s="10" t="s">
        <v>11</v>
      </c>
      <c r="D2255" s="10" t="s">
        <v>12</v>
      </c>
      <c r="E2255" s="4">
        <v>9</v>
      </c>
      <c r="F2255" s="4">
        <v>2538</v>
      </c>
      <c r="G2255" s="9">
        <v>575.41</v>
      </c>
    </row>
    <row r="2256" spans="1:7" ht="15.6" x14ac:dyDescent="0.3">
      <c r="A2256" s="16">
        <v>45364</v>
      </c>
      <c r="B2256" s="10" t="s">
        <v>18</v>
      </c>
      <c r="C2256" s="10" t="s">
        <v>11</v>
      </c>
      <c r="D2256" s="10" t="s">
        <v>9</v>
      </c>
      <c r="E2256" s="4">
        <v>1</v>
      </c>
      <c r="F2256" s="4">
        <v>1151</v>
      </c>
      <c r="G2256" s="9">
        <v>77.22</v>
      </c>
    </row>
    <row r="2257" spans="1:7" ht="15.6" x14ac:dyDescent="0.3">
      <c r="A2257" s="16">
        <v>44579</v>
      </c>
      <c r="B2257" s="10" t="s">
        <v>22</v>
      </c>
      <c r="C2257" s="10" t="s">
        <v>11</v>
      </c>
      <c r="D2257" s="10" t="s">
        <v>12</v>
      </c>
      <c r="E2257" s="4">
        <v>1</v>
      </c>
      <c r="F2257" s="4">
        <v>717</v>
      </c>
      <c r="G2257" s="9">
        <v>137.27000000000001</v>
      </c>
    </row>
    <row r="2258" spans="1:7" ht="15.6" x14ac:dyDescent="0.3">
      <c r="A2258" s="16">
        <v>44573</v>
      </c>
      <c r="B2258" s="10" t="s">
        <v>19</v>
      </c>
      <c r="C2258" s="10" t="s">
        <v>14</v>
      </c>
      <c r="D2258" s="10" t="s">
        <v>12</v>
      </c>
      <c r="E2258" s="4">
        <v>8</v>
      </c>
      <c r="F2258" s="4">
        <v>3048</v>
      </c>
      <c r="G2258" s="9">
        <v>444.3</v>
      </c>
    </row>
    <row r="2259" spans="1:7" ht="15.6" x14ac:dyDescent="0.3">
      <c r="A2259" s="16">
        <v>45341</v>
      </c>
      <c r="B2259" s="10" t="s">
        <v>22</v>
      </c>
      <c r="C2259" s="10" t="s">
        <v>11</v>
      </c>
      <c r="D2259" s="10" t="s">
        <v>15</v>
      </c>
      <c r="E2259" s="4">
        <v>3</v>
      </c>
      <c r="F2259" s="4">
        <v>2070</v>
      </c>
      <c r="G2259" s="9">
        <v>163.22999999999999</v>
      </c>
    </row>
    <row r="2260" spans="1:7" ht="15.6" x14ac:dyDescent="0.3">
      <c r="A2260" s="16">
        <v>45152</v>
      </c>
      <c r="B2260" s="10" t="s">
        <v>17</v>
      </c>
      <c r="C2260" s="10" t="s">
        <v>14</v>
      </c>
      <c r="D2260" s="10" t="s">
        <v>12</v>
      </c>
      <c r="E2260" s="4">
        <v>5</v>
      </c>
      <c r="F2260" s="4">
        <v>3630</v>
      </c>
      <c r="G2260" s="9">
        <v>537.92999999999995</v>
      </c>
    </row>
    <row r="2261" spans="1:7" ht="15.6" x14ac:dyDescent="0.3">
      <c r="A2261" s="16">
        <v>44664</v>
      </c>
      <c r="B2261" s="10" t="s">
        <v>13</v>
      </c>
      <c r="C2261" s="10" t="s">
        <v>14</v>
      </c>
      <c r="D2261" s="10" t="s">
        <v>12</v>
      </c>
      <c r="E2261" s="4">
        <v>7</v>
      </c>
      <c r="F2261" s="4">
        <v>896</v>
      </c>
      <c r="G2261" s="9">
        <v>219.98</v>
      </c>
    </row>
    <row r="2262" spans="1:7" ht="15.6" x14ac:dyDescent="0.3">
      <c r="A2262" s="16">
        <v>45351</v>
      </c>
      <c r="B2262" s="10" t="s">
        <v>13</v>
      </c>
      <c r="C2262" s="10" t="s">
        <v>14</v>
      </c>
      <c r="D2262" s="10" t="s">
        <v>12</v>
      </c>
      <c r="E2262" s="4">
        <v>7</v>
      </c>
      <c r="F2262" s="4">
        <v>1981</v>
      </c>
      <c r="G2262" s="9">
        <v>311.44</v>
      </c>
    </row>
    <row r="2263" spans="1:7" ht="15.6" x14ac:dyDescent="0.3">
      <c r="A2263" s="16">
        <v>45123</v>
      </c>
      <c r="B2263" s="10" t="s">
        <v>18</v>
      </c>
      <c r="C2263" s="10" t="s">
        <v>11</v>
      </c>
      <c r="D2263" s="10" t="s">
        <v>16</v>
      </c>
      <c r="E2263" s="4">
        <v>6</v>
      </c>
      <c r="F2263" s="4">
        <v>7140</v>
      </c>
      <c r="G2263" s="9">
        <v>605.22</v>
      </c>
    </row>
    <row r="2264" spans="1:7" ht="15.6" x14ac:dyDescent="0.3">
      <c r="A2264" s="16">
        <v>45029</v>
      </c>
      <c r="B2264" s="10" t="s">
        <v>20</v>
      </c>
      <c r="C2264" s="10" t="s">
        <v>11</v>
      </c>
      <c r="D2264" s="10" t="s">
        <v>9</v>
      </c>
      <c r="E2264" s="4">
        <v>5</v>
      </c>
      <c r="F2264" s="4">
        <v>1015</v>
      </c>
      <c r="G2264" s="9">
        <v>85.06</v>
      </c>
    </row>
    <row r="2265" spans="1:7" ht="15.6" x14ac:dyDescent="0.3">
      <c r="A2265" s="16">
        <v>45516</v>
      </c>
      <c r="B2265" s="10" t="s">
        <v>18</v>
      </c>
      <c r="C2265" s="10" t="s">
        <v>11</v>
      </c>
      <c r="D2265" s="10" t="s">
        <v>9</v>
      </c>
      <c r="E2265" s="4">
        <v>4</v>
      </c>
      <c r="F2265" s="4">
        <v>524</v>
      </c>
      <c r="G2265" s="9">
        <v>52.31</v>
      </c>
    </row>
    <row r="2266" spans="1:7" ht="15.6" x14ac:dyDescent="0.3">
      <c r="A2266" s="16">
        <v>45126</v>
      </c>
      <c r="B2266" s="10" t="s">
        <v>19</v>
      </c>
      <c r="C2266" s="10" t="s">
        <v>14</v>
      </c>
      <c r="D2266" s="10" t="s">
        <v>9</v>
      </c>
      <c r="E2266" s="4">
        <v>2</v>
      </c>
      <c r="F2266" s="4">
        <v>1678</v>
      </c>
      <c r="G2266" s="9">
        <v>372.78</v>
      </c>
    </row>
    <row r="2267" spans="1:7" ht="15.6" x14ac:dyDescent="0.3">
      <c r="A2267" s="16">
        <v>45072</v>
      </c>
      <c r="B2267" s="10" t="s">
        <v>13</v>
      </c>
      <c r="C2267" s="10" t="s">
        <v>14</v>
      </c>
      <c r="D2267" s="10" t="s">
        <v>15</v>
      </c>
      <c r="E2267" s="4">
        <v>4</v>
      </c>
      <c r="F2267" s="4">
        <v>3260</v>
      </c>
      <c r="G2267" s="9">
        <v>969.76</v>
      </c>
    </row>
    <row r="2268" spans="1:7" ht="15.6" x14ac:dyDescent="0.3">
      <c r="A2268" s="16">
        <v>45583</v>
      </c>
      <c r="B2268" s="10" t="s">
        <v>18</v>
      </c>
      <c r="C2268" s="10" t="s">
        <v>11</v>
      </c>
      <c r="D2268" s="10" t="s">
        <v>15</v>
      </c>
      <c r="E2268" s="4">
        <v>5</v>
      </c>
      <c r="F2268" s="4">
        <v>720</v>
      </c>
      <c r="G2268" s="9">
        <v>214.31</v>
      </c>
    </row>
    <row r="2269" spans="1:7" ht="15.6" x14ac:dyDescent="0.3">
      <c r="A2269" s="16">
        <v>45416</v>
      </c>
      <c r="B2269" s="10" t="s">
        <v>7</v>
      </c>
      <c r="C2269" s="10" t="s">
        <v>8</v>
      </c>
      <c r="D2269" s="10" t="s">
        <v>16</v>
      </c>
      <c r="E2269" s="4">
        <v>4</v>
      </c>
      <c r="F2269" s="4">
        <v>1792</v>
      </c>
      <c r="G2269" s="9">
        <v>417.99</v>
      </c>
    </row>
    <row r="2270" spans="1:7" ht="15.6" x14ac:dyDescent="0.3">
      <c r="A2270" s="16">
        <v>44730</v>
      </c>
      <c r="B2270" s="10" t="s">
        <v>13</v>
      </c>
      <c r="C2270" s="10" t="s">
        <v>14</v>
      </c>
      <c r="D2270" s="10" t="s">
        <v>15</v>
      </c>
      <c r="E2270" s="4">
        <v>9</v>
      </c>
      <c r="F2270" s="4">
        <v>3096</v>
      </c>
      <c r="G2270" s="9">
        <v>505.08</v>
      </c>
    </row>
    <row r="2271" spans="1:7" ht="15.6" x14ac:dyDescent="0.3">
      <c r="A2271" s="16">
        <v>45541</v>
      </c>
      <c r="B2271" s="10" t="s">
        <v>22</v>
      </c>
      <c r="C2271" s="10" t="s">
        <v>11</v>
      </c>
      <c r="D2271" s="10" t="s">
        <v>15</v>
      </c>
      <c r="E2271" s="4">
        <v>5</v>
      </c>
      <c r="F2271" s="4">
        <v>1400</v>
      </c>
      <c r="G2271" s="9">
        <v>273.39</v>
      </c>
    </row>
    <row r="2272" spans="1:7" ht="15.6" x14ac:dyDescent="0.3">
      <c r="A2272" s="16">
        <v>44962</v>
      </c>
      <c r="B2272" s="10" t="s">
        <v>19</v>
      </c>
      <c r="C2272" s="10" t="s">
        <v>14</v>
      </c>
      <c r="D2272" s="10" t="s">
        <v>9</v>
      </c>
      <c r="E2272" s="4">
        <v>4</v>
      </c>
      <c r="F2272" s="4">
        <v>508</v>
      </c>
      <c r="G2272" s="9">
        <v>37.94</v>
      </c>
    </row>
    <row r="2273" spans="1:7" ht="15.6" x14ac:dyDescent="0.3">
      <c r="A2273" s="16">
        <v>44820</v>
      </c>
      <c r="B2273" s="10" t="s">
        <v>13</v>
      </c>
      <c r="C2273" s="10" t="s">
        <v>14</v>
      </c>
      <c r="D2273" s="10" t="s">
        <v>12</v>
      </c>
      <c r="E2273" s="4">
        <v>7</v>
      </c>
      <c r="F2273" s="4">
        <v>2646</v>
      </c>
      <c r="G2273" s="9">
        <v>380.83</v>
      </c>
    </row>
    <row r="2274" spans="1:7" ht="15.6" x14ac:dyDescent="0.3">
      <c r="A2274" s="16">
        <v>45358</v>
      </c>
      <c r="B2274" s="10" t="s">
        <v>10</v>
      </c>
      <c r="C2274" s="10" t="s">
        <v>11</v>
      </c>
      <c r="D2274" s="10" t="s">
        <v>12</v>
      </c>
      <c r="E2274" s="4">
        <v>1</v>
      </c>
      <c r="F2274" s="4">
        <v>357</v>
      </c>
      <c r="G2274" s="9">
        <v>79.86</v>
      </c>
    </row>
    <row r="2275" spans="1:7" ht="15.6" x14ac:dyDescent="0.3">
      <c r="A2275" s="16">
        <v>45288</v>
      </c>
      <c r="B2275" s="10" t="s">
        <v>13</v>
      </c>
      <c r="C2275" s="10" t="s">
        <v>14</v>
      </c>
      <c r="D2275" s="10" t="s">
        <v>9</v>
      </c>
      <c r="E2275" s="4">
        <v>1</v>
      </c>
      <c r="F2275" s="4">
        <v>373</v>
      </c>
      <c r="G2275" s="9">
        <v>53.15</v>
      </c>
    </row>
    <row r="2276" spans="1:7" ht="15.6" x14ac:dyDescent="0.3">
      <c r="A2276" s="16">
        <v>45009</v>
      </c>
      <c r="B2276" s="10" t="s">
        <v>21</v>
      </c>
      <c r="C2276" s="10" t="s">
        <v>14</v>
      </c>
      <c r="D2276" s="10" t="s">
        <v>12</v>
      </c>
      <c r="E2276" s="4">
        <v>1</v>
      </c>
      <c r="F2276" s="4">
        <v>266</v>
      </c>
      <c r="G2276" s="9">
        <v>55.52</v>
      </c>
    </row>
    <row r="2277" spans="1:7" ht="15.6" x14ac:dyDescent="0.3">
      <c r="A2277" s="16">
        <v>45572</v>
      </c>
      <c r="B2277" s="10" t="s">
        <v>21</v>
      </c>
      <c r="C2277" s="10" t="s">
        <v>14</v>
      </c>
      <c r="D2277" s="10" t="s">
        <v>9</v>
      </c>
      <c r="E2277" s="4">
        <v>4</v>
      </c>
      <c r="F2277" s="4">
        <v>344</v>
      </c>
      <c r="G2277" s="9">
        <v>25.7</v>
      </c>
    </row>
    <row r="2278" spans="1:7" ht="15.6" x14ac:dyDescent="0.3">
      <c r="A2278" s="16">
        <v>45460</v>
      </c>
      <c r="B2278" s="10" t="s">
        <v>21</v>
      </c>
      <c r="C2278" s="10" t="s">
        <v>14</v>
      </c>
      <c r="D2278" s="10" t="s">
        <v>9</v>
      </c>
      <c r="E2278" s="4">
        <v>7</v>
      </c>
      <c r="F2278" s="4">
        <v>1806</v>
      </c>
      <c r="G2278" s="9">
        <v>308.92</v>
      </c>
    </row>
    <row r="2279" spans="1:7" ht="15.6" x14ac:dyDescent="0.3">
      <c r="A2279" s="16">
        <v>44995</v>
      </c>
      <c r="B2279" s="10" t="s">
        <v>7</v>
      </c>
      <c r="C2279" s="10" t="s">
        <v>8</v>
      </c>
      <c r="D2279" s="10" t="s">
        <v>9</v>
      </c>
      <c r="E2279" s="4">
        <v>9</v>
      </c>
      <c r="F2279" s="4">
        <v>7281</v>
      </c>
      <c r="G2279" s="9">
        <v>396.28</v>
      </c>
    </row>
    <row r="2280" spans="1:7" ht="15.6" x14ac:dyDescent="0.3">
      <c r="A2280" s="16">
        <v>45471</v>
      </c>
      <c r="B2280" s="10" t="s">
        <v>19</v>
      </c>
      <c r="C2280" s="10" t="s">
        <v>14</v>
      </c>
      <c r="D2280" s="10" t="s">
        <v>16</v>
      </c>
      <c r="E2280" s="4">
        <v>7</v>
      </c>
      <c r="F2280" s="4">
        <v>3094</v>
      </c>
      <c r="G2280" s="9">
        <v>463.72</v>
      </c>
    </row>
    <row r="2281" spans="1:7" ht="15.6" x14ac:dyDescent="0.3">
      <c r="A2281" s="16">
        <v>45445</v>
      </c>
      <c r="B2281" s="10" t="s">
        <v>22</v>
      </c>
      <c r="C2281" s="10" t="s">
        <v>11</v>
      </c>
      <c r="D2281" s="10" t="s">
        <v>12</v>
      </c>
      <c r="E2281" s="4">
        <v>2</v>
      </c>
      <c r="F2281" s="4">
        <v>252</v>
      </c>
      <c r="G2281" s="9">
        <v>67.37</v>
      </c>
    </row>
    <row r="2282" spans="1:7" ht="15.6" x14ac:dyDescent="0.3">
      <c r="A2282" s="16">
        <v>44678</v>
      </c>
      <c r="B2282" s="10" t="s">
        <v>17</v>
      </c>
      <c r="C2282" s="10" t="s">
        <v>14</v>
      </c>
      <c r="D2282" s="10" t="s">
        <v>12</v>
      </c>
      <c r="E2282" s="4">
        <v>9</v>
      </c>
      <c r="F2282" s="4">
        <v>2691</v>
      </c>
      <c r="G2282" s="9">
        <v>761.16</v>
      </c>
    </row>
    <row r="2283" spans="1:7" ht="15.6" x14ac:dyDescent="0.3">
      <c r="A2283" s="16">
        <v>45408</v>
      </c>
      <c r="B2283" s="10" t="s">
        <v>7</v>
      </c>
      <c r="C2283" s="10" t="s">
        <v>8</v>
      </c>
      <c r="D2283" s="10" t="s">
        <v>16</v>
      </c>
      <c r="E2283" s="4">
        <v>6</v>
      </c>
      <c r="F2283" s="4">
        <v>990</v>
      </c>
      <c r="G2283" s="9">
        <v>102.83</v>
      </c>
    </row>
    <row r="2284" spans="1:7" ht="15.6" x14ac:dyDescent="0.3">
      <c r="A2284" s="16">
        <v>44717</v>
      </c>
      <c r="B2284" s="10" t="s">
        <v>19</v>
      </c>
      <c r="C2284" s="10" t="s">
        <v>14</v>
      </c>
      <c r="D2284" s="10" t="s">
        <v>15</v>
      </c>
      <c r="E2284" s="4">
        <v>4</v>
      </c>
      <c r="F2284" s="4">
        <v>3236</v>
      </c>
      <c r="G2284" s="9">
        <v>655.17999999999995</v>
      </c>
    </row>
    <row r="2285" spans="1:7" ht="15.6" x14ac:dyDescent="0.3">
      <c r="A2285" s="16">
        <v>44678</v>
      </c>
      <c r="B2285" s="10" t="s">
        <v>23</v>
      </c>
      <c r="C2285" s="10" t="s">
        <v>14</v>
      </c>
      <c r="D2285" s="10" t="s">
        <v>12</v>
      </c>
      <c r="E2285" s="4">
        <v>4</v>
      </c>
      <c r="F2285" s="4">
        <v>1076</v>
      </c>
      <c r="G2285" s="9">
        <v>124.56</v>
      </c>
    </row>
    <row r="2286" spans="1:7" ht="15.6" x14ac:dyDescent="0.3">
      <c r="A2286" s="16">
        <v>44783</v>
      </c>
      <c r="B2286" s="10" t="s">
        <v>13</v>
      </c>
      <c r="C2286" s="10" t="s">
        <v>14</v>
      </c>
      <c r="D2286" s="10" t="s">
        <v>9</v>
      </c>
      <c r="E2286" s="4">
        <v>4</v>
      </c>
      <c r="F2286" s="4">
        <v>1428</v>
      </c>
      <c r="G2286" s="9">
        <v>160.54</v>
      </c>
    </row>
    <row r="2287" spans="1:7" ht="15.6" x14ac:dyDescent="0.3">
      <c r="A2287" s="16">
        <v>44673</v>
      </c>
      <c r="B2287" s="10" t="s">
        <v>22</v>
      </c>
      <c r="C2287" s="10" t="s">
        <v>11</v>
      </c>
      <c r="D2287" s="10" t="s">
        <v>12</v>
      </c>
      <c r="E2287" s="4">
        <v>5</v>
      </c>
      <c r="F2287" s="4">
        <v>1000</v>
      </c>
      <c r="G2287" s="9">
        <v>292.04000000000002</v>
      </c>
    </row>
    <row r="2288" spans="1:7" ht="15.6" x14ac:dyDescent="0.3">
      <c r="A2288" s="16">
        <v>44722</v>
      </c>
      <c r="B2288" s="10" t="s">
        <v>19</v>
      </c>
      <c r="C2288" s="10" t="s">
        <v>14</v>
      </c>
      <c r="D2288" s="10" t="s">
        <v>15</v>
      </c>
      <c r="E2288" s="4">
        <v>9</v>
      </c>
      <c r="F2288" s="4">
        <v>3429</v>
      </c>
      <c r="G2288" s="9">
        <v>998.82</v>
      </c>
    </row>
    <row r="2289" spans="1:7" ht="15.6" x14ac:dyDescent="0.3">
      <c r="A2289" s="16">
        <v>45216</v>
      </c>
      <c r="B2289" s="10" t="s">
        <v>20</v>
      </c>
      <c r="C2289" s="10" t="s">
        <v>11</v>
      </c>
      <c r="D2289" s="10" t="s">
        <v>16</v>
      </c>
      <c r="E2289" s="4">
        <v>5</v>
      </c>
      <c r="F2289" s="4">
        <v>4730</v>
      </c>
      <c r="G2289" s="9">
        <v>1416.1</v>
      </c>
    </row>
    <row r="2290" spans="1:7" ht="15.6" x14ac:dyDescent="0.3">
      <c r="A2290" s="16">
        <v>45234</v>
      </c>
      <c r="B2290" s="10" t="s">
        <v>20</v>
      </c>
      <c r="C2290" s="10" t="s">
        <v>11</v>
      </c>
      <c r="D2290" s="10" t="s">
        <v>15</v>
      </c>
      <c r="E2290" s="4">
        <v>6</v>
      </c>
      <c r="F2290" s="4">
        <v>6630</v>
      </c>
      <c r="G2290" s="9">
        <v>512.6</v>
      </c>
    </row>
    <row r="2291" spans="1:7" ht="15.6" x14ac:dyDescent="0.3">
      <c r="A2291" s="16">
        <v>45587</v>
      </c>
      <c r="B2291" s="10" t="s">
        <v>17</v>
      </c>
      <c r="C2291" s="10" t="s">
        <v>14</v>
      </c>
      <c r="D2291" s="10" t="s">
        <v>15</v>
      </c>
      <c r="E2291" s="4">
        <v>7</v>
      </c>
      <c r="F2291" s="4">
        <v>2296</v>
      </c>
      <c r="G2291" s="9">
        <v>138.93</v>
      </c>
    </row>
    <row r="2292" spans="1:7" ht="15.6" x14ac:dyDescent="0.3">
      <c r="A2292" s="16">
        <v>44941</v>
      </c>
      <c r="B2292" s="10" t="s">
        <v>20</v>
      </c>
      <c r="C2292" s="10" t="s">
        <v>11</v>
      </c>
      <c r="D2292" s="10" t="s">
        <v>12</v>
      </c>
      <c r="E2292" s="4">
        <v>7</v>
      </c>
      <c r="F2292" s="4">
        <v>7420</v>
      </c>
      <c r="G2292" s="9">
        <v>1107.31</v>
      </c>
    </row>
    <row r="2293" spans="1:7" ht="15.6" x14ac:dyDescent="0.3">
      <c r="A2293" s="16">
        <v>44674</v>
      </c>
      <c r="B2293" s="10" t="s">
        <v>7</v>
      </c>
      <c r="C2293" s="10" t="s">
        <v>8</v>
      </c>
      <c r="D2293" s="10" t="s">
        <v>15</v>
      </c>
      <c r="E2293" s="4">
        <v>7</v>
      </c>
      <c r="F2293" s="4">
        <v>2338</v>
      </c>
      <c r="G2293" s="9">
        <v>531.5</v>
      </c>
    </row>
    <row r="2294" spans="1:7" ht="15.6" x14ac:dyDescent="0.3">
      <c r="A2294" s="16">
        <v>44723</v>
      </c>
      <c r="B2294" s="10" t="s">
        <v>22</v>
      </c>
      <c r="C2294" s="10" t="s">
        <v>11</v>
      </c>
      <c r="D2294" s="10" t="s">
        <v>15</v>
      </c>
      <c r="E2294" s="4">
        <v>7</v>
      </c>
      <c r="F2294" s="4">
        <v>4039</v>
      </c>
      <c r="G2294" s="9">
        <v>420.29</v>
      </c>
    </row>
    <row r="2295" spans="1:7" ht="15.6" x14ac:dyDescent="0.3">
      <c r="A2295" s="16">
        <v>45065</v>
      </c>
      <c r="B2295" s="10" t="s">
        <v>23</v>
      </c>
      <c r="C2295" s="10" t="s">
        <v>14</v>
      </c>
      <c r="D2295" s="10" t="s">
        <v>12</v>
      </c>
      <c r="E2295" s="4">
        <v>2</v>
      </c>
      <c r="F2295" s="4">
        <v>990</v>
      </c>
      <c r="G2295" s="9">
        <v>76.87</v>
      </c>
    </row>
    <row r="2296" spans="1:7" ht="15.6" x14ac:dyDescent="0.3">
      <c r="A2296" s="16">
        <v>45143</v>
      </c>
      <c r="B2296" s="10" t="s">
        <v>23</v>
      </c>
      <c r="C2296" s="10" t="s">
        <v>14</v>
      </c>
      <c r="D2296" s="10" t="s">
        <v>16</v>
      </c>
      <c r="E2296" s="4">
        <v>1</v>
      </c>
      <c r="F2296" s="4">
        <v>733</v>
      </c>
      <c r="G2296" s="9">
        <v>54.11</v>
      </c>
    </row>
    <row r="2297" spans="1:7" ht="15.6" x14ac:dyDescent="0.3">
      <c r="A2297" s="16">
        <v>45315</v>
      </c>
      <c r="B2297" s="10" t="s">
        <v>21</v>
      </c>
      <c r="C2297" s="10" t="s">
        <v>14</v>
      </c>
      <c r="D2297" s="10" t="s">
        <v>12</v>
      </c>
      <c r="E2297" s="4">
        <v>3</v>
      </c>
      <c r="F2297" s="4">
        <v>2421</v>
      </c>
      <c r="G2297" s="9">
        <v>334.61</v>
      </c>
    </row>
    <row r="2298" spans="1:7" ht="15.6" x14ac:dyDescent="0.3">
      <c r="A2298" s="16">
        <v>45365</v>
      </c>
      <c r="B2298" s="10" t="s">
        <v>22</v>
      </c>
      <c r="C2298" s="10" t="s">
        <v>11</v>
      </c>
      <c r="D2298" s="10" t="s">
        <v>12</v>
      </c>
      <c r="E2298" s="4">
        <v>8</v>
      </c>
      <c r="F2298" s="4">
        <v>832</v>
      </c>
      <c r="G2298" s="9">
        <v>214.81</v>
      </c>
    </row>
    <row r="2299" spans="1:7" ht="15.6" x14ac:dyDescent="0.3">
      <c r="A2299" s="16">
        <v>44694</v>
      </c>
      <c r="B2299" s="10" t="s">
        <v>19</v>
      </c>
      <c r="C2299" s="10" t="s">
        <v>14</v>
      </c>
      <c r="D2299" s="10" t="s">
        <v>12</v>
      </c>
      <c r="E2299" s="4">
        <v>1</v>
      </c>
      <c r="F2299" s="4">
        <v>483</v>
      </c>
      <c r="G2299" s="9">
        <v>98.15</v>
      </c>
    </row>
    <row r="2300" spans="1:7" ht="15.6" x14ac:dyDescent="0.3">
      <c r="A2300" s="16">
        <v>44984</v>
      </c>
      <c r="B2300" s="10" t="s">
        <v>22</v>
      </c>
      <c r="C2300" s="10" t="s">
        <v>11</v>
      </c>
      <c r="D2300" s="10" t="s">
        <v>9</v>
      </c>
      <c r="E2300" s="4">
        <v>6</v>
      </c>
      <c r="F2300" s="4">
        <v>2508</v>
      </c>
      <c r="G2300" s="9">
        <v>480.48</v>
      </c>
    </row>
    <row r="2301" spans="1:7" ht="15.6" x14ac:dyDescent="0.3">
      <c r="A2301" s="16">
        <v>45200</v>
      </c>
      <c r="B2301" s="10" t="s">
        <v>22</v>
      </c>
      <c r="C2301" s="10" t="s">
        <v>11</v>
      </c>
      <c r="D2301" s="10" t="s">
        <v>9</v>
      </c>
      <c r="E2301" s="4">
        <v>7</v>
      </c>
      <c r="F2301" s="4">
        <v>4032</v>
      </c>
      <c r="G2301" s="9">
        <v>426.13</v>
      </c>
    </row>
    <row r="2302" spans="1:7" ht="15.6" x14ac:dyDescent="0.3">
      <c r="A2302" s="16">
        <v>44666</v>
      </c>
      <c r="B2302" s="10" t="s">
        <v>22</v>
      </c>
      <c r="C2302" s="10" t="s">
        <v>11</v>
      </c>
      <c r="D2302" s="10" t="s">
        <v>12</v>
      </c>
      <c r="E2302" s="4">
        <v>8</v>
      </c>
      <c r="F2302" s="4">
        <v>3208</v>
      </c>
      <c r="G2302" s="9">
        <v>840.97</v>
      </c>
    </row>
    <row r="2303" spans="1:7" ht="15.6" x14ac:dyDescent="0.3">
      <c r="A2303" s="16">
        <v>45422</v>
      </c>
      <c r="B2303" s="10" t="s">
        <v>19</v>
      </c>
      <c r="C2303" s="10" t="s">
        <v>14</v>
      </c>
      <c r="D2303" s="10" t="s">
        <v>15</v>
      </c>
      <c r="E2303" s="4">
        <v>6</v>
      </c>
      <c r="F2303" s="4">
        <v>3402</v>
      </c>
      <c r="G2303" s="9">
        <v>857.61</v>
      </c>
    </row>
    <row r="2304" spans="1:7" ht="15.6" x14ac:dyDescent="0.3">
      <c r="A2304" s="16">
        <v>45632</v>
      </c>
      <c r="B2304" s="10" t="s">
        <v>18</v>
      </c>
      <c r="C2304" s="10" t="s">
        <v>11</v>
      </c>
      <c r="D2304" s="10" t="s">
        <v>9</v>
      </c>
      <c r="E2304" s="4">
        <v>1</v>
      </c>
      <c r="F2304" s="4">
        <v>541</v>
      </c>
      <c r="G2304" s="9">
        <v>52.5</v>
      </c>
    </row>
    <row r="2305" spans="1:7" ht="15.6" x14ac:dyDescent="0.3">
      <c r="A2305" s="16">
        <v>44600</v>
      </c>
      <c r="B2305" s="10" t="s">
        <v>19</v>
      </c>
      <c r="C2305" s="10" t="s">
        <v>14</v>
      </c>
      <c r="D2305" s="10" t="s">
        <v>16</v>
      </c>
      <c r="E2305" s="4">
        <v>7</v>
      </c>
      <c r="F2305" s="4">
        <v>1806</v>
      </c>
      <c r="G2305" s="9">
        <v>129.6</v>
      </c>
    </row>
    <row r="2306" spans="1:7" ht="15.6" x14ac:dyDescent="0.3">
      <c r="A2306" s="16">
        <v>45507</v>
      </c>
      <c r="B2306" s="10" t="s">
        <v>18</v>
      </c>
      <c r="C2306" s="10" t="s">
        <v>11</v>
      </c>
      <c r="D2306" s="10" t="s">
        <v>15</v>
      </c>
      <c r="E2306" s="4">
        <v>3</v>
      </c>
      <c r="F2306" s="4">
        <v>2433</v>
      </c>
      <c r="G2306" s="9">
        <v>515.28</v>
      </c>
    </row>
    <row r="2307" spans="1:7" ht="15.6" x14ac:dyDescent="0.3">
      <c r="A2307" s="16">
        <v>45240</v>
      </c>
      <c r="B2307" s="10" t="s">
        <v>22</v>
      </c>
      <c r="C2307" s="10" t="s">
        <v>11</v>
      </c>
      <c r="D2307" s="10" t="s">
        <v>12</v>
      </c>
      <c r="E2307" s="4">
        <v>6</v>
      </c>
      <c r="F2307" s="4">
        <v>5880</v>
      </c>
      <c r="G2307" s="9">
        <v>454.19</v>
      </c>
    </row>
    <row r="2308" spans="1:7" ht="15.6" x14ac:dyDescent="0.3">
      <c r="A2308" s="16">
        <v>45070</v>
      </c>
      <c r="B2308" s="10" t="s">
        <v>10</v>
      </c>
      <c r="C2308" s="10" t="s">
        <v>11</v>
      </c>
      <c r="D2308" s="10" t="s">
        <v>16</v>
      </c>
      <c r="E2308" s="4">
        <v>3</v>
      </c>
      <c r="F2308" s="4">
        <v>3375</v>
      </c>
      <c r="G2308" s="9">
        <v>451.5</v>
      </c>
    </row>
    <row r="2309" spans="1:7" ht="15.6" x14ac:dyDescent="0.3">
      <c r="A2309" s="16">
        <v>45442</v>
      </c>
      <c r="B2309" s="10" t="s">
        <v>13</v>
      </c>
      <c r="C2309" s="10" t="s">
        <v>14</v>
      </c>
      <c r="D2309" s="10" t="s">
        <v>9</v>
      </c>
      <c r="E2309" s="4">
        <v>8</v>
      </c>
      <c r="F2309" s="4">
        <v>6960</v>
      </c>
      <c r="G2309" s="9">
        <v>1913.58</v>
      </c>
    </row>
    <row r="2310" spans="1:7" ht="15.6" x14ac:dyDescent="0.3">
      <c r="A2310" s="16">
        <v>45510</v>
      </c>
      <c r="B2310" s="10" t="s">
        <v>22</v>
      </c>
      <c r="C2310" s="10" t="s">
        <v>11</v>
      </c>
      <c r="D2310" s="10" t="s">
        <v>16</v>
      </c>
      <c r="E2310" s="4">
        <v>4</v>
      </c>
      <c r="F2310" s="4">
        <v>316</v>
      </c>
      <c r="G2310" s="9">
        <v>32.79</v>
      </c>
    </row>
    <row r="2311" spans="1:7" ht="15.6" x14ac:dyDescent="0.3">
      <c r="A2311" s="16">
        <v>44844</v>
      </c>
      <c r="B2311" s="10" t="s">
        <v>13</v>
      </c>
      <c r="C2311" s="10" t="s">
        <v>14</v>
      </c>
      <c r="D2311" s="10" t="s">
        <v>9</v>
      </c>
      <c r="E2311" s="4">
        <v>9</v>
      </c>
      <c r="F2311" s="4">
        <v>1404</v>
      </c>
      <c r="G2311" s="9">
        <v>89.43</v>
      </c>
    </row>
    <row r="2312" spans="1:7" ht="15.6" x14ac:dyDescent="0.3">
      <c r="A2312" s="16">
        <v>45359</v>
      </c>
      <c r="B2312" s="10" t="s">
        <v>22</v>
      </c>
      <c r="C2312" s="10" t="s">
        <v>11</v>
      </c>
      <c r="D2312" s="10" t="s">
        <v>9</v>
      </c>
      <c r="E2312" s="4">
        <v>9</v>
      </c>
      <c r="F2312" s="4">
        <v>5823</v>
      </c>
      <c r="G2312" s="9">
        <v>478.22</v>
      </c>
    </row>
    <row r="2313" spans="1:7" ht="15.6" x14ac:dyDescent="0.3">
      <c r="A2313" s="16">
        <v>45428</v>
      </c>
      <c r="B2313" s="10" t="s">
        <v>18</v>
      </c>
      <c r="C2313" s="10" t="s">
        <v>11</v>
      </c>
      <c r="D2313" s="10" t="s">
        <v>15</v>
      </c>
      <c r="E2313" s="4">
        <v>6</v>
      </c>
      <c r="F2313" s="4">
        <v>2790</v>
      </c>
      <c r="G2313" s="9">
        <v>719.15</v>
      </c>
    </row>
    <row r="2314" spans="1:7" ht="15.6" x14ac:dyDescent="0.3">
      <c r="A2314" s="16">
        <v>45443</v>
      </c>
      <c r="B2314" s="10" t="s">
        <v>13</v>
      </c>
      <c r="C2314" s="10" t="s">
        <v>14</v>
      </c>
      <c r="D2314" s="10" t="s">
        <v>16</v>
      </c>
      <c r="E2314" s="4">
        <v>7</v>
      </c>
      <c r="F2314" s="4">
        <v>1169</v>
      </c>
      <c r="G2314" s="9">
        <v>69.41</v>
      </c>
    </row>
    <row r="2315" spans="1:7" ht="15.6" x14ac:dyDescent="0.3">
      <c r="A2315" s="16">
        <v>45225</v>
      </c>
      <c r="B2315" s="10" t="s">
        <v>7</v>
      </c>
      <c r="C2315" s="10" t="s">
        <v>8</v>
      </c>
      <c r="D2315" s="10" t="s">
        <v>12</v>
      </c>
      <c r="E2315" s="4">
        <v>8</v>
      </c>
      <c r="F2315" s="4">
        <v>6016</v>
      </c>
      <c r="G2315" s="9">
        <v>406.13</v>
      </c>
    </row>
    <row r="2316" spans="1:7" ht="15.6" x14ac:dyDescent="0.3">
      <c r="A2316" s="16">
        <v>44849</v>
      </c>
      <c r="B2316" s="10" t="s">
        <v>19</v>
      </c>
      <c r="C2316" s="10" t="s">
        <v>14</v>
      </c>
      <c r="D2316" s="10" t="s">
        <v>9</v>
      </c>
      <c r="E2316" s="4">
        <v>7</v>
      </c>
      <c r="F2316" s="4">
        <v>7154</v>
      </c>
      <c r="G2316" s="9">
        <v>1177.51</v>
      </c>
    </row>
    <row r="2317" spans="1:7" ht="15.6" x14ac:dyDescent="0.3">
      <c r="A2317" s="16">
        <v>45320</v>
      </c>
      <c r="B2317" s="10" t="s">
        <v>22</v>
      </c>
      <c r="C2317" s="10" t="s">
        <v>11</v>
      </c>
      <c r="D2317" s="10" t="s">
        <v>16</v>
      </c>
      <c r="E2317" s="4">
        <v>2</v>
      </c>
      <c r="F2317" s="4">
        <v>370</v>
      </c>
      <c r="G2317" s="9">
        <v>102.74</v>
      </c>
    </row>
    <row r="2318" spans="1:7" ht="15.6" x14ac:dyDescent="0.3">
      <c r="A2318" s="16">
        <v>45367</v>
      </c>
      <c r="B2318" s="10" t="s">
        <v>20</v>
      </c>
      <c r="C2318" s="10" t="s">
        <v>11</v>
      </c>
      <c r="D2318" s="10" t="s">
        <v>16</v>
      </c>
      <c r="E2318" s="4">
        <v>1</v>
      </c>
      <c r="F2318" s="4">
        <v>430</v>
      </c>
      <c r="G2318" s="9">
        <v>113.57</v>
      </c>
    </row>
    <row r="2319" spans="1:7" ht="15.6" x14ac:dyDescent="0.3">
      <c r="A2319" s="16">
        <v>44679</v>
      </c>
      <c r="B2319" s="10" t="s">
        <v>19</v>
      </c>
      <c r="C2319" s="10" t="s">
        <v>14</v>
      </c>
      <c r="D2319" s="10" t="s">
        <v>16</v>
      </c>
      <c r="E2319" s="4">
        <v>1</v>
      </c>
      <c r="F2319" s="4">
        <v>946</v>
      </c>
      <c r="G2319" s="9">
        <v>280.52999999999997</v>
      </c>
    </row>
    <row r="2320" spans="1:7" ht="15.6" x14ac:dyDescent="0.3">
      <c r="A2320" s="16">
        <v>45432</v>
      </c>
      <c r="B2320" s="10" t="s">
        <v>13</v>
      </c>
      <c r="C2320" s="10" t="s">
        <v>14</v>
      </c>
      <c r="D2320" s="10" t="s">
        <v>15</v>
      </c>
      <c r="E2320" s="4">
        <v>8</v>
      </c>
      <c r="F2320" s="4">
        <v>984</v>
      </c>
      <c r="G2320" s="9">
        <v>73.84</v>
      </c>
    </row>
    <row r="2321" spans="1:7" ht="15.6" x14ac:dyDescent="0.3">
      <c r="A2321" s="16">
        <v>44891</v>
      </c>
      <c r="B2321" s="10" t="s">
        <v>22</v>
      </c>
      <c r="C2321" s="10" t="s">
        <v>11</v>
      </c>
      <c r="D2321" s="10" t="s">
        <v>12</v>
      </c>
      <c r="E2321" s="4">
        <v>9</v>
      </c>
      <c r="F2321" s="4">
        <v>1467</v>
      </c>
      <c r="G2321" s="9">
        <v>372.17</v>
      </c>
    </row>
    <row r="2322" spans="1:7" ht="15.6" x14ac:dyDescent="0.3">
      <c r="A2322" s="16">
        <v>45154</v>
      </c>
      <c r="B2322" s="10" t="s">
        <v>21</v>
      </c>
      <c r="C2322" s="10" t="s">
        <v>14</v>
      </c>
      <c r="D2322" s="10" t="s">
        <v>15</v>
      </c>
      <c r="E2322" s="4">
        <v>4</v>
      </c>
      <c r="F2322" s="4">
        <v>2444</v>
      </c>
      <c r="G2322" s="9">
        <v>155.41999999999999</v>
      </c>
    </row>
    <row r="2323" spans="1:7" ht="15.6" x14ac:dyDescent="0.3">
      <c r="A2323" s="16">
        <v>45232</v>
      </c>
      <c r="B2323" s="10" t="s">
        <v>10</v>
      </c>
      <c r="C2323" s="10" t="s">
        <v>11</v>
      </c>
      <c r="D2323" s="10" t="s">
        <v>9</v>
      </c>
      <c r="E2323" s="4">
        <v>9</v>
      </c>
      <c r="F2323" s="4">
        <v>8640</v>
      </c>
      <c r="G2323" s="9">
        <v>1254.3</v>
      </c>
    </row>
    <row r="2324" spans="1:7" ht="15.6" x14ac:dyDescent="0.3">
      <c r="A2324" s="16">
        <v>45124</v>
      </c>
      <c r="B2324" s="10" t="s">
        <v>19</v>
      </c>
      <c r="C2324" s="10" t="s">
        <v>14</v>
      </c>
      <c r="D2324" s="10" t="s">
        <v>16</v>
      </c>
      <c r="E2324" s="4">
        <v>9</v>
      </c>
      <c r="F2324" s="4">
        <v>3861</v>
      </c>
      <c r="G2324" s="9">
        <v>536.04</v>
      </c>
    </row>
    <row r="2325" spans="1:7" ht="15.6" x14ac:dyDescent="0.3">
      <c r="A2325" s="16">
        <v>44766</v>
      </c>
      <c r="B2325" s="10" t="s">
        <v>22</v>
      </c>
      <c r="C2325" s="10" t="s">
        <v>11</v>
      </c>
      <c r="D2325" s="10" t="s">
        <v>9</v>
      </c>
      <c r="E2325" s="4">
        <v>1</v>
      </c>
      <c r="F2325" s="4">
        <v>868</v>
      </c>
      <c r="G2325" s="9">
        <v>60.12</v>
      </c>
    </row>
    <row r="2326" spans="1:7" ht="15.6" x14ac:dyDescent="0.3">
      <c r="A2326" s="16">
        <v>45599</v>
      </c>
      <c r="B2326" s="10" t="s">
        <v>23</v>
      </c>
      <c r="C2326" s="10" t="s">
        <v>14</v>
      </c>
      <c r="D2326" s="10" t="s">
        <v>15</v>
      </c>
      <c r="E2326" s="4">
        <v>9</v>
      </c>
      <c r="F2326" s="4">
        <v>1746</v>
      </c>
      <c r="G2326" s="9">
        <v>260.5</v>
      </c>
    </row>
    <row r="2327" spans="1:7" ht="15.6" x14ac:dyDescent="0.3">
      <c r="A2327" s="16">
        <v>45523</v>
      </c>
      <c r="B2327" s="10" t="s">
        <v>7</v>
      </c>
      <c r="C2327" s="10" t="s">
        <v>8</v>
      </c>
      <c r="D2327" s="10" t="s">
        <v>15</v>
      </c>
      <c r="E2327" s="4">
        <v>1</v>
      </c>
      <c r="F2327" s="4">
        <v>915</v>
      </c>
      <c r="G2327" s="9">
        <v>129.08000000000001</v>
      </c>
    </row>
    <row r="2328" spans="1:7" ht="15.6" x14ac:dyDescent="0.3">
      <c r="A2328" s="16">
        <v>45550</v>
      </c>
      <c r="B2328" s="10" t="s">
        <v>19</v>
      </c>
      <c r="C2328" s="10" t="s">
        <v>14</v>
      </c>
      <c r="D2328" s="10" t="s">
        <v>12</v>
      </c>
      <c r="E2328" s="4">
        <v>9</v>
      </c>
      <c r="F2328" s="4">
        <v>3591</v>
      </c>
      <c r="G2328" s="9">
        <v>423</v>
      </c>
    </row>
    <row r="2329" spans="1:7" ht="15.6" x14ac:dyDescent="0.3">
      <c r="A2329" s="16">
        <v>44954</v>
      </c>
      <c r="B2329" s="10" t="s">
        <v>17</v>
      </c>
      <c r="C2329" s="10" t="s">
        <v>14</v>
      </c>
      <c r="D2329" s="10" t="s">
        <v>12</v>
      </c>
      <c r="E2329" s="4">
        <v>6</v>
      </c>
      <c r="F2329" s="4">
        <v>2562</v>
      </c>
      <c r="G2329" s="9">
        <v>612.36</v>
      </c>
    </row>
    <row r="2330" spans="1:7" ht="15.6" x14ac:dyDescent="0.3">
      <c r="A2330" s="16">
        <v>44893</v>
      </c>
      <c r="B2330" s="10" t="s">
        <v>19</v>
      </c>
      <c r="C2330" s="10" t="s">
        <v>14</v>
      </c>
      <c r="D2330" s="10" t="s">
        <v>16</v>
      </c>
      <c r="E2330" s="4">
        <v>9</v>
      </c>
      <c r="F2330" s="4">
        <v>5382</v>
      </c>
      <c r="G2330" s="9">
        <v>1037.04</v>
      </c>
    </row>
    <row r="2331" spans="1:7" ht="15.6" x14ac:dyDescent="0.3">
      <c r="A2331" s="16">
        <v>45614</v>
      </c>
      <c r="B2331" s="10" t="s">
        <v>19</v>
      </c>
      <c r="C2331" s="10" t="s">
        <v>14</v>
      </c>
      <c r="D2331" s="10" t="s">
        <v>12</v>
      </c>
      <c r="E2331" s="4">
        <v>4</v>
      </c>
      <c r="F2331" s="4">
        <v>2792</v>
      </c>
      <c r="G2331" s="9">
        <v>170.96</v>
      </c>
    </row>
    <row r="2332" spans="1:7" ht="15.6" x14ac:dyDescent="0.3">
      <c r="A2332" s="16">
        <v>44674</v>
      </c>
      <c r="B2332" s="10" t="s">
        <v>18</v>
      </c>
      <c r="C2332" s="10" t="s">
        <v>11</v>
      </c>
      <c r="D2332" s="10" t="s">
        <v>12</v>
      </c>
      <c r="E2332" s="4">
        <v>4</v>
      </c>
      <c r="F2332" s="4">
        <v>2160</v>
      </c>
      <c r="G2332" s="9">
        <v>631.9</v>
      </c>
    </row>
    <row r="2333" spans="1:7" ht="15.6" x14ac:dyDescent="0.3">
      <c r="A2333" s="16">
        <v>45069</v>
      </c>
      <c r="B2333" s="10" t="s">
        <v>20</v>
      </c>
      <c r="C2333" s="10" t="s">
        <v>11</v>
      </c>
      <c r="D2333" s="10" t="s">
        <v>16</v>
      </c>
      <c r="E2333" s="4">
        <v>7</v>
      </c>
      <c r="F2333" s="4">
        <v>6377</v>
      </c>
      <c r="G2333" s="9">
        <v>1332.86</v>
      </c>
    </row>
    <row r="2334" spans="1:7" ht="15.6" x14ac:dyDescent="0.3">
      <c r="A2334" s="16">
        <v>45429</v>
      </c>
      <c r="B2334" s="10" t="s">
        <v>21</v>
      </c>
      <c r="C2334" s="10" t="s">
        <v>14</v>
      </c>
      <c r="D2334" s="10" t="s">
        <v>12</v>
      </c>
      <c r="E2334" s="4">
        <v>8</v>
      </c>
      <c r="F2334" s="4">
        <v>5264</v>
      </c>
      <c r="G2334" s="9">
        <v>1051.5</v>
      </c>
    </row>
    <row r="2335" spans="1:7" ht="15.6" x14ac:dyDescent="0.3">
      <c r="A2335" s="16">
        <v>45278</v>
      </c>
      <c r="B2335" s="10" t="s">
        <v>23</v>
      </c>
      <c r="C2335" s="10" t="s">
        <v>14</v>
      </c>
      <c r="D2335" s="10" t="s">
        <v>9</v>
      </c>
      <c r="E2335" s="4">
        <v>2</v>
      </c>
      <c r="F2335" s="4">
        <v>1346</v>
      </c>
      <c r="G2335" s="9">
        <v>196.5</v>
      </c>
    </row>
    <row r="2336" spans="1:7" ht="15.6" x14ac:dyDescent="0.3">
      <c r="A2336" s="16">
        <v>45157</v>
      </c>
      <c r="B2336" s="10" t="s">
        <v>17</v>
      </c>
      <c r="C2336" s="10" t="s">
        <v>14</v>
      </c>
      <c r="D2336" s="10" t="s">
        <v>15</v>
      </c>
      <c r="E2336" s="4">
        <v>7</v>
      </c>
      <c r="F2336" s="4">
        <v>7301</v>
      </c>
      <c r="G2336" s="9">
        <v>1311.65</v>
      </c>
    </row>
    <row r="2337" spans="1:7" ht="15.6" x14ac:dyDescent="0.3">
      <c r="A2337" s="16">
        <v>45036</v>
      </c>
      <c r="B2337" s="10" t="s">
        <v>22</v>
      </c>
      <c r="C2337" s="10" t="s">
        <v>11</v>
      </c>
      <c r="D2337" s="10" t="s">
        <v>15</v>
      </c>
      <c r="E2337" s="4">
        <v>2</v>
      </c>
      <c r="F2337" s="4">
        <v>2016</v>
      </c>
      <c r="G2337" s="9">
        <v>198.26</v>
      </c>
    </row>
    <row r="2338" spans="1:7" ht="15.6" x14ac:dyDescent="0.3">
      <c r="A2338" s="16">
        <v>44742</v>
      </c>
      <c r="B2338" s="10" t="s">
        <v>23</v>
      </c>
      <c r="C2338" s="10" t="s">
        <v>14</v>
      </c>
      <c r="D2338" s="10" t="s">
        <v>9</v>
      </c>
      <c r="E2338" s="4">
        <v>6</v>
      </c>
      <c r="F2338" s="4">
        <v>1266</v>
      </c>
      <c r="G2338" s="9">
        <v>220.5</v>
      </c>
    </row>
    <row r="2339" spans="1:7" ht="15.6" x14ac:dyDescent="0.3">
      <c r="A2339" s="16">
        <v>45027</v>
      </c>
      <c r="B2339" s="10" t="s">
        <v>10</v>
      </c>
      <c r="C2339" s="10" t="s">
        <v>11</v>
      </c>
      <c r="D2339" s="10" t="s">
        <v>16</v>
      </c>
      <c r="E2339" s="4">
        <v>2</v>
      </c>
      <c r="F2339" s="4">
        <v>140</v>
      </c>
      <c r="G2339" s="9">
        <v>35.18</v>
      </c>
    </row>
    <row r="2340" spans="1:7" ht="15.6" x14ac:dyDescent="0.3">
      <c r="A2340" s="16">
        <v>45495</v>
      </c>
      <c r="B2340" s="10" t="s">
        <v>17</v>
      </c>
      <c r="C2340" s="10" t="s">
        <v>14</v>
      </c>
      <c r="D2340" s="10" t="s">
        <v>12</v>
      </c>
      <c r="E2340" s="4">
        <v>8</v>
      </c>
      <c r="F2340" s="4">
        <v>6520</v>
      </c>
      <c r="G2340" s="9">
        <v>1073.6199999999999</v>
      </c>
    </row>
    <row r="2341" spans="1:7" ht="15.6" x14ac:dyDescent="0.3">
      <c r="A2341" s="16">
        <v>44611</v>
      </c>
      <c r="B2341" s="10" t="s">
        <v>22</v>
      </c>
      <c r="C2341" s="10" t="s">
        <v>11</v>
      </c>
      <c r="D2341" s="10" t="s">
        <v>12</v>
      </c>
      <c r="E2341" s="4">
        <v>1</v>
      </c>
      <c r="F2341" s="4">
        <v>582</v>
      </c>
      <c r="G2341" s="9">
        <v>29.91</v>
      </c>
    </row>
    <row r="2342" spans="1:7" ht="15.6" x14ac:dyDescent="0.3">
      <c r="A2342" s="16">
        <v>45361</v>
      </c>
      <c r="B2342" s="10" t="s">
        <v>7</v>
      </c>
      <c r="C2342" s="10" t="s">
        <v>8</v>
      </c>
      <c r="D2342" s="10" t="s">
        <v>16</v>
      </c>
      <c r="E2342" s="4">
        <v>1</v>
      </c>
      <c r="F2342" s="4">
        <v>245</v>
      </c>
      <c r="G2342" s="9">
        <v>14.5</v>
      </c>
    </row>
    <row r="2343" spans="1:7" ht="15.6" x14ac:dyDescent="0.3">
      <c r="A2343" s="16">
        <v>45409</v>
      </c>
      <c r="B2343" s="10" t="s">
        <v>10</v>
      </c>
      <c r="C2343" s="10" t="s">
        <v>11</v>
      </c>
      <c r="D2343" s="10" t="s">
        <v>15</v>
      </c>
      <c r="E2343" s="4">
        <v>1</v>
      </c>
      <c r="F2343" s="4">
        <v>504</v>
      </c>
      <c r="G2343" s="9">
        <v>143.12</v>
      </c>
    </row>
    <row r="2344" spans="1:7" ht="15.6" x14ac:dyDescent="0.3">
      <c r="A2344" s="16">
        <v>44840</v>
      </c>
      <c r="B2344" s="10" t="s">
        <v>20</v>
      </c>
      <c r="C2344" s="10" t="s">
        <v>11</v>
      </c>
      <c r="D2344" s="10" t="s">
        <v>15</v>
      </c>
      <c r="E2344" s="4">
        <v>6</v>
      </c>
      <c r="F2344" s="4">
        <v>6834</v>
      </c>
      <c r="G2344" s="9">
        <v>1211.75</v>
      </c>
    </row>
    <row r="2345" spans="1:7" ht="15.6" x14ac:dyDescent="0.3">
      <c r="A2345" s="16">
        <v>44835</v>
      </c>
      <c r="B2345" s="10" t="s">
        <v>18</v>
      </c>
      <c r="C2345" s="10" t="s">
        <v>11</v>
      </c>
      <c r="D2345" s="10" t="s">
        <v>16</v>
      </c>
      <c r="E2345" s="4">
        <v>8</v>
      </c>
      <c r="F2345" s="4">
        <v>5712</v>
      </c>
      <c r="G2345" s="9">
        <v>1191.02</v>
      </c>
    </row>
    <row r="2346" spans="1:7" ht="15.6" x14ac:dyDescent="0.3">
      <c r="A2346" s="16">
        <v>45055</v>
      </c>
      <c r="B2346" s="10" t="s">
        <v>23</v>
      </c>
      <c r="C2346" s="10" t="s">
        <v>14</v>
      </c>
      <c r="D2346" s="10" t="s">
        <v>15</v>
      </c>
      <c r="E2346" s="4">
        <v>5</v>
      </c>
      <c r="F2346" s="4">
        <v>4485</v>
      </c>
      <c r="G2346" s="9">
        <v>347.99</v>
      </c>
    </row>
    <row r="2347" spans="1:7" ht="15.6" x14ac:dyDescent="0.3">
      <c r="A2347" s="16">
        <v>45445</v>
      </c>
      <c r="B2347" s="10" t="s">
        <v>18</v>
      </c>
      <c r="C2347" s="10" t="s">
        <v>11</v>
      </c>
      <c r="D2347" s="10" t="s">
        <v>16</v>
      </c>
      <c r="E2347" s="4">
        <v>8</v>
      </c>
      <c r="F2347" s="4">
        <v>2304</v>
      </c>
      <c r="G2347" s="9">
        <v>291.45999999999998</v>
      </c>
    </row>
    <row r="2348" spans="1:7" ht="15.6" x14ac:dyDescent="0.3">
      <c r="A2348" s="16">
        <v>45466</v>
      </c>
      <c r="B2348" s="10" t="s">
        <v>10</v>
      </c>
      <c r="C2348" s="10" t="s">
        <v>11</v>
      </c>
      <c r="D2348" s="10" t="s">
        <v>9</v>
      </c>
      <c r="E2348" s="4">
        <v>6</v>
      </c>
      <c r="F2348" s="4">
        <v>6576</v>
      </c>
      <c r="G2348" s="9">
        <v>815.56</v>
      </c>
    </row>
    <row r="2349" spans="1:7" ht="15.6" x14ac:dyDescent="0.3">
      <c r="A2349" s="16">
        <v>44881</v>
      </c>
      <c r="B2349" s="10" t="s">
        <v>22</v>
      </c>
      <c r="C2349" s="10" t="s">
        <v>11</v>
      </c>
      <c r="D2349" s="10" t="s">
        <v>15</v>
      </c>
      <c r="E2349" s="4">
        <v>9</v>
      </c>
      <c r="F2349" s="4">
        <v>10629</v>
      </c>
      <c r="G2349" s="9">
        <v>2843.54</v>
      </c>
    </row>
    <row r="2350" spans="1:7" ht="15.6" x14ac:dyDescent="0.3">
      <c r="A2350" s="16">
        <v>44632</v>
      </c>
      <c r="B2350" s="10" t="s">
        <v>17</v>
      </c>
      <c r="C2350" s="10" t="s">
        <v>14</v>
      </c>
      <c r="D2350" s="10" t="s">
        <v>12</v>
      </c>
      <c r="E2350" s="4">
        <v>1</v>
      </c>
      <c r="F2350" s="4">
        <v>706</v>
      </c>
      <c r="G2350" s="9">
        <v>153.59</v>
      </c>
    </row>
    <row r="2351" spans="1:7" ht="15.6" x14ac:dyDescent="0.3">
      <c r="A2351" s="16">
        <v>44667</v>
      </c>
      <c r="B2351" s="10" t="s">
        <v>18</v>
      </c>
      <c r="C2351" s="10" t="s">
        <v>11</v>
      </c>
      <c r="D2351" s="10" t="s">
        <v>15</v>
      </c>
      <c r="E2351" s="4">
        <v>1</v>
      </c>
      <c r="F2351" s="4">
        <v>977</v>
      </c>
      <c r="G2351" s="9">
        <v>103.82</v>
      </c>
    </row>
    <row r="2352" spans="1:7" ht="15.6" x14ac:dyDescent="0.3">
      <c r="A2352" s="16">
        <v>45032</v>
      </c>
      <c r="B2352" s="10" t="s">
        <v>19</v>
      </c>
      <c r="C2352" s="10" t="s">
        <v>14</v>
      </c>
      <c r="D2352" s="10" t="s">
        <v>15</v>
      </c>
      <c r="E2352" s="4">
        <v>4</v>
      </c>
      <c r="F2352" s="4">
        <v>776</v>
      </c>
      <c r="G2352" s="9">
        <v>73.16</v>
      </c>
    </row>
    <row r="2353" spans="1:7" ht="15.6" x14ac:dyDescent="0.3">
      <c r="A2353" s="16">
        <v>44846</v>
      </c>
      <c r="B2353" s="10" t="s">
        <v>13</v>
      </c>
      <c r="C2353" s="10" t="s">
        <v>14</v>
      </c>
      <c r="D2353" s="10" t="s">
        <v>16</v>
      </c>
      <c r="E2353" s="4">
        <v>4</v>
      </c>
      <c r="F2353" s="4">
        <v>3932</v>
      </c>
      <c r="G2353" s="9">
        <v>309.43</v>
      </c>
    </row>
    <row r="2354" spans="1:7" ht="15.6" x14ac:dyDescent="0.3">
      <c r="A2354" s="16">
        <v>44863</v>
      </c>
      <c r="B2354" s="10" t="s">
        <v>22</v>
      </c>
      <c r="C2354" s="10" t="s">
        <v>11</v>
      </c>
      <c r="D2354" s="10" t="s">
        <v>12</v>
      </c>
      <c r="E2354" s="4">
        <v>3</v>
      </c>
      <c r="F2354" s="4">
        <v>1263</v>
      </c>
      <c r="G2354" s="9">
        <v>368.46</v>
      </c>
    </row>
    <row r="2355" spans="1:7" ht="15.6" x14ac:dyDescent="0.3">
      <c r="A2355" s="16">
        <v>44774</v>
      </c>
      <c r="B2355" s="10" t="s">
        <v>22</v>
      </c>
      <c r="C2355" s="10" t="s">
        <v>11</v>
      </c>
      <c r="D2355" s="10" t="s">
        <v>12</v>
      </c>
      <c r="E2355" s="4">
        <v>8</v>
      </c>
      <c r="F2355" s="4">
        <v>7064</v>
      </c>
      <c r="G2355" s="9">
        <v>745.24</v>
      </c>
    </row>
    <row r="2356" spans="1:7" ht="15.6" x14ac:dyDescent="0.3">
      <c r="A2356" s="16">
        <v>45036</v>
      </c>
      <c r="B2356" s="10" t="s">
        <v>22</v>
      </c>
      <c r="C2356" s="10" t="s">
        <v>11</v>
      </c>
      <c r="D2356" s="10" t="s">
        <v>16</v>
      </c>
      <c r="E2356" s="4">
        <v>4</v>
      </c>
      <c r="F2356" s="4">
        <v>4740</v>
      </c>
      <c r="G2356" s="9">
        <v>746.77</v>
      </c>
    </row>
    <row r="2357" spans="1:7" ht="15.6" x14ac:dyDescent="0.3">
      <c r="A2357" s="16">
        <v>45376</v>
      </c>
      <c r="B2357" s="10" t="s">
        <v>7</v>
      </c>
      <c r="C2357" s="10" t="s">
        <v>8</v>
      </c>
      <c r="D2357" s="10" t="s">
        <v>15</v>
      </c>
      <c r="E2357" s="4">
        <v>7</v>
      </c>
      <c r="F2357" s="4">
        <v>4522</v>
      </c>
      <c r="G2357" s="9">
        <v>1137.23</v>
      </c>
    </row>
    <row r="2358" spans="1:7" ht="15.6" x14ac:dyDescent="0.3">
      <c r="A2358" s="16">
        <v>45288</v>
      </c>
      <c r="B2358" s="10" t="s">
        <v>13</v>
      </c>
      <c r="C2358" s="10" t="s">
        <v>14</v>
      </c>
      <c r="D2358" s="10" t="s">
        <v>15</v>
      </c>
      <c r="E2358" s="4">
        <v>7</v>
      </c>
      <c r="F2358" s="4">
        <v>2009</v>
      </c>
      <c r="G2358" s="9">
        <v>183.19</v>
      </c>
    </row>
    <row r="2359" spans="1:7" ht="15.6" x14ac:dyDescent="0.3">
      <c r="A2359" s="16">
        <v>45400</v>
      </c>
      <c r="B2359" s="10" t="s">
        <v>21</v>
      </c>
      <c r="C2359" s="10" t="s">
        <v>14</v>
      </c>
      <c r="D2359" s="10" t="s">
        <v>12</v>
      </c>
      <c r="E2359" s="4">
        <v>2</v>
      </c>
      <c r="F2359" s="4">
        <v>2110</v>
      </c>
      <c r="G2359" s="9">
        <v>548.12</v>
      </c>
    </row>
    <row r="2360" spans="1:7" ht="15.6" x14ac:dyDescent="0.3">
      <c r="A2360" s="16">
        <v>45561</v>
      </c>
      <c r="B2360" s="10" t="s">
        <v>10</v>
      </c>
      <c r="C2360" s="10" t="s">
        <v>11</v>
      </c>
      <c r="D2360" s="10" t="s">
        <v>16</v>
      </c>
      <c r="E2360" s="4">
        <v>1</v>
      </c>
      <c r="F2360" s="4">
        <v>95</v>
      </c>
      <c r="G2360" s="9">
        <v>6.97</v>
      </c>
    </row>
    <row r="2361" spans="1:7" ht="15.6" x14ac:dyDescent="0.3">
      <c r="A2361" s="16">
        <v>45249</v>
      </c>
      <c r="B2361" s="10" t="s">
        <v>19</v>
      </c>
      <c r="C2361" s="10" t="s">
        <v>14</v>
      </c>
      <c r="D2361" s="10" t="s">
        <v>12</v>
      </c>
      <c r="E2361" s="4">
        <v>1</v>
      </c>
      <c r="F2361" s="4">
        <v>384</v>
      </c>
      <c r="G2361" s="9">
        <v>83.58</v>
      </c>
    </row>
    <row r="2362" spans="1:7" ht="15.6" x14ac:dyDescent="0.3">
      <c r="A2362" s="16">
        <v>45039</v>
      </c>
      <c r="B2362" s="10" t="s">
        <v>13</v>
      </c>
      <c r="C2362" s="10" t="s">
        <v>14</v>
      </c>
      <c r="D2362" s="10" t="s">
        <v>9</v>
      </c>
      <c r="E2362" s="4">
        <v>3</v>
      </c>
      <c r="F2362" s="4">
        <v>3471</v>
      </c>
      <c r="G2362" s="9">
        <v>200.08</v>
      </c>
    </row>
    <row r="2363" spans="1:7" ht="15.6" x14ac:dyDescent="0.3">
      <c r="A2363" s="16">
        <v>45097</v>
      </c>
      <c r="B2363" s="10" t="s">
        <v>13</v>
      </c>
      <c r="C2363" s="10" t="s">
        <v>14</v>
      </c>
      <c r="D2363" s="10" t="s">
        <v>16</v>
      </c>
      <c r="E2363" s="4">
        <v>4</v>
      </c>
      <c r="F2363" s="4">
        <v>2048</v>
      </c>
      <c r="G2363" s="9">
        <v>507.01</v>
      </c>
    </row>
    <row r="2364" spans="1:7" ht="15.6" x14ac:dyDescent="0.3">
      <c r="A2364" s="16">
        <v>44778</v>
      </c>
      <c r="B2364" s="10" t="s">
        <v>20</v>
      </c>
      <c r="C2364" s="10" t="s">
        <v>11</v>
      </c>
      <c r="D2364" s="10" t="s">
        <v>15</v>
      </c>
      <c r="E2364" s="4">
        <v>8</v>
      </c>
      <c r="F2364" s="4">
        <v>9296</v>
      </c>
      <c r="G2364" s="9">
        <v>2581.06</v>
      </c>
    </row>
    <row r="2365" spans="1:7" ht="15.6" x14ac:dyDescent="0.3">
      <c r="A2365" s="16">
        <v>44709</v>
      </c>
      <c r="B2365" s="10" t="s">
        <v>23</v>
      </c>
      <c r="C2365" s="10" t="s">
        <v>14</v>
      </c>
      <c r="D2365" s="10" t="s">
        <v>16</v>
      </c>
      <c r="E2365" s="4">
        <v>8</v>
      </c>
      <c r="F2365" s="4">
        <v>5272</v>
      </c>
      <c r="G2365" s="9">
        <v>1188.1600000000001</v>
      </c>
    </row>
    <row r="2366" spans="1:7" ht="15.6" x14ac:dyDescent="0.3">
      <c r="A2366" s="16">
        <v>45309</v>
      </c>
      <c r="B2366" s="10" t="s">
        <v>18</v>
      </c>
      <c r="C2366" s="10" t="s">
        <v>11</v>
      </c>
      <c r="D2366" s="10" t="s">
        <v>12</v>
      </c>
      <c r="E2366" s="4">
        <v>1</v>
      </c>
      <c r="F2366" s="4">
        <v>619</v>
      </c>
      <c r="G2366" s="9">
        <v>127.58</v>
      </c>
    </row>
    <row r="2367" spans="1:7" ht="15.6" x14ac:dyDescent="0.3">
      <c r="A2367" s="16">
        <v>45043</v>
      </c>
      <c r="B2367" s="10" t="s">
        <v>23</v>
      </c>
      <c r="C2367" s="10" t="s">
        <v>14</v>
      </c>
      <c r="D2367" s="10" t="s">
        <v>9</v>
      </c>
      <c r="E2367" s="4">
        <v>1</v>
      </c>
      <c r="F2367" s="4">
        <v>448</v>
      </c>
      <c r="G2367" s="9">
        <v>53.2</v>
      </c>
    </row>
    <row r="2368" spans="1:7" ht="15.6" x14ac:dyDescent="0.3">
      <c r="A2368" s="16">
        <v>44722</v>
      </c>
      <c r="B2368" s="10" t="s">
        <v>22</v>
      </c>
      <c r="C2368" s="10" t="s">
        <v>11</v>
      </c>
      <c r="D2368" s="10" t="s">
        <v>9</v>
      </c>
      <c r="E2368" s="4">
        <v>9</v>
      </c>
      <c r="F2368" s="4">
        <v>5004</v>
      </c>
      <c r="G2368" s="9">
        <v>1313.13</v>
      </c>
    </row>
    <row r="2369" spans="1:7" ht="15.6" x14ac:dyDescent="0.3">
      <c r="A2369" s="16">
        <v>45265</v>
      </c>
      <c r="B2369" s="10" t="s">
        <v>22</v>
      </c>
      <c r="C2369" s="10" t="s">
        <v>11</v>
      </c>
      <c r="D2369" s="10" t="s">
        <v>9</v>
      </c>
      <c r="E2369" s="4">
        <v>4</v>
      </c>
      <c r="F2369" s="4">
        <v>4716</v>
      </c>
      <c r="G2369" s="9">
        <v>704.99</v>
      </c>
    </row>
    <row r="2370" spans="1:7" ht="15.6" x14ac:dyDescent="0.3">
      <c r="A2370" s="16">
        <v>44692</v>
      </c>
      <c r="B2370" s="10" t="s">
        <v>7</v>
      </c>
      <c r="C2370" s="10" t="s">
        <v>8</v>
      </c>
      <c r="D2370" s="10" t="s">
        <v>16</v>
      </c>
      <c r="E2370" s="4">
        <v>9</v>
      </c>
      <c r="F2370" s="4">
        <v>7506</v>
      </c>
      <c r="G2370" s="9">
        <v>827.17</v>
      </c>
    </row>
    <row r="2371" spans="1:7" ht="15.6" x14ac:dyDescent="0.3">
      <c r="A2371" s="16">
        <v>45302</v>
      </c>
      <c r="B2371" s="10" t="s">
        <v>22</v>
      </c>
      <c r="C2371" s="10" t="s">
        <v>11</v>
      </c>
      <c r="D2371" s="10" t="s">
        <v>9</v>
      </c>
      <c r="E2371" s="4">
        <v>7</v>
      </c>
      <c r="F2371" s="4">
        <v>4095</v>
      </c>
      <c r="G2371" s="9">
        <v>883.56</v>
      </c>
    </row>
    <row r="2372" spans="1:7" ht="15.6" x14ac:dyDescent="0.3">
      <c r="A2372" s="16">
        <v>45504</v>
      </c>
      <c r="B2372" s="10" t="s">
        <v>19</v>
      </c>
      <c r="C2372" s="10" t="s">
        <v>14</v>
      </c>
      <c r="D2372" s="10" t="s">
        <v>9</v>
      </c>
      <c r="E2372" s="4">
        <v>7</v>
      </c>
      <c r="F2372" s="4">
        <v>4459</v>
      </c>
      <c r="G2372" s="9">
        <v>1037.27</v>
      </c>
    </row>
    <row r="2373" spans="1:7" ht="15.6" x14ac:dyDescent="0.3">
      <c r="A2373" s="16">
        <v>44865</v>
      </c>
      <c r="B2373" s="10" t="s">
        <v>13</v>
      </c>
      <c r="C2373" s="10" t="s">
        <v>14</v>
      </c>
      <c r="D2373" s="10" t="s">
        <v>15</v>
      </c>
      <c r="E2373" s="4">
        <v>5</v>
      </c>
      <c r="F2373" s="4">
        <v>620</v>
      </c>
      <c r="G2373" s="9">
        <v>62.49</v>
      </c>
    </row>
    <row r="2374" spans="1:7" ht="15.6" x14ac:dyDescent="0.3">
      <c r="A2374" s="16">
        <v>44790</v>
      </c>
      <c r="B2374" s="10" t="s">
        <v>19</v>
      </c>
      <c r="C2374" s="10" t="s">
        <v>14</v>
      </c>
      <c r="D2374" s="10" t="s">
        <v>16</v>
      </c>
      <c r="E2374" s="4">
        <v>2</v>
      </c>
      <c r="F2374" s="4">
        <v>2362</v>
      </c>
      <c r="G2374" s="9">
        <v>185.89</v>
      </c>
    </row>
    <row r="2375" spans="1:7" ht="15.6" x14ac:dyDescent="0.3">
      <c r="A2375" s="16">
        <v>44648</v>
      </c>
      <c r="B2375" s="10" t="s">
        <v>7</v>
      </c>
      <c r="C2375" s="10" t="s">
        <v>8</v>
      </c>
      <c r="D2375" s="10" t="s">
        <v>9</v>
      </c>
      <c r="E2375" s="4">
        <v>2</v>
      </c>
      <c r="F2375" s="4">
        <v>606</v>
      </c>
      <c r="G2375" s="9">
        <v>154.99</v>
      </c>
    </row>
    <row r="2376" spans="1:7" ht="15.6" x14ac:dyDescent="0.3">
      <c r="A2376" s="16">
        <v>45499</v>
      </c>
      <c r="B2376" s="10" t="s">
        <v>17</v>
      </c>
      <c r="C2376" s="10" t="s">
        <v>14</v>
      </c>
      <c r="D2376" s="10" t="s">
        <v>12</v>
      </c>
      <c r="E2376" s="4">
        <v>4</v>
      </c>
      <c r="F2376" s="4">
        <v>1084</v>
      </c>
      <c r="G2376" s="9">
        <v>134.41999999999999</v>
      </c>
    </row>
    <row r="2377" spans="1:7" ht="15.6" x14ac:dyDescent="0.3">
      <c r="A2377" s="16">
        <v>44596</v>
      </c>
      <c r="B2377" s="10" t="s">
        <v>23</v>
      </c>
      <c r="C2377" s="10" t="s">
        <v>14</v>
      </c>
      <c r="D2377" s="10" t="s">
        <v>9</v>
      </c>
      <c r="E2377" s="4">
        <v>8</v>
      </c>
      <c r="F2377" s="4">
        <v>2880</v>
      </c>
      <c r="G2377" s="9">
        <v>315.87</v>
      </c>
    </row>
    <row r="2378" spans="1:7" ht="15.6" x14ac:dyDescent="0.3">
      <c r="A2378" s="16">
        <v>45036</v>
      </c>
      <c r="B2378" s="10" t="s">
        <v>23</v>
      </c>
      <c r="C2378" s="10" t="s">
        <v>14</v>
      </c>
      <c r="D2378" s="10" t="s">
        <v>16</v>
      </c>
      <c r="E2378" s="4">
        <v>8</v>
      </c>
      <c r="F2378" s="4">
        <v>4544</v>
      </c>
      <c r="G2378" s="9">
        <v>727.05</v>
      </c>
    </row>
    <row r="2379" spans="1:7" ht="15.6" x14ac:dyDescent="0.3">
      <c r="A2379" s="16">
        <v>45543</v>
      </c>
      <c r="B2379" s="10" t="s">
        <v>10</v>
      </c>
      <c r="C2379" s="10" t="s">
        <v>11</v>
      </c>
      <c r="D2379" s="10" t="s">
        <v>16</v>
      </c>
      <c r="E2379" s="4">
        <v>4</v>
      </c>
      <c r="F2379" s="4">
        <v>556</v>
      </c>
      <c r="G2379" s="9">
        <v>85.63</v>
      </c>
    </row>
    <row r="2380" spans="1:7" ht="15.6" x14ac:dyDescent="0.3">
      <c r="A2380" s="16">
        <v>45260</v>
      </c>
      <c r="B2380" s="10" t="s">
        <v>23</v>
      </c>
      <c r="C2380" s="10" t="s">
        <v>14</v>
      </c>
      <c r="D2380" s="10" t="s">
        <v>9</v>
      </c>
      <c r="E2380" s="4">
        <v>5</v>
      </c>
      <c r="F2380" s="4">
        <v>505</v>
      </c>
      <c r="G2380" s="9">
        <v>71.97</v>
      </c>
    </row>
    <row r="2381" spans="1:7" ht="15.6" x14ac:dyDescent="0.3">
      <c r="A2381" s="16">
        <v>44988</v>
      </c>
      <c r="B2381" s="10" t="s">
        <v>13</v>
      </c>
      <c r="C2381" s="10" t="s">
        <v>14</v>
      </c>
      <c r="D2381" s="10" t="s">
        <v>16</v>
      </c>
      <c r="E2381" s="4">
        <v>5</v>
      </c>
      <c r="F2381" s="4">
        <v>2595</v>
      </c>
      <c r="G2381" s="9">
        <v>774.2</v>
      </c>
    </row>
    <row r="2382" spans="1:7" ht="15.6" x14ac:dyDescent="0.3">
      <c r="A2382" s="16">
        <v>44950</v>
      </c>
      <c r="B2382" s="10" t="s">
        <v>18</v>
      </c>
      <c r="C2382" s="10" t="s">
        <v>11</v>
      </c>
      <c r="D2382" s="10" t="s">
        <v>15</v>
      </c>
      <c r="E2382" s="4">
        <v>5</v>
      </c>
      <c r="F2382" s="4">
        <v>2820</v>
      </c>
      <c r="G2382" s="9">
        <v>737.68</v>
      </c>
    </row>
    <row r="2383" spans="1:7" ht="15.6" x14ac:dyDescent="0.3">
      <c r="A2383" s="16">
        <v>45228</v>
      </c>
      <c r="B2383" s="10" t="s">
        <v>22</v>
      </c>
      <c r="C2383" s="10" t="s">
        <v>11</v>
      </c>
      <c r="D2383" s="10" t="s">
        <v>12</v>
      </c>
      <c r="E2383" s="4">
        <v>2</v>
      </c>
      <c r="F2383" s="4">
        <v>1018</v>
      </c>
      <c r="G2383" s="9">
        <v>297.20999999999998</v>
      </c>
    </row>
    <row r="2384" spans="1:7" ht="15.6" x14ac:dyDescent="0.3">
      <c r="A2384" s="16">
        <v>44989</v>
      </c>
      <c r="B2384" s="10" t="s">
        <v>23</v>
      </c>
      <c r="C2384" s="10" t="s">
        <v>14</v>
      </c>
      <c r="D2384" s="10" t="s">
        <v>12</v>
      </c>
      <c r="E2384" s="4">
        <v>4</v>
      </c>
      <c r="F2384" s="4">
        <v>944</v>
      </c>
      <c r="G2384" s="9">
        <v>176.56</v>
      </c>
    </row>
    <row r="2385" spans="1:7" ht="15.6" x14ac:dyDescent="0.3">
      <c r="A2385" s="16">
        <v>45168</v>
      </c>
      <c r="B2385" s="10" t="s">
        <v>13</v>
      </c>
      <c r="C2385" s="10" t="s">
        <v>14</v>
      </c>
      <c r="D2385" s="10" t="s">
        <v>12</v>
      </c>
      <c r="E2385" s="4">
        <v>1</v>
      </c>
      <c r="F2385" s="4">
        <v>610</v>
      </c>
      <c r="G2385" s="9">
        <v>44.99</v>
      </c>
    </row>
    <row r="2386" spans="1:7" ht="15.6" x14ac:dyDescent="0.3">
      <c r="A2386" s="16">
        <v>45437</v>
      </c>
      <c r="B2386" s="10" t="s">
        <v>17</v>
      </c>
      <c r="C2386" s="10" t="s">
        <v>14</v>
      </c>
      <c r="D2386" s="10" t="s">
        <v>15</v>
      </c>
      <c r="E2386" s="4">
        <v>4</v>
      </c>
      <c r="F2386" s="4">
        <v>912</v>
      </c>
      <c r="G2386" s="9">
        <v>81.650000000000006</v>
      </c>
    </row>
    <row r="2387" spans="1:7" ht="15.6" x14ac:dyDescent="0.3">
      <c r="A2387" s="16">
        <v>45018</v>
      </c>
      <c r="B2387" s="10" t="s">
        <v>20</v>
      </c>
      <c r="C2387" s="10" t="s">
        <v>11</v>
      </c>
      <c r="D2387" s="10" t="s">
        <v>16</v>
      </c>
      <c r="E2387" s="4">
        <v>9</v>
      </c>
      <c r="F2387" s="4">
        <v>10413</v>
      </c>
      <c r="G2387" s="9">
        <v>1738.63</v>
      </c>
    </row>
    <row r="2388" spans="1:7" ht="15.6" x14ac:dyDescent="0.3">
      <c r="A2388" s="16">
        <v>45134</v>
      </c>
      <c r="B2388" s="10" t="s">
        <v>7</v>
      </c>
      <c r="C2388" s="10" t="s">
        <v>8</v>
      </c>
      <c r="D2388" s="10" t="s">
        <v>16</v>
      </c>
      <c r="E2388" s="4">
        <v>8</v>
      </c>
      <c r="F2388" s="4">
        <v>2176</v>
      </c>
      <c r="G2388" s="9">
        <v>398.29</v>
      </c>
    </row>
    <row r="2389" spans="1:7" ht="15.6" x14ac:dyDescent="0.3">
      <c r="A2389" s="16">
        <v>44565</v>
      </c>
      <c r="B2389" s="10" t="s">
        <v>7</v>
      </c>
      <c r="C2389" s="10" t="s">
        <v>8</v>
      </c>
      <c r="D2389" s="10" t="s">
        <v>12</v>
      </c>
      <c r="E2389" s="4">
        <v>6</v>
      </c>
      <c r="F2389" s="4">
        <v>6108</v>
      </c>
      <c r="G2389" s="9">
        <v>1488.4</v>
      </c>
    </row>
    <row r="2390" spans="1:7" ht="15.6" x14ac:dyDescent="0.3">
      <c r="A2390" s="16">
        <v>45336</v>
      </c>
      <c r="B2390" s="10" t="s">
        <v>10</v>
      </c>
      <c r="C2390" s="10" t="s">
        <v>11</v>
      </c>
      <c r="D2390" s="10" t="s">
        <v>16</v>
      </c>
      <c r="E2390" s="4">
        <v>2</v>
      </c>
      <c r="F2390" s="4">
        <v>1148</v>
      </c>
      <c r="G2390" s="9">
        <v>173.89</v>
      </c>
    </row>
    <row r="2391" spans="1:7" ht="15.6" x14ac:dyDescent="0.3">
      <c r="A2391" s="16">
        <v>45413</v>
      </c>
      <c r="B2391" s="10" t="s">
        <v>20</v>
      </c>
      <c r="C2391" s="10" t="s">
        <v>11</v>
      </c>
      <c r="D2391" s="10" t="s">
        <v>12</v>
      </c>
      <c r="E2391" s="4">
        <v>8</v>
      </c>
      <c r="F2391" s="4">
        <v>8824</v>
      </c>
      <c r="G2391" s="9">
        <v>597.1</v>
      </c>
    </row>
    <row r="2392" spans="1:7" ht="15.6" x14ac:dyDescent="0.3">
      <c r="A2392" s="16">
        <v>44729</v>
      </c>
      <c r="B2392" s="10" t="s">
        <v>18</v>
      </c>
      <c r="C2392" s="10" t="s">
        <v>11</v>
      </c>
      <c r="D2392" s="10" t="s">
        <v>9</v>
      </c>
      <c r="E2392" s="4">
        <v>5</v>
      </c>
      <c r="F2392" s="4">
        <v>2240</v>
      </c>
      <c r="G2392" s="9">
        <v>159.58000000000001</v>
      </c>
    </row>
    <row r="2393" spans="1:7" ht="15.6" x14ac:dyDescent="0.3">
      <c r="A2393" s="16">
        <v>44609</v>
      </c>
      <c r="B2393" s="10" t="s">
        <v>17</v>
      </c>
      <c r="C2393" s="10" t="s">
        <v>14</v>
      </c>
      <c r="D2393" s="10" t="s">
        <v>9</v>
      </c>
      <c r="E2393" s="4">
        <v>2</v>
      </c>
      <c r="F2393" s="4">
        <v>1312</v>
      </c>
      <c r="G2393" s="9">
        <v>386.79</v>
      </c>
    </row>
    <row r="2394" spans="1:7" ht="15.6" x14ac:dyDescent="0.3">
      <c r="A2394" s="16">
        <v>44959</v>
      </c>
      <c r="B2394" s="10" t="s">
        <v>23</v>
      </c>
      <c r="C2394" s="10" t="s">
        <v>14</v>
      </c>
      <c r="D2394" s="10" t="s">
        <v>15</v>
      </c>
      <c r="E2394" s="4">
        <v>9</v>
      </c>
      <c r="F2394" s="4">
        <v>10620</v>
      </c>
      <c r="G2394" s="9">
        <v>2946.93</v>
      </c>
    </row>
    <row r="2395" spans="1:7" ht="15.6" x14ac:dyDescent="0.3">
      <c r="A2395" s="16">
        <v>45565</v>
      </c>
      <c r="B2395" s="10" t="s">
        <v>13</v>
      </c>
      <c r="C2395" s="10" t="s">
        <v>14</v>
      </c>
      <c r="D2395" s="10" t="s">
        <v>12</v>
      </c>
      <c r="E2395" s="4">
        <v>2</v>
      </c>
      <c r="F2395" s="4">
        <v>2178</v>
      </c>
      <c r="G2395" s="9">
        <v>574.4</v>
      </c>
    </row>
    <row r="2396" spans="1:7" ht="15.6" x14ac:dyDescent="0.3">
      <c r="A2396" s="16">
        <v>45424</v>
      </c>
      <c r="B2396" s="10" t="s">
        <v>20</v>
      </c>
      <c r="C2396" s="10" t="s">
        <v>11</v>
      </c>
      <c r="D2396" s="10" t="s">
        <v>12</v>
      </c>
      <c r="E2396" s="4">
        <v>3</v>
      </c>
      <c r="F2396" s="4">
        <v>1671</v>
      </c>
      <c r="G2396" s="9">
        <v>94.52</v>
      </c>
    </row>
    <row r="2397" spans="1:7" ht="15.6" x14ac:dyDescent="0.3">
      <c r="A2397" s="16">
        <v>45501</v>
      </c>
      <c r="B2397" s="10" t="s">
        <v>20</v>
      </c>
      <c r="C2397" s="10" t="s">
        <v>11</v>
      </c>
      <c r="D2397" s="10" t="s">
        <v>12</v>
      </c>
      <c r="E2397" s="4">
        <v>3</v>
      </c>
      <c r="F2397" s="4">
        <v>2025</v>
      </c>
      <c r="G2397" s="9">
        <v>355.59</v>
      </c>
    </row>
    <row r="2398" spans="1:7" ht="15.6" x14ac:dyDescent="0.3">
      <c r="A2398" s="16">
        <v>45597</v>
      </c>
      <c r="B2398" s="10" t="s">
        <v>10</v>
      </c>
      <c r="C2398" s="10" t="s">
        <v>11</v>
      </c>
      <c r="D2398" s="10" t="s">
        <v>12</v>
      </c>
      <c r="E2398" s="4">
        <v>6</v>
      </c>
      <c r="F2398" s="4">
        <v>2886</v>
      </c>
      <c r="G2398" s="9">
        <v>355.32</v>
      </c>
    </row>
    <row r="2399" spans="1:7" ht="15.6" x14ac:dyDescent="0.3">
      <c r="A2399" s="16">
        <v>45500</v>
      </c>
      <c r="B2399" s="10" t="s">
        <v>7</v>
      </c>
      <c r="C2399" s="10" t="s">
        <v>8</v>
      </c>
      <c r="D2399" s="10" t="s">
        <v>12</v>
      </c>
      <c r="E2399" s="4">
        <v>2</v>
      </c>
      <c r="F2399" s="4">
        <v>1868</v>
      </c>
      <c r="G2399" s="9">
        <v>307.32</v>
      </c>
    </row>
    <row r="2400" spans="1:7" ht="15.6" x14ac:dyDescent="0.3">
      <c r="A2400" s="16">
        <v>44934</v>
      </c>
      <c r="B2400" s="10" t="s">
        <v>18</v>
      </c>
      <c r="C2400" s="10" t="s">
        <v>11</v>
      </c>
      <c r="D2400" s="10" t="s">
        <v>12</v>
      </c>
      <c r="E2400" s="4">
        <v>4</v>
      </c>
      <c r="F2400" s="4">
        <v>3280</v>
      </c>
      <c r="G2400" s="9">
        <v>826.94</v>
      </c>
    </row>
    <row r="2401" spans="1:7" ht="15.6" x14ac:dyDescent="0.3">
      <c r="A2401" s="16">
        <v>44699</v>
      </c>
      <c r="B2401" s="10" t="s">
        <v>13</v>
      </c>
      <c r="C2401" s="10" t="s">
        <v>14</v>
      </c>
      <c r="D2401" s="10" t="s">
        <v>16</v>
      </c>
      <c r="E2401" s="4">
        <v>2</v>
      </c>
      <c r="F2401" s="4">
        <v>1768</v>
      </c>
      <c r="G2401" s="9">
        <v>375.86</v>
      </c>
    </row>
    <row r="2402" spans="1:7" ht="15.6" x14ac:dyDescent="0.3">
      <c r="A2402" s="16">
        <v>44914</v>
      </c>
      <c r="B2402" s="10" t="s">
        <v>17</v>
      </c>
      <c r="C2402" s="10" t="s">
        <v>14</v>
      </c>
      <c r="D2402" s="10" t="s">
        <v>16</v>
      </c>
      <c r="E2402" s="4">
        <v>7</v>
      </c>
      <c r="F2402" s="4">
        <v>6937</v>
      </c>
      <c r="G2402" s="9">
        <v>1753.02</v>
      </c>
    </row>
    <row r="2403" spans="1:7" ht="15.6" x14ac:dyDescent="0.3">
      <c r="A2403" s="16">
        <v>45556</v>
      </c>
      <c r="B2403" s="10" t="s">
        <v>19</v>
      </c>
      <c r="C2403" s="10" t="s">
        <v>14</v>
      </c>
      <c r="D2403" s="10" t="s">
        <v>9</v>
      </c>
      <c r="E2403" s="4">
        <v>6</v>
      </c>
      <c r="F2403" s="4">
        <v>3012</v>
      </c>
      <c r="G2403" s="9">
        <v>307.47000000000003</v>
      </c>
    </row>
    <row r="2404" spans="1:7" ht="15.6" x14ac:dyDescent="0.3">
      <c r="A2404" s="16">
        <v>45554</v>
      </c>
      <c r="B2404" s="10" t="s">
        <v>18</v>
      </c>
      <c r="C2404" s="10" t="s">
        <v>11</v>
      </c>
      <c r="D2404" s="10" t="s">
        <v>15</v>
      </c>
      <c r="E2404" s="4">
        <v>3</v>
      </c>
      <c r="F2404" s="4">
        <v>777</v>
      </c>
      <c r="G2404" s="9">
        <v>147.93</v>
      </c>
    </row>
    <row r="2405" spans="1:7" ht="15.6" x14ac:dyDescent="0.3">
      <c r="A2405" s="16">
        <v>45338</v>
      </c>
      <c r="B2405" s="10" t="s">
        <v>21</v>
      </c>
      <c r="C2405" s="10" t="s">
        <v>14</v>
      </c>
      <c r="D2405" s="10" t="s">
        <v>12</v>
      </c>
      <c r="E2405" s="4">
        <v>6</v>
      </c>
      <c r="F2405" s="4">
        <v>4056</v>
      </c>
      <c r="G2405" s="9">
        <v>452.14</v>
      </c>
    </row>
    <row r="2406" spans="1:7" ht="15.6" x14ac:dyDescent="0.3">
      <c r="A2406" s="16">
        <v>45625</v>
      </c>
      <c r="B2406" s="10" t="s">
        <v>7</v>
      </c>
      <c r="C2406" s="10" t="s">
        <v>8</v>
      </c>
      <c r="D2406" s="10" t="s">
        <v>15</v>
      </c>
      <c r="E2406" s="4">
        <v>4</v>
      </c>
      <c r="F2406" s="4">
        <v>3212</v>
      </c>
      <c r="G2406" s="9">
        <v>514.91999999999996</v>
      </c>
    </row>
    <row r="2407" spans="1:7" ht="15.6" x14ac:dyDescent="0.3">
      <c r="A2407" s="16">
        <v>45507</v>
      </c>
      <c r="B2407" s="10" t="s">
        <v>19</v>
      </c>
      <c r="C2407" s="10" t="s">
        <v>14</v>
      </c>
      <c r="D2407" s="10" t="s">
        <v>16</v>
      </c>
      <c r="E2407" s="4">
        <v>1</v>
      </c>
      <c r="F2407" s="4">
        <v>952</v>
      </c>
      <c r="G2407" s="9">
        <v>179.4</v>
      </c>
    </row>
    <row r="2408" spans="1:7" ht="15.6" x14ac:dyDescent="0.3">
      <c r="A2408" s="16">
        <v>44710</v>
      </c>
      <c r="B2408" s="10" t="s">
        <v>21</v>
      </c>
      <c r="C2408" s="10" t="s">
        <v>14</v>
      </c>
      <c r="D2408" s="10" t="s">
        <v>9</v>
      </c>
      <c r="E2408" s="4">
        <v>3</v>
      </c>
      <c r="F2408" s="4">
        <v>1674</v>
      </c>
      <c r="G2408" s="9">
        <v>106.24</v>
      </c>
    </row>
    <row r="2409" spans="1:7" ht="15.6" x14ac:dyDescent="0.3">
      <c r="A2409" s="16">
        <v>45335</v>
      </c>
      <c r="B2409" s="10" t="s">
        <v>19</v>
      </c>
      <c r="C2409" s="10" t="s">
        <v>14</v>
      </c>
      <c r="D2409" s="10" t="s">
        <v>12</v>
      </c>
      <c r="E2409" s="4">
        <v>5</v>
      </c>
      <c r="F2409" s="4">
        <v>4315</v>
      </c>
      <c r="G2409" s="9">
        <v>1019.91</v>
      </c>
    </row>
    <row r="2410" spans="1:7" ht="15.6" x14ac:dyDescent="0.3">
      <c r="A2410" s="16">
        <v>45275</v>
      </c>
      <c r="B2410" s="10" t="s">
        <v>10</v>
      </c>
      <c r="C2410" s="10" t="s">
        <v>11</v>
      </c>
      <c r="D2410" s="10" t="s">
        <v>9</v>
      </c>
      <c r="E2410" s="4">
        <v>7</v>
      </c>
      <c r="F2410" s="4">
        <v>1722</v>
      </c>
      <c r="G2410" s="9">
        <v>162.38999999999999</v>
      </c>
    </row>
    <row r="2411" spans="1:7" ht="15.6" x14ac:dyDescent="0.3">
      <c r="A2411" s="16">
        <v>44818</v>
      </c>
      <c r="B2411" s="10" t="s">
        <v>22</v>
      </c>
      <c r="C2411" s="10" t="s">
        <v>11</v>
      </c>
      <c r="D2411" s="10" t="s">
        <v>15</v>
      </c>
      <c r="E2411" s="4">
        <v>5</v>
      </c>
      <c r="F2411" s="4">
        <v>2895</v>
      </c>
      <c r="G2411" s="9">
        <v>334.35</v>
      </c>
    </row>
    <row r="2412" spans="1:7" ht="15.6" x14ac:dyDescent="0.3">
      <c r="A2412" s="16">
        <v>45135</v>
      </c>
      <c r="B2412" s="10" t="s">
        <v>13</v>
      </c>
      <c r="C2412" s="10" t="s">
        <v>14</v>
      </c>
      <c r="D2412" s="10" t="s">
        <v>9</v>
      </c>
      <c r="E2412" s="4">
        <v>2</v>
      </c>
      <c r="F2412" s="4">
        <v>1280</v>
      </c>
      <c r="G2412" s="9">
        <v>335.22</v>
      </c>
    </row>
    <row r="2413" spans="1:7" ht="15.6" x14ac:dyDescent="0.3">
      <c r="A2413" s="16">
        <v>44661</v>
      </c>
      <c r="B2413" s="10" t="s">
        <v>18</v>
      </c>
      <c r="C2413" s="10" t="s">
        <v>11</v>
      </c>
      <c r="D2413" s="10" t="s">
        <v>12</v>
      </c>
      <c r="E2413" s="4">
        <v>5</v>
      </c>
      <c r="F2413" s="4">
        <v>4295</v>
      </c>
      <c r="G2413" s="9">
        <v>414.42</v>
      </c>
    </row>
    <row r="2414" spans="1:7" ht="15.6" x14ac:dyDescent="0.3">
      <c r="A2414" s="16">
        <v>44780</v>
      </c>
      <c r="B2414" s="10" t="s">
        <v>7</v>
      </c>
      <c r="C2414" s="10" t="s">
        <v>8</v>
      </c>
      <c r="D2414" s="10" t="s">
        <v>15</v>
      </c>
      <c r="E2414" s="4">
        <v>6</v>
      </c>
      <c r="F2414" s="4">
        <v>4434</v>
      </c>
      <c r="G2414" s="9">
        <v>306.63</v>
      </c>
    </row>
    <row r="2415" spans="1:7" ht="15.6" x14ac:dyDescent="0.3">
      <c r="A2415" s="16">
        <v>44751</v>
      </c>
      <c r="B2415" s="10" t="s">
        <v>22</v>
      </c>
      <c r="C2415" s="10" t="s">
        <v>11</v>
      </c>
      <c r="D2415" s="10" t="s">
        <v>9</v>
      </c>
      <c r="E2415" s="4">
        <v>6</v>
      </c>
      <c r="F2415" s="4">
        <v>3816</v>
      </c>
      <c r="G2415" s="9">
        <v>623.78</v>
      </c>
    </row>
    <row r="2416" spans="1:7" ht="15.6" x14ac:dyDescent="0.3">
      <c r="A2416" s="16">
        <v>45391</v>
      </c>
      <c r="B2416" s="10" t="s">
        <v>18</v>
      </c>
      <c r="C2416" s="10" t="s">
        <v>11</v>
      </c>
      <c r="D2416" s="10" t="s">
        <v>12</v>
      </c>
      <c r="E2416" s="4">
        <v>7</v>
      </c>
      <c r="F2416" s="4">
        <v>6335</v>
      </c>
      <c r="G2416" s="9">
        <v>1137.08</v>
      </c>
    </row>
    <row r="2417" spans="1:7" ht="15.6" x14ac:dyDescent="0.3">
      <c r="A2417" s="16">
        <v>45607</v>
      </c>
      <c r="B2417" s="10" t="s">
        <v>10</v>
      </c>
      <c r="C2417" s="10" t="s">
        <v>11</v>
      </c>
      <c r="D2417" s="10" t="s">
        <v>16</v>
      </c>
      <c r="E2417" s="4">
        <v>3</v>
      </c>
      <c r="F2417" s="4">
        <v>315</v>
      </c>
      <c r="G2417" s="9">
        <v>78.41</v>
      </c>
    </row>
    <row r="2418" spans="1:7" ht="15.6" x14ac:dyDescent="0.3">
      <c r="A2418" s="16">
        <v>45623</v>
      </c>
      <c r="B2418" s="10" t="s">
        <v>17</v>
      </c>
      <c r="C2418" s="10" t="s">
        <v>14</v>
      </c>
      <c r="D2418" s="10" t="s">
        <v>12</v>
      </c>
      <c r="E2418" s="4">
        <v>2</v>
      </c>
      <c r="F2418" s="4">
        <v>626</v>
      </c>
      <c r="G2418" s="9">
        <v>168.82</v>
      </c>
    </row>
    <row r="2419" spans="1:7" ht="15.6" x14ac:dyDescent="0.3">
      <c r="A2419" s="16">
        <v>45435</v>
      </c>
      <c r="B2419" s="10" t="s">
        <v>19</v>
      </c>
      <c r="C2419" s="10" t="s">
        <v>14</v>
      </c>
      <c r="D2419" s="10" t="s">
        <v>15</v>
      </c>
      <c r="E2419" s="4">
        <v>1</v>
      </c>
      <c r="F2419" s="4">
        <v>1140</v>
      </c>
      <c r="G2419" s="9">
        <v>85.75</v>
      </c>
    </row>
    <row r="2420" spans="1:7" ht="15.6" x14ac:dyDescent="0.3">
      <c r="A2420" s="16">
        <v>44881</v>
      </c>
      <c r="B2420" s="10" t="s">
        <v>21</v>
      </c>
      <c r="C2420" s="10" t="s">
        <v>14</v>
      </c>
      <c r="D2420" s="10" t="s">
        <v>9</v>
      </c>
      <c r="E2420" s="4">
        <v>5</v>
      </c>
      <c r="F2420" s="4">
        <v>590</v>
      </c>
      <c r="G2420" s="9">
        <v>52.55</v>
      </c>
    </row>
    <row r="2421" spans="1:7" ht="15.6" x14ac:dyDescent="0.3">
      <c r="A2421" s="16">
        <v>44672</v>
      </c>
      <c r="B2421" s="10" t="s">
        <v>13</v>
      </c>
      <c r="C2421" s="10" t="s">
        <v>14</v>
      </c>
      <c r="D2421" s="10" t="s">
        <v>12</v>
      </c>
      <c r="E2421" s="4">
        <v>1</v>
      </c>
      <c r="F2421" s="4">
        <v>631</v>
      </c>
      <c r="G2421" s="9">
        <v>99.31</v>
      </c>
    </row>
    <row r="2422" spans="1:7" ht="15.6" x14ac:dyDescent="0.3">
      <c r="A2422" s="16">
        <v>45539</v>
      </c>
      <c r="B2422" s="10" t="s">
        <v>20</v>
      </c>
      <c r="C2422" s="10" t="s">
        <v>11</v>
      </c>
      <c r="D2422" s="10" t="s">
        <v>15</v>
      </c>
      <c r="E2422" s="4">
        <v>8</v>
      </c>
      <c r="F2422" s="4">
        <v>1944</v>
      </c>
      <c r="G2422" s="9">
        <v>134.94</v>
      </c>
    </row>
    <row r="2423" spans="1:7" ht="15.6" x14ac:dyDescent="0.3">
      <c r="A2423" s="16">
        <v>45375</v>
      </c>
      <c r="B2423" s="10" t="s">
        <v>21</v>
      </c>
      <c r="C2423" s="10" t="s">
        <v>14</v>
      </c>
      <c r="D2423" s="10" t="s">
        <v>9</v>
      </c>
      <c r="E2423" s="4">
        <v>6</v>
      </c>
      <c r="F2423" s="4">
        <v>5100</v>
      </c>
      <c r="G2423" s="9">
        <v>1461.79</v>
      </c>
    </row>
    <row r="2424" spans="1:7" ht="15.6" x14ac:dyDescent="0.3">
      <c r="A2424" s="16">
        <v>45559</v>
      </c>
      <c r="B2424" s="10" t="s">
        <v>22</v>
      </c>
      <c r="C2424" s="10" t="s">
        <v>11</v>
      </c>
      <c r="D2424" s="10" t="s">
        <v>15</v>
      </c>
      <c r="E2424" s="4">
        <v>6</v>
      </c>
      <c r="F2424" s="4">
        <v>1092</v>
      </c>
      <c r="G2424" s="9">
        <v>176.52</v>
      </c>
    </row>
    <row r="2425" spans="1:7" ht="15.6" x14ac:dyDescent="0.3">
      <c r="A2425" s="16">
        <v>45150</v>
      </c>
      <c r="B2425" s="10" t="s">
        <v>20</v>
      </c>
      <c r="C2425" s="10" t="s">
        <v>11</v>
      </c>
      <c r="D2425" s="10" t="s">
        <v>16</v>
      </c>
      <c r="E2425" s="4">
        <v>7</v>
      </c>
      <c r="F2425" s="4">
        <v>4662</v>
      </c>
      <c r="G2425" s="9">
        <v>1007.43</v>
      </c>
    </row>
    <row r="2426" spans="1:7" ht="15.6" x14ac:dyDescent="0.3">
      <c r="A2426" s="16">
        <v>44944</v>
      </c>
      <c r="B2426" s="10" t="s">
        <v>18</v>
      </c>
      <c r="C2426" s="10" t="s">
        <v>11</v>
      </c>
      <c r="D2426" s="10" t="s">
        <v>16</v>
      </c>
      <c r="E2426" s="4">
        <v>7</v>
      </c>
      <c r="F2426" s="4">
        <v>4312</v>
      </c>
      <c r="G2426" s="9">
        <v>1088.3399999999999</v>
      </c>
    </row>
    <row r="2427" spans="1:7" ht="15.6" x14ac:dyDescent="0.3">
      <c r="A2427" s="16">
        <v>44854</v>
      </c>
      <c r="B2427" s="10" t="s">
        <v>10</v>
      </c>
      <c r="C2427" s="10" t="s">
        <v>11</v>
      </c>
      <c r="D2427" s="10" t="s">
        <v>9</v>
      </c>
      <c r="E2427" s="4">
        <v>6</v>
      </c>
      <c r="F2427" s="4">
        <v>4056</v>
      </c>
      <c r="G2427" s="9">
        <v>815.1</v>
      </c>
    </row>
    <row r="2428" spans="1:7" ht="15.6" x14ac:dyDescent="0.3">
      <c r="A2428" s="16">
        <v>45253</v>
      </c>
      <c r="B2428" s="10" t="s">
        <v>18</v>
      </c>
      <c r="C2428" s="10" t="s">
        <v>11</v>
      </c>
      <c r="D2428" s="10" t="s">
        <v>9</v>
      </c>
      <c r="E2428" s="4">
        <v>3</v>
      </c>
      <c r="F2428" s="4">
        <v>534</v>
      </c>
      <c r="G2428" s="9">
        <v>120.53</v>
      </c>
    </row>
    <row r="2429" spans="1:7" ht="15.6" x14ac:dyDescent="0.3">
      <c r="A2429" s="16">
        <v>45077</v>
      </c>
      <c r="B2429" s="10" t="s">
        <v>7</v>
      </c>
      <c r="C2429" s="10" t="s">
        <v>8</v>
      </c>
      <c r="D2429" s="10" t="s">
        <v>15</v>
      </c>
      <c r="E2429" s="4">
        <v>5</v>
      </c>
      <c r="F2429" s="4">
        <v>3475</v>
      </c>
      <c r="G2429" s="9">
        <v>991.47</v>
      </c>
    </row>
    <row r="2430" spans="1:7" ht="15.6" x14ac:dyDescent="0.3">
      <c r="A2430" s="16">
        <v>45118</v>
      </c>
      <c r="B2430" s="10" t="s">
        <v>13</v>
      </c>
      <c r="C2430" s="10" t="s">
        <v>14</v>
      </c>
      <c r="D2430" s="10" t="s">
        <v>15</v>
      </c>
      <c r="E2430" s="4">
        <v>5</v>
      </c>
      <c r="F2430" s="4">
        <v>4880</v>
      </c>
      <c r="G2430" s="9">
        <v>829.03</v>
      </c>
    </row>
    <row r="2431" spans="1:7" ht="15.6" x14ac:dyDescent="0.3">
      <c r="A2431" s="16">
        <v>45590</v>
      </c>
      <c r="B2431" s="10" t="s">
        <v>13</v>
      </c>
      <c r="C2431" s="10" t="s">
        <v>14</v>
      </c>
      <c r="D2431" s="10" t="s">
        <v>16</v>
      </c>
      <c r="E2431" s="4">
        <v>8</v>
      </c>
      <c r="F2431" s="4">
        <v>8336</v>
      </c>
      <c r="G2431" s="9">
        <v>782.8</v>
      </c>
    </row>
    <row r="2432" spans="1:7" ht="15.6" x14ac:dyDescent="0.3">
      <c r="A2432" s="16">
        <v>45054</v>
      </c>
      <c r="B2432" s="10" t="s">
        <v>10</v>
      </c>
      <c r="C2432" s="10" t="s">
        <v>11</v>
      </c>
      <c r="D2432" s="10" t="s">
        <v>9</v>
      </c>
      <c r="E2432" s="4">
        <v>8</v>
      </c>
      <c r="F2432" s="4">
        <v>9232</v>
      </c>
      <c r="G2432" s="9">
        <v>490.66</v>
      </c>
    </row>
    <row r="2433" spans="1:7" ht="15.6" x14ac:dyDescent="0.3">
      <c r="A2433" s="16">
        <v>44568</v>
      </c>
      <c r="B2433" s="10" t="s">
        <v>21</v>
      </c>
      <c r="C2433" s="10" t="s">
        <v>14</v>
      </c>
      <c r="D2433" s="10" t="s">
        <v>15</v>
      </c>
      <c r="E2433" s="4">
        <v>3</v>
      </c>
      <c r="F2433" s="4">
        <v>2031</v>
      </c>
      <c r="G2433" s="9">
        <v>466.25</v>
      </c>
    </row>
    <row r="2434" spans="1:7" ht="15.6" x14ac:dyDescent="0.3">
      <c r="A2434" s="16">
        <v>44571</v>
      </c>
      <c r="B2434" s="10" t="s">
        <v>19</v>
      </c>
      <c r="C2434" s="10" t="s">
        <v>14</v>
      </c>
      <c r="D2434" s="10" t="s">
        <v>9</v>
      </c>
      <c r="E2434" s="4">
        <v>3</v>
      </c>
      <c r="F2434" s="4">
        <v>2412</v>
      </c>
      <c r="G2434" s="9">
        <v>640.35</v>
      </c>
    </row>
    <row r="2435" spans="1:7" ht="15.6" x14ac:dyDescent="0.3">
      <c r="A2435" s="16">
        <v>45263</v>
      </c>
      <c r="B2435" s="10" t="s">
        <v>21</v>
      </c>
      <c r="C2435" s="10" t="s">
        <v>14</v>
      </c>
      <c r="D2435" s="10" t="s">
        <v>12</v>
      </c>
      <c r="E2435" s="4">
        <v>1</v>
      </c>
      <c r="F2435" s="4">
        <v>1039</v>
      </c>
      <c r="G2435" s="9">
        <v>137.24</v>
      </c>
    </row>
    <row r="2436" spans="1:7" ht="15.6" x14ac:dyDescent="0.3">
      <c r="A2436" s="16">
        <v>44929</v>
      </c>
      <c r="B2436" s="10" t="s">
        <v>17</v>
      </c>
      <c r="C2436" s="10" t="s">
        <v>14</v>
      </c>
      <c r="D2436" s="10" t="s">
        <v>16</v>
      </c>
      <c r="E2436" s="4">
        <v>6</v>
      </c>
      <c r="F2436" s="4">
        <v>696</v>
      </c>
      <c r="G2436" s="9">
        <v>100.78</v>
      </c>
    </row>
    <row r="2437" spans="1:7" ht="15.6" x14ac:dyDescent="0.3">
      <c r="A2437" s="16">
        <v>45469</v>
      </c>
      <c r="B2437" s="10" t="s">
        <v>23</v>
      </c>
      <c r="C2437" s="10" t="s">
        <v>14</v>
      </c>
      <c r="D2437" s="10" t="s">
        <v>9</v>
      </c>
      <c r="E2437" s="4">
        <v>8</v>
      </c>
      <c r="F2437" s="4">
        <v>6160</v>
      </c>
      <c r="G2437" s="9">
        <v>1617.32</v>
      </c>
    </row>
    <row r="2438" spans="1:7" ht="15.6" x14ac:dyDescent="0.3">
      <c r="A2438" s="16">
        <v>44910</v>
      </c>
      <c r="B2438" s="10" t="s">
        <v>17</v>
      </c>
      <c r="C2438" s="10" t="s">
        <v>14</v>
      </c>
      <c r="D2438" s="10" t="s">
        <v>12</v>
      </c>
      <c r="E2438" s="4">
        <v>3</v>
      </c>
      <c r="F2438" s="4">
        <v>447</v>
      </c>
      <c r="G2438" s="9">
        <v>58.4</v>
      </c>
    </row>
    <row r="2439" spans="1:7" ht="15.6" x14ac:dyDescent="0.3">
      <c r="A2439" s="16">
        <v>45045</v>
      </c>
      <c r="B2439" s="10" t="s">
        <v>22</v>
      </c>
      <c r="C2439" s="10" t="s">
        <v>11</v>
      </c>
      <c r="D2439" s="10" t="s">
        <v>16</v>
      </c>
      <c r="E2439" s="4">
        <v>6</v>
      </c>
      <c r="F2439" s="4">
        <v>6102</v>
      </c>
      <c r="G2439" s="9">
        <v>364.82</v>
      </c>
    </row>
    <row r="2440" spans="1:7" ht="15.6" x14ac:dyDescent="0.3">
      <c r="A2440" s="16">
        <v>45385</v>
      </c>
      <c r="B2440" s="10" t="s">
        <v>17</v>
      </c>
      <c r="C2440" s="10" t="s">
        <v>14</v>
      </c>
      <c r="D2440" s="10" t="s">
        <v>15</v>
      </c>
      <c r="E2440" s="4">
        <v>9</v>
      </c>
      <c r="F2440" s="4">
        <v>5085</v>
      </c>
      <c r="G2440" s="9">
        <v>1372.83</v>
      </c>
    </row>
    <row r="2441" spans="1:7" ht="15.6" x14ac:dyDescent="0.3">
      <c r="A2441" s="16">
        <v>45520</v>
      </c>
      <c r="B2441" s="10" t="s">
        <v>23</v>
      </c>
      <c r="C2441" s="10" t="s">
        <v>14</v>
      </c>
      <c r="D2441" s="10" t="s">
        <v>9</v>
      </c>
      <c r="E2441" s="4">
        <v>7</v>
      </c>
      <c r="F2441" s="4">
        <v>3038</v>
      </c>
      <c r="G2441" s="9">
        <v>158.82</v>
      </c>
    </row>
    <row r="2442" spans="1:7" ht="15.6" x14ac:dyDescent="0.3">
      <c r="A2442" s="16">
        <v>45362</v>
      </c>
      <c r="B2442" s="10" t="s">
        <v>18</v>
      </c>
      <c r="C2442" s="10" t="s">
        <v>11</v>
      </c>
      <c r="D2442" s="10" t="s">
        <v>16</v>
      </c>
      <c r="E2442" s="4">
        <v>1</v>
      </c>
      <c r="F2442" s="4">
        <v>882</v>
      </c>
      <c r="G2442" s="9">
        <v>215.24</v>
      </c>
    </row>
    <row r="2443" spans="1:7" ht="15.6" x14ac:dyDescent="0.3">
      <c r="A2443" s="16">
        <v>45000</v>
      </c>
      <c r="B2443" s="10" t="s">
        <v>20</v>
      </c>
      <c r="C2443" s="10" t="s">
        <v>11</v>
      </c>
      <c r="D2443" s="10" t="s">
        <v>16</v>
      </c>
      <c r="E2443" s="4">
        <v>6</v>
      </c>
      <c r="F2443" s="4">
        <v>2490</v>
      </c>
      <c r="G2443" s="9">
        <v>720.06</v>
      </c>
    </row>
    <row r="2444" spans="1:7" ht="15.6" x14ac:dyDescent="0.3">
      <c r="A2444" s="16">
        <v>45509</v>
      </c>
      <c r="B2444" s="10" t="s">
        <v>17</v>
      </c>
      <c r="C2444" s="10" t="s">
        <v>14</v>
      </c>
      <c r="D2444" s="10" t="s">
        <v>9</v>
      </c>
      <c r="E2444" s="4">
        <v>1</v>
      </c>
      <c r="F2444" s="4">
        <v>635</v>
      </c>
      <c r="G2444" s="9">
        <v>101.09</v>
      </c>
    </row>
    <row r="2445" spans="1:7" ht="15.6" x14ac:dyDescent="0.3">
      <c r="A2445" s="16">
        <v>45478</v>
      </c>
      <c r="B2445" s="10" t="s">
        <v>23</v>
      </c>
      <c r="C2445" s="10" t="s">
        <v>14</v>
      </c>
      <c r="D2445" s="10" t="s">
        <v>12</v>
      </c>
      <c r="E2445" s="4">
        <v>1</v>
      </c>
      <c r="F2445" s="4">
        <v>1083</v>
      </c>
      <c r="G2445" s="9">
        <v>152.5</v>
      </c>
    </row>
    <row r="2446" spans="1:7" ht="15.6" x14ac:dyDescent="0.3">
      <c r="A2446" s="16">
        <v>45148</v>
      </c>
      <c r="B2446" s="10" t="s">
        <v>22</v>
      </c>
      <c r="C2446" s="10" t="s">
        <v>11</v>
      </c>
      <c r="D2446" s="10" t="s">
        <v>16</v>
      </c>
      <c r="E2446" s="4">
        <v>6</v>
      </c>
      <c r="F2446" s="4">
        <v>720</v>
      </c>
      <c r="G2446" s="9">
        <v>144.26</v>
      </c>
    </row>
    <row r="2447" spans="1:7" ht="15.6" x14ac:dyDescent="0.3">
      <c r="A2447" s="16">
        <v>44821</v>
      </c>
      <c r="B2447" s="10" t="s">
        <v>7</v>
      </c>
      <c r="C2447" s="10" t="s">
        <v>8</v>
      </c>
      <c r="D2447" s="10" t="s">
        <v>16</v>
      </c>
      <c r="E2447" s="4">
        <v>3</v>
      </c>
      <c r="F2447" s="4">
        <v>3111</v>
      </c>
      <c r="G2447" s="9">
        <v>382.52</v>
      </c>
    </row>
    <row r="2448" spans="1:7" ht="15.6" x14ac:dyDescent="0.3">
      <c r="A2448" s="16">
        <v>44660</v>
      </c>
      <c r="B2448" s="10" t="s">
        <v>19</v>
      </c>
      <c r="C2448" s="10" t="s">
        <v>14</v>
      </c>
      <c r="D2448" s="10" t="s">
        <v>9</v>
      </c>
      <c r="E2448" s="4">
        <v>6</v>
      </c>
      <c r="F2448" s="4">
        <v>1242</v>
      </c>
      <c r="G2448" s="9">
        <v>87.37</v>
      </c>
    </row>
    <row r="2449" spans="1:7" ht="15.6" x14ac:dyDescent="0.3">
      <c r="A2449" s="16">
        <v>45140</v>
      </c>
      <c r="B2449" s="10" t="s">
        <v>19</v>
      </c>
      <c r="C2449" s="10" t="s">
        <v>14</v>
      </c>
      <c r="D2449" s="10" t="s">
        <v>16</v>
      </c>
      <c r="E2449" s="4">
        <v>5</v>
      </c>
      <c r="F2449" s="4">
        <v>5845</v>
      </c>
      <c r="G2449" s="9">
        <v>978.75</v>
      </c>
    </row>
    <row r="2450" spans="1:7" ht="15.6" x14ac:dyDescent="0.3">
      <c r="A2450" s="16">
        <v>45014</v>
      </c>
      <c r="B2450" s="10" t="s">
        <v>19</v>
      </c>
      <c r="C2450" s="10" t="s">
        <v>14</v>
      </c>
      <c r="D2450" s="10" t="s">
        <v>16</v>
      </c>
      <c r="E2450" s="4">
        <v>1</v>
      </c>
      <c r="F2450" s="4">
        <v>835</v>
      </c>
      <c r="G2450" s="9">
        <v>131.69999999999999</v>
      </c>
    </row>
    <row r="2451" spans="1:7" ht="15.6" x14ac:dyDescent="0.3">
      <c r="A2451" s="16">
        <v>44697</v>
      </c>
      <c r="B2451" s="10" t="s">
        <v>20</v>
      </c>
      <c r="C2451" s="10" t="s">
        <v>11</v>
      </c>
      <c r="D2451" s="10" t="s">
        <v>15</v>
      </c>
      <c r="E2451" s="4">
        <v>2</v>
      </c>
      <c r="F2451" s="4">
        <v>2314</v>
      </c>
      <c r="G2451" s="9">
        <v>305.42</v>
      </c>
    </row>
    <row r="2452" spans="1:7" ht="15.6" x14ac:dyDescent="0.3">
      <c r="A2452" s="16">
        <v>44961</v>
      </c>
      <c r="B2452" s="10" t="s">
        <v>19</v>
      </c>
      <c r="C2452" s="10" t="s">
        <v>14</v>
      </c>
      <c r="D2452" s="10" t="s">
        <v>12</v>
      </c>
      <c r="E2452" s="4">
        <v>7</v>
      </c>
      <c r="F2452" s="4">
        <v>6041</v>
      </c>
      <c r="G2452" s="9">
        <v>776.09</v>
      </c>
    </row>
    <row r="2453" spans="1:7" ht="15.6" x14ac:dyDescent="0.3">
      <c r="A2453" s="16">
        <v>44643</v>
      </c>
      <c r="B2453" s="10" t="s">
        <v>10</v>
      </c>
      <c r="C2453" s="10" t="s">
        <v>11</v>
      </c>
      <c r="D2453" s="10" t="s">
        <v>9</v>
      </c>
      <c r="E2453" s="4">
        <v>3</v>
      </c>
      <c r="F2453" s="4">
        <v>369</v>
      </c>
      <c r="G2453" s="9">
        <v>19.22</v>
      </c>
    </row>
    <row r="2454" spans="1:7" ht="15.6" x14ac:dyDescent="0.3">
      <c r="A2454" s="16">
        <v>44785</v>
      </c>
      <c r="B2454" s="10" t="s">
        <v>13</v>
      </c>
      <c r="C2454" s="10" t="s">
        <v>14</v>
      </c>
      <c r="D2454" s="10" t="s">
        <v>16</v>
      </c>
      <c r="E2454" s="4">
        <v>5</v>
      </c>
      <c r="F2454" s="4">
        <v>1635</v>
      </c>
      <c r="G2454" s="9">
        <v>321.83999999999997</v>
      </c>
    </row>
    <row r="2455" spans="1:7" ht="15.6" x14ac:dyDescent="0.3">
      <c r="A2455" s="16">
        <v>44658</v>
      </c>
      <c r="B2455" s="10" t="s">
        <v>22</v>
      </c>
      <c r="C2455" s="10" t="s">
        <v>11</v>
      </c>
      <c r="D2455" s="10" t="s">
        <v>16</v>
      </c>
      <c r="E2455" s="4">
        <v>3</v>
      </c>
      <c r="F2455" s="4">
        <v>2067</v>
      </c>
      <c r="G2455" s="9">
        <v>465.39</v>
      </c>
    </row>
    <row r="2456" spans="1:7" ht="15.6" x14ac:dyDescent="0.3">
      <c r="A2456" s="16">
        <v>44624</v>
      </c>
      <c r="B2456" s="10" t="s">
        <v>21</v>
      </c>
      <c r="C2456" s="10" t="s">
        <v>14</v>
      </c>
      <c r="D2456" s="10" t="s">
        <v>16</v>
      </c>
      <c r="E2456" s="4">
        <v>6</v>
      </c>
      <c r="F2456" s="4">
        <v>7128</v>
      </c>
      <c r="G2456" s="9">
        <v>544.54</v>
      </c>
    </row>
    <row r="2457" spans="1:7" ht="15.6" x14ac:dyDescent="0.3">
      <c r="A2457" s="16">
        <v>45406</v>
      </c>
      <c r="B2457" s="10" t="s">
        <v>7</v>
      </c>
      <c r="C2457" s="10" t="s">
        <v>8</v>
      </c>
      <c r="D2457" s="10" t="s">
        <v>9</v>
      </c>
      <c r="E2457" s="4">
        <v>2</v>
      </c>
      <c r="F2457" s="4">
        <v>944</v>
      </c>
      <c r="G2457" s="9">
        <v>94.4</v>
      </c>
    </row>
    <row r="2458" spans="1:7" ht="15.6" x14ac:dyDescent="0.3">
      <c r="A2458" s="16">
        <v>44722</v>
      </c>
      <c r="B2458" s="10" t="s">
        <v>13</v>
      </c>
      <c r="C2458" s="10" t="s">
        <v>14</v>
      </c>
      <c r="D2458" s="10" t="s">
        <v>12</v>
      </c>
      <c r="E2458" s="4">
        <v>5</v>
      </c>
      <c r="F2458" s="4">
        <v>5160</v>
      </c>
      <c r="G2458" s="9">
        <v>698.15</v>
      </c>
    </row>
    <row r="2459" spans="1:7" ht="15.6" x14ac:dyDescent="0.3">
      <c r="A2459" s="16">
        <v>44730</v>
      </c>
      <c r="B2459" s="10" t="s">
        <v>21</v>
      </c>
      <c r="C2459" s="10" t="s">
        <v>14</v>
      </c>
      <c r="D2459" s="10" t="s">
        <v>16</v>
      </c>
      <c r="E2459" s="4">
        <v>8</v>
      </c>
      <c r="F2459" s="4">
        <v>8032</v>
      </c>
      <c r="G2459" s="9">
        <v>1987.82</v>
      </c>
    </row>
    <row r="2460" spans="1:7" ht="15.6" x14ac:dyDescent="0.3">
      <c r="A2460" s="16">
        <v>45642</v>
      </c>
      <c r="B2460" s="10" t="s">
        <v>17</v>
      </c>
      <c r="C2460" s="10" t="s">
        <v>14</v>
      </c>
      <c r="D2460" s="10" t="s">
        <v>15</v>
      </c>
      <c r="E2460" s="4">
        <v>2</v>
      </c>
      <c r="F2460" s="4">
        <v>376</v>
      </c>
      <c r="G2460" s="9">
        <v>99.16</v>
      </c>
    </row>
    <row r="2461" spans="1:7" ht="15.6" x14ac:dyDescent="0.3">
      <c r="A2461" s="16">
        <v>45465</v>
      </c>
      <c r="B2461" s="10" t="s">
        <v>21</v>
      </c>
      <c r="C2461" s="10" t="s">
        <v>14</v>
      </c>
      <c r="D2461" s="10" t="s">
        <v>15</v>
      </c>
      <c r="E2461" s="4">
        <v>7</v>
      </c>
      <c r="F2461" s="4">
        <v>4144</v>
      </c>
      <c r="G2461" s="9">
        <v>426.39</v>
      </c>
    </row>
    <row r="2462" spans="1:7" ht="15.6" x14ac:dyDescent="0.3">
      <c r="A2462" s="16">
        <v>45600</v>
      </c>
      <c r="B2462" s="10" t="s">
        <v>17</v>
      </c>
      <c r="C2462" s="10" t="s">
        <v>14</v>
      </c>
      <c r="D2462" s="10" t="s">
        <v>15</v>
      </c>
      <c r="E2462" s="4">
        <v>4</v>
      </c>
      <c r="F2462" s="4">
        <v>2228</v>
      </c>
      <c r="G2462" s="9">
        <v>293.25</v>
      </c>
    </row>
    <row r="2463" spans="1:7" ht="15.6" x14ac:dyDescent="0.3">
      <c r="A2463" s="16">
        <v>44880</v>
      </c>
      <c r="B2463" s="10" t="s">
        <v>13</v>
      </c>
      <c r="C2463" s="10" t="s">
        <v>14</v>
      </c>
      <c r="D2463" s="10" t="s">
        <v>16</v>
      </c>
      <c r="E2463" s="4">
        <v>1</v>
      </c>
      <c r="F2463" s="4">
        <v>1178</v>
      </c>
      <c r="G2463" s="9">
        <v>182.76</v>
      </c>
    </row>
    <row r="2464" spans="1:7" ht="15.6" x14ac:dyDescent="0.3">
      <c r="A2464" s="16">
        <v>45409</v>
      </c>
      <c r="B2464" s="10" t="s">
        <v>10</v>
      </c>
      <c r="C2464" s="10" t="s">
        <v>11</v>
      </c>
      <c r="D2464" s="10" t="s">
        <v>9</v>
      </c>
      <c r="E2464" s="4">
        <v>5</v>
      </c>
      <c r="F2464" s="4">
        <v>2505</v>
      </c>
      <c r="G2464" s="9">
        <v>303.61</v>
      </c>
    </row>
    <row r="2465" spans="1:7" ht="15.6" x14ac:dyDescent="0.3">
      <c r="A2465" s="16">
        <v>45350</v>
      </c>
      <c r="B2465" s="10" t="s">
        <v>19</v>
      </c>
      <c r="C2465" s="10" t="s">
        <v>14</v>
      </c>
      <c r="D2465" s="10" t="s">
        <v>16</v>
      </c>
      <c r="E2465" s="4">
        <v>4</v>
      </c>
      <c r="F2465" s="4">
        <v>1872</v>
      </c>
      <c r="G2465" s="9">
        <v>418.05</v>
      </c>
    </row>
    <row r="2466" spans="1:7" ht="15.6" x14ac:dyDescent="0.3">
      <c r="A2466" s="16">
        <v>45289</v>
      </c>
      <c r="B2466" s="10" t="s">
        <v>7</v>
      </c>
      <c r="C2466" s="10" t="s">
        <v>8</v>
      </c>
      <c r="D2466" s="10" t="s">
        <v>16</v>
      </c>
      <c r="E2466" s="4">
        <v>2</v>
      </c>
      <c r="F2466" s="4">
        <v>340</v>
      </c>
      <c r="G2466" s="9">
        <v>59.56</v>
      </c>
    </row>
    <row r="2467" spans="1:7" ht="15.6" x14ac:dyDescent="0.3">
      <c r="A2467" s="16">
        <v>44993</v>
      </c>
      <c r="B2467" s="10" t="s">
        <v>23</v>
      </c>
      <c r="C2467" s="10" t="s">
        <v>14</v>
      </c>
      <c r="D2467" s="10" t="s">
        <v>16</v>
      </c>
      <c r="E2467" s="4">
        <v>1</v>
      </c>
      <c r="F2467" s="4">
        <v>589</v>
      </c>
      <c r="G2467" s="9">
        <v>158.85</v>
      </c>
    </row>
    <row r="2468" spans="1:7" ht="15.6" x14ac:dyDescent="0.3">
      <c r="A2468" s="16">
        <v>45272</v>
      </c>
      <c r="B2468" s="10" t="s">
        <v>23</v>
      </c>
      <c r="C2468" s="10" t="s">
        <v>14</v>
      </c>
      <c r="D2468" s="10" t="s">
        <v>16</v>
      </c>
      <c r="E2468" s="4">
        <v>3</v>
      </c>
      <c r="F2468" s="4">
        <v>2598</v>
      </c>
      <c r="G2468" s="9">
        <v>560.82000000000005</v>
      </c>
    </row>
    <row r="2469" spans="1:7" ht="15.6" x14ac:dyDescent="0.3">
      <c r="A2469" s="16">
        <v>44609</v>
      </c>
      <c r="B2469" s="10" t="s">
        <v>13</v>
      </c>
      <c r="C2469" s="10" t="s">
        <v>14</v>
      </c>
      <c r="D2469" s="10" t="s">
        <v>9</v>
      </c>
      <c r="E2469" s="4">
        <v>1</v>
      </c>
      <c r="F2469" s="4">
        <v>502</v>
      </c>
      <c r="G2469" s="9">
        <v>92.31</v>
      </c>
    </row>
    <row r="2470" spans="1:7" ht="15.6" x14ac:dyDescent="0.3">
      <c r="A2470" s="16">
        <v>45315</v>
      </c>
      <c r="B2470" s="10" t="s">
        <v>23</v>
      </c>
      <c r="C2470" s="10" t="s">
        <v>14</v>
      </c>
      <c r="D2470" s="10" t="s">
        <v>15</v>
      </c>
      <c r="E2470" s="4">
        <v>3</v>
      </c>
      <c r="F2470" s="4">
        <v>3576</v>
      </c>
      <c r="G2470" s="9">
        <v>546.44000000000005</v>
      </c>
    </row>
    <row r="2471" spans="1:7" ht="15.6" x14ac:dyDescent="0.3">
      <c r="A2471" s="16">
        <v>44964</v>
      </c>
      <c r="B2471" s="10" t="s">
        <v>22</v>
      </c>
      <c r="C2471" s="10" t="s">
        <v>11</v>
      </c>
      <c r="D2471" s="10" t="s">
        <v>12</v>
      </c>
      <c r="E2471" s="4">
        <v>3</v>
      </c>
      <c r="F2471" s="4">
        <v>2412</v>
      </c>
      <c r="G2471" s="9">
        <v>468.27</v>
      </c>
    </row>
    <row r="2472" spans="1:7" ht="15.6" x14ac:dyDescent="0.3">
      <c r="A2472" s="16">
        <v>45504</v>
      </c>
      <c r="B2472" s="10" t="s">
        <v>7</v>
      </c>
      <c r="C2472" s="10" t="s">
        <v>8</v>
      </c>
      <c r="D2472" s="10" t="s">
        <v>16</v>
      </c>
      <c r="E2472" s="4">
        <v>5</v>
      </c>
      <c r="F2472" s="4">
        <v>1145</v>
      </c>
      <c r="G2472" s="9">
        <v>244.72</v>
      </c>
    </row>
    <row r="2473" spans="1:7" ht="15.6" x14ac:dyDescent="0.3">
      <c r="A2473" s="16">
        <v>44595</v>
      </c>
      <c r="B2473" s="10" t="s">
        <v>22</v>
      </c>
      <c r="C2473" s="10" t="s">
        <v>11</v>
      </c>
      <c r="D2473" s="10" t="s">
        <v>16</v>
      </c>
      <c r="E2473" s="4">
        <v>2</v>
      </c>
      <c r="F2473" s="4">
        <v>2116</v>
      </c>
      <c r="G2473" s="9">
        <v>159.30000000000001</v>
      </c>
    </row>
    <row r="2474" spans="1:7" ht="15.6" x14ac:dyDescent="0.3">
      <c r="A2474" s="16">
        <v>45642</v>
      </c>
      <c r="B2474" s="10" t="s">
        <v>23</v>
      </c>
      <c r="C2474" s="10" t="s">
        <v>14</v>
      </c>
      <c r="D2474" s="10" t="s">
        <v>9</v>
      </c>
      <c r="E2474" s="4">
        <v>1</v>
      </c>
      <c r="F2474" s="4">
        <v>707</v>
      </c>
      <c r="G2474" s="9">
        <v>100.16</v>
      </c>
    </row>
    <row r="2475" spans="1:7" ht="15.6" x14ac:dyDescent="0.3">
      <c r="A2475" s="16">
        <v>44876</v>
      </c>
      <c r="B2475" s="10" t="s">
        <v>10</v>
      </c>
      <c r="C2475" s="10" t="s">
        <v>11</v>
      </c>
      <c r="D2475" s="10" t="s">
        <v>15</v>
      </c>
      <c r="E2475" s="4">
        <v>9</v>
      </c>
      <c r="F2475" s="4">
        <v>657</v>
      </c>
      <c r="G2475" s="9">
        <v>109.39</v>
      </c>
    </row>
    <row r="2476" spans="1:7" ht="15.6" x14ac:dyDescent="0.3">
      <c r="A2476" s="16">
        <v>45579</v>
      </c>
      <c r="B2476" s="10" t="s">
        <v>23</v>
      </c>
      <c r="C2476" s="10" t="s">
        <v>14</v>
      </c>
      <c r="D2476" s="10" t="s">
        <v>15</v>
      </c>
      <c r="E2476" s="4">
        <v>5</v>
      </c>
      <c r="F2476" s="4">
        <v>5345</v>
      </c>
      <c r="G2476" s="9">
        <v>1060.46</v>
      </c>
    </row>
    <row r="2477" spans="1:7" ht="15.6" x14ac:dyDescent="0.3">
      <c r="A2477" s="16">
        <v>45318</v>
      </c>
      <c r="B2477" s="10" t="s">
        <v>13</v>
      </c>
      <c r="C2477" s="10" t="s">
        <v>14</v>
      </c>
      <c r="D2477" s="10" t="s">
        <v>15</v>
      </c>
      <c r="E2477" s="4">
        <v>8</v>
      </c>
      <c r="F2477" s="4">
        <v>4032</v>
      </c>
      <c r="G2477" s="9">
        <v>251.05</v>
      </c>
    </row>
    <row r="2478" spans="1:7" ht="15.6" x14ac:dyDescent="0.3">
      <c r="A2478" s="16">
        <v>44803</v>
      </c>
      <c r="B2478" s="10" t="s">
        <v>17</v>
      </c>
      <c r="C2478" s="10" t="s">
        <v>14</v>
      </c>
      <c r="D2478" s="10" t="s">
        <v>15</v>
      </c>
      <c r="E2478" s="4">
        <v>4</v>
      </c>
      <c r="F2478" s="4">
        <v>3840</v>
      </c>
      <c r="G2478" s="9">
        <v>552.57000000000005</v>
      </c>
    </row>
    <row r="2479" spans="1:7" ht="15.6" x14ac:dyDescent="0.3">
      <c r="A2479" s="16">
        <v>44949</v>
      </c>
      <c r="B2479" s="10" t="s">
        <v>20</v>
      </c>
      <c r="C2479" s="10" t="s">
        <v>11</v>
      </c>
      <c r="D2479" s="10" t="s">
        <v>12</v>
      </c>
      <c r="E2479" s="4">
        <v>5</v>
      </c>
      <c r="F2479" s="4">
        <v>575</v>
      </c>
      <c r="G2479" s="9">
        <v>47.35</v>
      </c>
    </row>
    <row r="2480" spans="1:7" ht="15.6" x14ac:dyDescent="0.3">
      <c r="A2480" s="16">
        <v>44928</v>
      </c>
      <c r="B2480" s="10" t="s">
        <v>23</v>
      </c>
      <c r="C2480" s="10" t="s">
        <v>14</v>
      </c>
      <c r="D2480" s="10" t="s">
        <v>16</v>
      </c>
      <c r="E2480" s="4">
        <v>9</v>
      </c>
      <c r="F2480" s="4">
        <v>9315</v>
      </c>
      <c r="G2480" s="9">
        <v>1808.68</v>
      </c>
    </row>
    <row r="2481" spans="1:7" ht="15.6" x14ac:dyDescent="0.3">
      <c r="A2481" s="16">
        <v>45621</v>
      </c>
      <c r="B2481" s="10" t="s">
        <v>10</v>
      </c>
      <c r="C2481" s="10" t="s">
        <v>11</v>
      </c>
      <c r="D2481" s="10" t="s">
        <v>12</v>
      </c>
      <c r="E2481" s="4">
        <v>7</v>
      </c>
      <c r="F2481" s="4">
        <v>3423</v>
      </c>
      <c r="G2481" s="9">
        <v>435.06</v>
      </c>
    </row>
    <row r="2482" spans="1:7" ht="15.6" x14ac:dyDescent="0.3">
      <c r="A2482" s="16">
        <v>45237</v>
      </c>
      <c r="B2482" s="10" t="s">
        <v>20</v>
      </c>
      <c r="C2482" s="10" t="s">
        <v>11</v>
      </c>
      <c r="D2482" s="10" t="s">
        <v>15</v>
      </c>
      <c r="E2482" s="4">
        <v>6</v>
      </c>
      <c r="F2482" s="4">
        <v>3942</v>
      </c>
      <c r="G2482" s="9">
        <v>748.74</v>
      </c>
    </row>
    <row r="2483" spans="1:7" ht="15.6" x14ac:dyDescent="0.3">
      <c r="A2483" s="16">
        <v>45488</v>
      </c>
      <c r="B2483" s="10" t="s">
        <v>23</v>
      </c>
      <c r="C2483" s="10" t="s">
        <v>14</v>
      </c>
      <c r="D2483" s="10" t="s">
        <v>15</v>
      </c>
      <c r="E2483" s="4">
        <v>2</v>
      </c>
      <c r="F2483" s="4">
        <v>574</v>
      </c>
      <c r="G2483" s="9">
        <v>70.16</v>
      </c>
    </row>
    <row r="2484" spans="1:7" ht="15.6" x14ac:dyDescent="0.3">
      <c r="A2484" s="16">
        <v>45447</v>
      </c>
      <c r="B2484" s="10" t="s">
        <v>18</v>
      </c>
      <c r="C2484" s="10" t="s">
        <v>11</v>
      </c>
      <c r="D2484" s="10" t="s">
        <v>9</v>
      </c>
      <c r="E2484" s="4">
        <v>6</v>
      </c>
      <c r="F2484" s="4">
        <v>3024</v>
      </c>
      <c r="G2484" s="9">
        <v>336.28</v>
      </c>
    </row>
    <row r="2485" spans="1:7" ht="15.6" x14ac:dyDescent="0.3">
      <c r="A2485" s="16">
        <v>44622</v>
      </c>
      <c r="B2485" s="10" t="s">
        <v>18</v>
      </c>
      <c r="C2485" s="10" t="s">
        <v>11</v>
      </c>
      <c r="D2485" s="10" t="s">
        <v>9</v>
      </c>
      <c r="E2485" s="4">
        <v>7</v>
      </c>
      <c r="F2485" s="4">
        <v>952</v>
      </c>
      <c r="G2485" s="9">
        <v>215.51</v>
      </c>
    </row>
    <row r="2486" spans="1:7" ht="15.6" x14ac:dyDescent="0.3">
      <c r="A2486" s="16">
        <v>45255</v>
      </c>
      <c r="B2486" s="10" t="s">
        <v>21</v>
      </c>
      <c r="C2486" s="10" t="s">
        <v>14</v>
      </c>
      <c r="D2486" s="10" t="s">
        <v>16</v>
      </c>
      <c r="E2486" s="4">
        <v>9</v>
      </c>
      <c r="F2486" s="4">
        <v>9090</v>
      </c>
      <c r="G2486" s="9">
        <v>937.69</v>
      </c>
    </row>
    <row r="2487" spans="1:7" ht="15.6" x14ac:dyDescent="0.3">
      <c r="A2487" s="16">
        <v>44691</v>
      </c>
      <c r="B2487" s="10" t="s">
        <v>13</v>
      </c>
      <c r="C2487" s="10" t="s">
        <v>14</v>
      </c>
      <c r="D2487" s="10" t="s">
        <v>16</v>
      </c>
      <c r="E2487" s="4">
        <v>2</v>
      </c>
      <c r="F2487" s="4">
        <v>1166</v>
      </c>
      <c r="G2487" s="9">
        <v>170.11</v>
      </c>
    </row>
    <row r="2488" spans="1:7" ht="15.6" x14ac:dyDescent="0.3">
      <c r="A2488" s="16">
        <v>45300</v>
      </c>
      <c r="B2488" s="10" t="s">
        <v>22</v>
      </c>
      <c r="C2488" s="10" t="s">
        <v>11</v>
      </c>
      <c r="D2488" s="10" t="s">
        <v>15</v>
      </c>
      <c r="E2488" s="4">
        <v>3</v>
      </c>
      <c r="F2488" s="4">
        <v>2925</v>
      </c>
      <c r="G2488" s="9">
        <v>433.95</v>
      </c>
    </row>
    <row r="2489" spans="1:7" ht="15.6" x14ac:dyDescent="0.3">
      <c r="A2489" s="16">
        <v>45285</v>
      </c>
      <c r="B2489" s="10" t="s">
        <v>17</v>
      </c>
      <c r="C2489" s="10" t="s">
        <v>14</v>
      </c>
      <c r="D2489" s="10" t="s">
        <v>15</v>
      </c>
      <c r="E2489" s="4">
        <v>5</v>
      </c>
      <c r="F2489" s="4">
        <v>3455</v>
      </c>
      <c r="G2489" s="9">
        <v>867.55</v>
      </c>
    </row>
    <row r="2490" spans="1:7" ht="15.6" x14ac:dyDescent="0.3">
      <c r="A2490" s="16">
        <v>44901</v>
      </c>
      <c r="B2490" s="10" t="s">
        <v>21</v>
      </c>
      <c r="C2490" s="10" t="s">
        <v>14</v>
      </c>
      <c r="D2490" s="10" t="s">
        <v>9</v>
      </c>
      <c r="E2490" s="4">
        <v>2</v>
      </c>
      <c r="F2490" s="4">
        <v>1614</v>
      </c>
      <c r="G2490" s="9">
        <v>331.3</v>
      </c>
    </row>
    <row r="2491" spans="1:7" ht="15.6" x14ac:dyDescent="0.3">
      <c r="A2491" s="16">
        <v>45511</v>
      </c>
      <c r="B2491" s="10" t="s">
        <v>10</v>
      </c>
      <c r="C2491" s="10" t="s">
        <v>11</v>
      </c>
      <c r="D2491" s="10" t="s">
        <v>16</v>
      </c>
      <c r="E2491" s="4">
        <v>7</v>
      </c>
      <c r="F2491" s="4">
        <v>1771</v>
      </c>
      <c r="G2491" s="9">
        <v>171.26</v>
      </c>
    </row>
    <row r="2492" spans="1:7" ht="15.6" x14ac:dyDescent="0.3">
      <c r="A2492" s="16">
        <v>44932</v>
      </c>
      <c r="B2492" s="10" t="s">
        <v>7</v>
      </c>
      <c r="C2492" s="10" t="s">
        <v>8</v>
      </c>
      <c r="D2492" s="10" t="s">
        <v>15</v>
      </c>
      <c r="E2492" s="4">
        <v>6</v>
      </c>
      <c r="F2492" s="4">
        <v>5658</v>
      </c>
      <c r="G2492" s="9">
        <v>1504.97</v>
      </c>
    </row>
    <row r="2493" spans="1:7" ht="15.6" x14ac:dyDescent="0.3">
      <c r="A2493" s="16">
        <v>45560</v>
      </c>
      <c r="B2493" s="10" t="s">
        <v>10</v>
      </c>
      <c r="C2493" s="10" t="s">
        <v>11</v>
      </c>
      <c r="D2493" s="10" t="s">
        <v>12</v>
      </c>
      <c r="E2493" s="4">
        <v>9</v>
      </c>
      <c r="F2493" s="4">
        <v>8460</v>
      </c>
      <c r="G2493" s="9">
        <v>1515.06</v>
      </c>
    </row>
    <row r="2494" spans="1:7" ht="15.6" x14ac:dyDescent="0.3">
      <c r="A2494" s="16">
        <v>45256</v>
      </c>
      <c r="B2494" s="10" t="s">
        <v>7</v>
      </c>
      <c r="C2494" s="10" t="s">
        <v>8</v>
      </c>
      <c r="D2494" s="10" t="s">
        <v>16</v>
      </c>
      <c r="E2494" s="4">
        <v>5</v>
      </c>
      <c r="F2494" s="4">
        <v>1925</v>
      </c>
      <c r="G2494" s="9">
        <v>570.92999999999995</v>
      </c>
    </row>
    <row r="2495" spans="1:7" ht="15.6" x14ac:dyDescent="0.3">
      <c r="A2495" s="16">
        <v>45324</v>
      </c>
      <c r="B2495" s="10" t="s">
        <v>23</v>
      </c>
      <c r="C2495" s="10" t="s">
        <v>14</v>
      </c>
      <c r="D2495" s="10" t="s">
        <v>9</v>
      </c>
      <c r="E2495" s="4">
        <v>6</v>
      </c>
      <c r="F2495" s="4">
        <v>2196</v>
      </c>
      <c r="G2495" s="9">
        <v>572.16999999999996</v>
      </c>
    </row>
    <row r="2496" spans="1:7" ht="15.6" x14ac:dyDescent="0.3">
      <c r="A2496" s="16">
        <v>45478</v>
      </c>
      <c r="B2496" s="10" t="s">
        <v>22</v>
      </c>
      <c r="C2496" s="10" t="s">
        <v>11</v>
      </c>
      <c r="D2496" s="10" t="s">
        <v>12</v>
      </c>
      <c r="E2496" s="4">
        <v>2</v>
      </c>
      <c r="F2496" s="4">
        <v>1696</v>
      </c>
      <c r="G2496" s="9">
        <v>500.56</v>
      </c>
    </row>
    <row r="2497" spans="1:7" ht="15.6" x14ac:dyDescent="0.3">
      <c r="A2497" s="16">
        <v>45246</v>
      </c>
      <c r="B2497" s="10" t="s">
        <v>7</v>
      </c>
      <c r="C2497" s="10" t="s">
        <v>8</v>
      </c>
      <c r="D2497" s="10" t="s">
        <v>15</v>
      </c>
      <c r="E2497" s="4">
        <v>9</v>
      </c>
      <c r="F2497" s="4">
        <v>6813</v>
      </c>
      <c r="G2497" s="9">
        <v>1966.66</v>
      </c>
    </row>
    <row r="2498" spans="1:7" ht="15.6" x14ac:dyDescent="0.3">
      <c r="A2498" s="16">
        <v>45584</v>
      </c>
      <c r="B2498" s="10" t="s">
        <v>22</v>
      </c>
      <c r="C2498" s="10" t="s">
        <v>11</v>
      </c>
      <c r="D2498" s="10" t="s">
        <v>9</v>
      </c>
      <c r="E2498" s="4">
        <v>5</v>
      </c>
      <c r="F2498" s="4">
        <v>3670</v>
      </c>
      <c r="G2498" s="9">
        <v>790.67</v>
      </c>
    </row>
    <row r="2499" spans="1:7" ht="15.6" x14ac:dyDescent="0.3">
      <c r="A2499" s="16">
        <v>45575</v>
      </c>
      <c r="B2499" s="10" t="s">
        <v>22</v>
      </c>
      <c r="C2499" s="10" t="s">
        <v>11</v>
      </c>
      <c r="D2499" s="10" t="s">
        <v>15</v>
      </c>
      <c r="E2499" s="4">
        <v>4</v>
      </c>
      <c r="F2499" s="4">
        <v>2936</v>
      </c>
      <c r="G2499" s="9">
        <v>204.55</v>
      </c>
    </row>
    <row r="2500" spans="1:7" ht="15.6" x14ac:dyDescent="0.3">
      <c r="A2500" s="16">
        <v>45320</v>
      </c>
      <c r="B2500" s="10" t="s">
        <v>20</v>
      </c>
      <c r="C2500" s="10" t="s">
        <v>11</v>
      </c>
      <c r="D2500" s="10" t="s">
        <v>16</v>
      </c>
      <c r="E2500" s="4">
        <v>5</v>
      </c>
      <c r="F2500" s="4">
        <v>5165</v>
      </c>
      <c r="G2500" s="9">
        <v>283.60000000000002</v>
      </c>
    </row>
    <row r="2501" spans="1:7" ht="15.6" x14ac:dyDescent="0.3">
      <c r="A2501" s="16">
        <v>45541</v>
      </c>
      <c r="B2501" s="10" t="s">
        <v>17</v>
      </c>
      <c r="C2501" s="10" t="s">
        <v>14</v>
      </c>
      <c r="D2501" s="10" t="s">
        <v>12</v>
      </c>
      <c r="E2501" s="4">
        <v>5</v>
      </c>
      <c r="F2501" s="4">
        <v>5940</v>
      </c>
      <c r="G2501" s="9">
        <v>467.31</v>
      </c>
    </row>
    <row r="2502" spans="1:7" ht="15.6" x14ac:dyDescent="0.3">
      <c r="A2502" s="16">
        <v>45084</v>
      </c>
      <c r="B2502" s="10" t="s">
        <v>19</v>
      </c>
      <c r="C2502" s="10" t="s">
        <v>14</v>
      </c>
      <c r="D2502" s="10" t="s">
        <v>12</v>
      </c>
      <c r="E2502" s="4">
        <v>6</v>
      </c>
      <c r="F2502" s="4">
        <v>2664</v>
      </c>
      <c r="G2502" s="9">
        <v>520.29999999999995</v>
      </c>
    </row>
    <row r="2503" spans="1:7" ht="15.6" x14ac:dyDescent="0.3">
      <c r="A2503" s="16">
        <v>45394</v>
      </c>
      <c r="B2503" s="10" t="s">
        <v>18</v>
      </c>
      <c r="C2503" s="10" t="s">
        <v>11</v>
      </c>
      <c r="D2503" s="10" t="s">
        <v>12</v>
      </c>
      <c r="E2503" s="4">
        <v>2</v>
      </c>
      <c r="F2503" s="4">
        <v>1198</v>
      </c>
      <c r="G2503" s="9">
        <v>134.38999999999999</v>
      </c>
    </row>
    <row r="2504" spans="1:7" ht="15.6" x14ac:dyDescent="0.3">
      <c r="A2504" s="16">
        <v>45526</v>
      </c>
      <c r="B2504" s="10" t="s">
        <v>18</v>
      </c>
      <c r="C2504" s="10" t="s">
        <v>11</v>
      </c>
      <c r="D2504" s="10" t="s">
        <v>9</v>
      </c>
      <c r="E2504" s="4">
        <v>4</v>
      </c>
      <c r="F2504" s="4">
        <v>1340</v>
      </c>
      <c r="G2504" s="9">
        <v>309.8</v>
      </c>
    </row>
    <row r="2505" spans="1:7" ht="15.6" x14ac:dyDescent="0.3">
      <c r="A2505" s="16">
        <v>44849</v>
      </c>
      <c r="B2505" s="10" t="s">
        <v>20</v>
      </c>
      <c r="C2505" s="10" t="s">
        <v>11</v>
      </c>
      <c r="D2505" s="10" t="s">
        <v>12</v>
      </c>
      <c r="E2505" s="4">
        <v>9</v>
      </c>
      <c r="F2505" s="4">
        <v>9657</v>
      </c>
      <c r="G2505" s="9">
        <v>1233.47</v>
      </c>
    </row>
    <row r="2506" spans="1:7" ht="15.6" x14ac:dyDescent="0.3">
      <c r="A2506" s="16">
        <v>44740</v>
      </c>
      <c r="B2506" s="10" t="s">
        <v>17</v>
      </c>
      <c r="C2506" s="10" t="s">
        <v>14</v>
      </c>
      <c r="D2506" s="10" t="s">
        <v>9</v>
      </c>
      <c r="E2506" s="4">
        <v>8</v>
      </c>
      <c r="F2506" s="4">
        <v>2592</v>
      </c>
      <c r="G2506" s="9">
        <v>191.66</v>
      </c>
    </row>
    <row r="2507" spans="1:7" ht="15.6" x14ac:dyDescent="0.3">
      <c r="A2507" s="16">
        <v>45087</v>
      </c>
      <c r="B2507" s="10" t="s">
        <v>17</v>
      </c>
      <c r="C2507" s="10" t="s">
        <v>14</v>
      </c>
      <c r="D2507" s="10" t="s">
        <v>16</v>
      </c>
      <c r="E2507" s="4">
        <v>4</v>
      </c>
      <c r="F2507" s="4">
        <v>1168</v>
      </c>
      <c r="G2507" s="9">
        <v>135.36000000000001</v>
      </c>
    </row>
    <row r="2508" spans="1:7" ht="15.6" x14ac:dyDescent="0.3">
      <c r="A2508" s="16">
        <v>45008</v>
      </c>
      <c r="B2508" s="10" t="s">
        <v>18</v>
      </c>
      <c r="C2508" s="10" t="s">
        <v>11</v>
      </c>
      <c r="D2508" s="10" t="s">
        <v>15</v>
      </c>
      <c r="E2508" s="4">
        <v>8</v>
      </c>
      <c r="F2508" s="4">
        <v>5920</v>
      </c>
      <c r="G2508" s="9">
        <v>1241.27</v>
      </c>
    </row>
    <row r="2509" spans="1:7" ht="15.6" x14ac:dyDescent="0.3">
      <c r="A2509" s="16">
        <v>44609</v>
      </c>
      <c r="B2509" s="10" t="s">
        <v>21</v>
      </c>
      <c r="C2509" s="10" t="s">
        <v>14</v>
      </c>
      <c r="D2509" s="10" t="s">
        <v>16</v>
      </c>
      <c r="E2509" s="4">
        <v>2</v>
      </c>
      <c r="F2509" s="4">
        <v>2260</v>
      </c>
      <c r="G2509" s="9">
        <v>268.47000000000003</v>
      </c>
    </row>
    <row r="2510" spans="1:7" ht="15.6" x14ac:dyDescent="0.3">
      <c r="A2510" s="16">
        <v>45188</v>
      </c>
      <c r="B2510" s="10" t="s">
        <v>7</v>
      </c>
      <c r="C2510" s="10" t="s">
        <v>8</v>
      </c>
      <c r="D2510" s="10" t="s">
        <v>16</v>
      </c>
      <c r="E2510" s="4">
        <v>8</v>
      </c>
      <c r="F2510" s="4">
        <v>7016</v>
      </c>
      <c r="G2510" s="9">
        <v>1490.07</v>
      </c>
    </row>
    <row r="2511" spans="1:7" ht="15.6" x14ac:dyDescent="0.3">
      <c r="A2511" s="16">
        <v>45380</v>
      </c>
      <c r="B2511" s="10" t="s">
        <v>18</v>
      </c>
      <c r="C2511" s="10" t="s">
        <v>11</v>
      </c>
      <c r="D2511" s="10" t="s">
        <v>9</v>
      </c>
      <c r="E2511" s="4">
        <v>6</v>
      </c>
      <c r="F2511" s="4">
        <v>546</v>
      </c>
      <c r="G2511" s="9">
        <v>79.94</v>
      </c>
    </row>
    <row r="2512" spans="1:7" ht="15.6" x14ac:dyDescent="0.3">
      <c r="A2512" s="16">
        <v>45628</v>
      </c>
      <c r="B2512" s="10" t="s">
        <v>23</v>
      </c>
      <c r="C2512" s="10" t="s">
        <v>14</v>
      </c>
      <c r="D2512" s="10" t="s">
        <v>12</v>
      </c>
      <c r="E2512" s="4">
        <v>1</v>
      </c>
      <c r="F2512" s="4">
        <v>839</v>
      </c>
      <c r="G2512" s="9">
        <v>228.72</v>
      </c>
    </row>
    <row r="2513" spans="1:7" ht="15.6" x14ac:dyDescent="0.3">
      <c r="A2513" s="16">
        <v>45497</v>
      </c>
      <c r="B2513" s="10" t="s">
        <v>13</v>
      </c>
      <c r="C2513" s="10" t="s">
        <v>14</v>
      </c>
      <c r="D2513" s="10" t="s">
        <v>15</v>
      </c>
      <c r="E2513" s="4">
        <v>8</v>
      </c>
      <c r="F2513" s="4">
        <v>5176</v>
      </c>
      <c r="G2513" s="9">
        <v>619.45000000000005</v>
      </c>
    </row>
    <row r="2514" spans="1:7" ht="15.6" x14ac:dyDescent="0.3">
      <c r="A2514" s="16">
        <v>45018</v>
      </c>
      <c r="B2514" s="10" t="s">
        <v>23</v>
      </c>
      <c r="C2514" s="10" t="s">
        <v>14</v>
      </c>
      <c r="D2514" s="10" t="s">
        <v>16</v>
      </c>
      <c r="E2514" s="4">
        <v>4</v>
      </c>
      <c r="F2514" s="4">
        <v>280</v>
      </c>
      <c r="G2514" s="9">
        <v>24.9</v>
      </c>
    </row>
    <row r="2515" spans="1:7" ht="15.6" x14ac:dyDescent="0.3">
      <c r="A2515" s="16">
        <v>45654</v>
      </c>
      <c r="B2515" s="10" t="s">
        <v>20</v>
      </c>
      <c r="C2515" s="10" t="s">
        <v>11</v>
      </c>
      <c r="D2515" s="10" t="s">
        <v>9</v>
      </c>
      <c r="E2515" s="4">
        <v>9</v>
      </c>
      <c r="F2515" s="4">
        <v>2097</v>
      </c>
      <c r="G2515" s="9">
        <v>210.59</v>
      </c>
    </row>
    <row r="2516" spans="1:7" ht="15.6" x14ac:dyDescent="0.3">
      <c r="A2516" s="16">
        <v>45436</v>
      </c>
      <c r="B2516" s="10" t="s">
        <v>10</v>
      </c>
      <c r="C2516" s="10" t="s">
        <v>11</v>
      </c>
      <c r="D2516" s="10" t="s">
        <v>16</v>
      </c>
      <c r="E2516" s="4">
        <v>6</v>
      </c>
      <c r="F2516" s="4">
        <v>4632</v>
      </c>
      <c r="G2516" s="9">
        <v>799.16</v>
      </c>
    </row>
    <row r="2517" spans="1:7" ht="15.6" x14ac:dyDescent="0.3">
      <c r="A2517" s="16">
        <v>44966</v>
      </c>
      <c r="B2517" s="10" t="s">
        <v>22</v>
      </c>
      <c r="C2517" s="10" t="s">
        <v>11</v>
      </c>
      <c r="D2517" s="10" t="s">
        <v>9</v>
      </c>
      <c r="E2517" s="4">
        <v>4</v>
      </c>
      <c r="F2517" s="4">
        <v>1088</v>
      </c>
      <c r="G2517" s="9">
        <v>283.61</v>
      </c>
    </row>
    <row r="2518" spans="1:7" ht="15.6" x14ac:dyDescent="0.3">
      <c r="A2518" s="16">
        <v>45186</v>
      </c>
      <c r="B2518" s="10" t="s">
        <v>17</v>
      </c>
      <c r="C2518" s="10" t="s">
        <v>14</v>
      </c>
      <c r="D2518" s="10" t="s">
        <v>9</v>
      </c>
      <c r="E2518" s="4">
        <v>2</v>
      </c>
      <c r="F2518" s="4">
        <v>1314</v>
      </c>
      <c r="G2518" s="9">
        <v>391.55</v>
      </c>
    </row>
    <row r="2519" spans="1:7" ht="15.6" x14ac:dyDescent="0.3">
      <c r="A2519" s="16">
        <v>45053</v>
      </c>
      <c r="B2519" s="10" t="s">
        <v>10</v>
      </c>
      <c r="C2519" s="10" t="s">
        <v>11</v>
      </c>
      <c r="D2519" s="10" t="s">
        <v>9</v>
      </c>
      <c r="E2519" s="4">
        <v>8</v>
      </c>
      <c r="F2519" s="4">
        <v>7960</v>
      </c>
      <c r="G2519" s="9">
        <v>804.11</v>
      </c>
    </row>
    <row r="2520" spans="1:7" ht="15.6" x14ac:dyDescent="0.3">
      <c r="A2520" s="16">
        <v>45252</v>
      </c>
      <c r="B2520" s="10" t="s">
        <v>7</v>
      </c>
      <c r="C2520" s="10" t="s">
        <v>8</v>
      </c>
      <c r="D2520" s="10" t="s">
        <v>9</v>
      </c>
      <c r="E2520" s="4">
        <v>8</v>
      </c>
      <c r="F2520" s="4">
        <v>2856</v>
      </c>
      <c r="G2520" s="9">
        <v>350.32</v>
      </c>
    </row>
    <row r="2521" spans="1:7" ht="15.6" x14ac:dyDescent="0.3">
      <c r="A2521" s="16">
        <v>44728</v>
      </c>
      <c r="B2521" s="10" t="s">
        <v>19</v>
      </c>
      <c r="C2521" s="10" t="s">
        <v>14</v>
      </c>
      <c r="D2521" s="10" t="s">
        <v>16</v>
      </c>
      <c r="E2521" s="4">
        <v>4</v>
      </c>
      <c r="F2521" s="4">
        <v>1680</v>
      </c>
      <c r="G2521" s="9">
        <v>385.92</v>
      </c>
    </row>
    <row r="2522" spans="1:7" ht="15.6" x14ac:dyDescent="0.3">
      <c r="A2522" s="16">
        <v>45616</v>
      </c>
      <c r="B2522" s="10" t="s">
        <v>20</v>
      </c>
      <c r="C2522" s="10" t="s">
        <v>11</v>
      </c>
      <c r="D2522" s="10" t="s">
        <v>9</v>
      </c>
      <c r="E2522" s="4">
        <v>4</v>
      </c>
      <c r="F2522" s="4">
        <v>4464</v>
      </c>
      <c r="G2522" s="9">
        <v>1069.6300000000001</v>
      </c>
    </row>
    <row r="2523" spans="1:7" ht="15.6" x14ac:dyDescent="0.3">
      <c r="A2523" s="16">
        <v>45085</v>
      </c>
      <c r="B2523" s="10" t="s">
        <v>21</v>
      </c>
      <c r="C2523" s="10" t="s">
        <v>14</v>
      </c>
      <c r="D2523" s="10" t="s">
        <v>12</v>
      </c>
      <c r="E2523" s="4">
        <v>6</v>
      </c>
      <c r="F2523" s="4">
        <v>2940</v>
      </c>
      <c r="G2523" s="9">
        <v>184.97</v>
      </c>
    </row>
    <row r="2524" spans="1:7" ht="15.6" x14ac:dyDescent="0.3">
      <c r="A2524" s="16">
        <v>44724</v>
      </c>
      <c r="B2524" s="10" t="s">
        <v>20</v>
      </c>
      <c r="C2524" s="10" t="s">
        <v>11</v>
      </c>
      <c r="D2524" s="10" t="s">
        <v>16</v>
      </c>
      <c r="E2524" s="4">
        <v>8</v>
      </c>
      <c r="F2524" s="4">
        <v>1272</v>
      </c>
      <c r="G2524" s="9">
        <v>344.45</v>
      </c>
    </row>
    <row r="2525" spans="1:7" ht="15.6" x14ac:dyDescent="0.3">
      <c r="A2525" s="16">
        <v>45617</v>
      </c>
      <c r="B2525" s="10" t="s">
        <v>7</v>
      </c>
      <c r="C2525" s="10" t="s">
        <v>8</v>
      </c>
      <c r="D2525" s="10" t="s">
        <v>12</v>
      </c>
      <c r="E2525" s="4">
        <v>6</v>
      </c>
      <c r="F2525" s="4">
        <v>1728</v>
      </c>
      <c r="G2525" s="9">
        <v>247.86</v>
      </c>
    </row>
    <row r="2526" spans="1:7" ht="15.6" x14ac:dyDescent="0.3">
      <c r="A2526" s="16">
        <v>44810</v>
      </c>
      <c r="B2526" s="10" t="s">
        <v>20</v>
      </c>
      <c r="C2526" s="10" t="s">
        <v>11</v>
      </c>
      <c r="D2526" s="10" t="s">
        <v>9</v>
      </c>
      <c r="E2526" s="4">
        <v>3</v>
      </c>
      <c r="F2526" s="4">
        <v>3153</v>
      </c>
      <c r="G2526" s="9">
        <v>563.55999999999995</v>
      </c>
    </row>
    <row r="2527" spans="1:7" ht="15.6" x14ac:dyDescent="0.3">
      <c r="A2527" s="16">
        <v>45374</v>
      </c>
      <c r="B2527" s="10" t="s">
        <v>21</v>
      </c>
      <c r="C2527" s="10" t="s">
        <v>14</v>
      </c>
      <c r="D2527" s="10" t="s">
        <v>16</v>
      </c>
      <c r="E2527" s="4">
        <v>4</v>
      </c>
      <c r="F2527" s="4">
        <v>2536</v>
      </c>
      <c r="G2527" s="9">
        <v>285.72000000000003</v>
      </c>
    </row>
    <row r="2528" spans="1:7" ht="15.6" x14ac:dyDescent="0.3">
      <c r="A2528" s="16">
        <v>44636</v>
      </c>
      <c r="B2528" s="10" t="s">
        <v>13</v>
      </c>
      <c r="C2528" s="10" t="s">
        <v>14</v>
      </c>
      <c r="D2528" s="10" t="s">
        <v>15</v>
      </c>
      <c r="E2528" s="4">
        <v>3</v>
      </c>
      <c r="F2528" s="4">
        <v>2508</v>
      </c>
      <c r="G2528" s="9">
        <v>431.53</v>
      </c>
    </row>
    <row r="2529" spans="1:7" ht="15.6" x14ac:dyDescent="0.3">
      <c r="A2529" s="16">
        <v>45583</v>
      </c>
      <c r="B2529" s="10" t="s">
        <v>13</v>
      </c>
      <c r="C2529" s="10" t="s">
        <v>14</v>
      </c>
      <c r="D2529" s="10" t="s">
        <v>12</v>
      </c>
      <c r="E2529" s="4">
        <v>1</v>
      </c>
      <c r="F2529" s="4">
        <v>123</v>
      </c>
      <c r="G2529" s="9">
        <v>12.36</v>
      </c>
    </row>
    <row r="2530" spans="1:7" ht="15.6" x14ac:dyDescent="0.3">
      <c r="A2530" s="16">
        <v>45137</v>
      </c>
      <c r="B2530" s="10" t="s">
        <v>21</v>
      </c>
      <c r="C2530" s="10" t="s">
        <v>14</v>
      </c>
      <c r="D2530" s="10" t="s">
        <v>15</v>
      </c>
      <c r="E2530" s="4">
        <v>3</v>
      </c>
      <c r="F2530" s="4">
        <v>2379</v>
      </c>
      <c r="G2530" s="9">
        <v>148.68</v>
      </c>
    </row>
    <row r="2531" spans="1:7" ht="15.6" x14ac:dyDescent="0.3">
      <c r="A2531" s="16">
        <v>44930</v>
      </c>
      <c r="B2531" s="10" t="s">
        <v>7</v>
      </c>
      <c r="C2531" s="10" t="s">
        <v>8</v>
      </c>
      <c r="D2531" s="10" t="s">
        <v>16</v>
      </c>
      <c r="E2531" s="4">
        <v>6</v>
      </c>
      <c r="F2531" s="4">
        <v>6924</v>
      </c>
      <c r="G2531" s="9">
        <v>1693.77</v>
      </c>
    </row>
    <row r="2532" spans="1:7" ht="15.6" x14ac:dyDescent="0.3">
      <c r="A2532" s="16">
        <v>45077</v>
      </c>
      <c r="B2532" s="10" t="s">
        <v>19</v>
      </c>
      <c r="C2532" s="10" t="s">
        <v>14</v>
      </c>
      <c r="D2532" s="10" t="s">
        <v>16</v>
      </c>
      <c r="E2532" s="4">
        <v>9</v>
      </c>
      <c r="F2532" s="4">
        <v>9054</v>
      </c>
      <c r="G2532" s="9">
        <v>644.36</v>
      </c>
    </row>
    <row r="2533" spans="1:7" ht="15.6" x14ac:dyDescent="0.3">
      <c r="A2533" s="16">
        <v>45268</v>
      </c>
      <c r="B2533" s="10" t="s">
        <v>17</v>
      </c>
      <c r="C2533" s="10" t="s">
        <v>14</v>
      </c>
      <c r="D2533" s="10" t="s">
        <v>15</v>
      </c>
      <c r="E2533" s="4">
        <v>9</v>
      </c>
      <c r="F2533" s="4">
        <v>9936</v>
      </c>
      <c r="G2533" s="9">
        <v>2797.45</v>
      </c>
    </row>
    <row r="2534" spans="1:7" ht="15.6" x14ac:dyDescent="0.3">
      <c r="A2534" s="16">
        <v>44916</v>
      </c>
      <c r="B2534" s="10" t="s">
        <v>21</v>
      </c>
      <c r="C2534" s="10" t="s">
        <v>14</v>
      </c>
      <c r="D2534" s="10" t="s">
        <v>12</v>
      </c>
      <c r="E2534" s="4">
        <v>1</v>
      </c>
      <c r="F2534" s="4">
        <v>393</v>
      </c>
      <c r="G2534" s="9">
        <v>41.05</v>
      </c>
    </row>
    <row r="2535" spans="1:7" ht="15.6" x14ac:dyDescent="0.3">
      <c r="A2535" s="16">
        <v>45523</v>
      </c>
      <c r="B2535" s="10" t="s">
        <v>7</v>
      </c>
      <c r="C2535" s="10" t="s">
        <v>8</v>
      </c>
      <c r="D2535" s="10" t="s">
        <v>12</v>
      </c>
      <c r="E2535" s="4">
        <v>2</v>
      </c>
      <c r="F2535" s="4">
        <v>308</v>
      </c>
      <c r="G2535" s="9">
        <v>35.32</v>
      </c>
    </row>
    <row r="2536" spans="1:7" ht="15.6" x14ac:dyDescent="0.3">
      <c r="A2536" s="16">
        <v>45591</v>
      </c>
      <c r="B2536" s="10" t="s">
        <v>13</v>
      </c>
      <c r="C2536" s="10" t="s">
        <v>14</v>
      </c>
      <c r="D2536" s="10" t="s">
        <v>15</v>
      </c>
      <c r="E2536" s="4">
        <v>5</v>
      </c>
      <c r="F2536" s="4">
        <v>4900</v>
      </c>
      <c r="G2536" s="9">
        <v>347.25</v>
      </c>
    </row>
    <row r="2537" spans="1:7" ht="15.6" x14ac:dyDescent="0.3">
      <c r="A2537" s="16">
        <v>45528</v>
      </c>
      <c r="B2537" s="10" t="s">
        <v>23</v>
      </c>
      <c r="C2537" s="10" t="s">
        <v>14</v>
      </c>
      <c r="D2537" s="10" t="s">
        <v>15</v>
      </c>
      <c r="E2537" s="4">
        <v>1</v>
      </c>
      <c r="F2537" s="4">
        <v>927</v>
      </c>
      <c r="G2537" s="9">
        <v>103.95</v>
      </c>
    </row>
    <row r="2538" spans="1:7" ht="15.6" x14ac:dyDescent="0.3">
      <c r="A2538" s="16">
        <v>45253</v>
      </c>
      <c r="B2538" s="10" t="s">
        <v>22</v>
      </c>
      <c r="C2538" s="10" t="s">
        <v>11</v>
      </c>
      <c r="D2538" s="10" t="s">
        <v>12</v>
      </c>
      <c r="E2538" s="4">
        <v>1</v>
      </c>
      <c r="F2538" s="4">
        <v>266</v>
      </c>
      <c r="G2538" s="9">
        <v>22.42</v>
      </c>
    </row>
    <row r="2539" spans="1:7" ht="15.6" x14ac:dyDescent="0.3">
      <c r="A2539" s="16">
        <v>44869</v>
      </c>
      <c r="B2539" s="10" t="s">
        <v>7</v>
      </c>
      <c r="C2539" s="10" t="s">
        <v>8</v>
      </c>
      <c r="D2539" s="10" t="s">
        <v>15</v>
      </c>
      <c r="E2539" s="4">
        <v>5</v>
      </c>
      <c r="F2539" s="4">
        <v>4750</v>
      </c>
      <c r="G2539" s="9">
        <v>1179.56</v>
      </c>
    </row>
    <row r="2540" spans="1:7" ht="15.6" x14ac:dyDescent="0.3">
      <c r="A2540" s="16">
        <v>45493</v>
      </c>
      <c r="B2540" s="10" t="s">
        <v>19</v>
      </c>
      <c r="C2540" s="10" t="s">
        <v>14</v>
      </c>
      <c r="D2540" s="10" t="s">
        <v>12</v>
      </c>
      <c r="E2540" s="4">
        <v>8</v>
      </c>
      <c r="F2540" s="4">
        <v>3272</v>
      </c>
      <c r="G2540" s="9">
        <v>460.82</v>
      </c>
    </row>
    <row r="2541" spans="1:7" ht="15.6" x14ac:dyDescent="0.3">
      <c r="A2541" s="16">
        <v>44905</v>
      </c>
      <c r="B2541" s="10" t="s">
        <v>10</v>
      </c>
      <c r="C2541" s="10" t="s">
        <v>11</v>
      </c>
      <c r="D2541" s="10" t="s">
        <v>12</v>
      </c>
      <c r="E2541" s="4">
        <v>5</v>
      </c>
      <c r="F2541" s="4">
        <v>4350</v>
      </c>
      <c r="G2541" s="9">
        <v>688.77</v>
      </c>
    </row>
    <row r="2542" spans="1:7" ht="15.6" x14ac:dyDescent="0.3">
      <c r="A2542" s="16">
        <v>45500</v>
      </c>
      <c r="B2542" s="10" t="s">
        <v>22</v>
      </c>
      <c r="C2542" s="10" t="s">
        <v>11</v>
      </c>
      <c r="D2542" s="10" t="s">
        <v>12</v>
      </c>
      <c r="E2542" s="4">
        <v>1</v>
      </c>
      <c r="F2542" s="4">
        <v>706</v>
      </c>
      <c r="G2542" s="9">
        <v>63.82</v>
      </c>
    </row>
    <row r="2543" spans="1:7" ht="15.6" x14ac:dyDescent="0.3">
      <c r="A2543" s="16">
        <v>45436</v>
      </c>
      <c r="B2543" s="10" t="s">
        <v>23</v>
      </c>
      <c r="C2543" s="10" t="s">
        <v>14</v>
      </c>
      <c r="D2543" s="10" t="s">
        <v>9</v>
      </c>
      <c r="E2543" s="4">
        <v>3</v>
      </c>
      <c r="F2543" s="4">
        <v>213</v>
      </c>
      <c r="G2543" s="9">
        <v>30.68</v>
      </c>
    </row>
    <row r="2544" spans="1:7" ht="15.6" x14ac:dyDescent="0.3">
      <c r="A2544" s="16">
        <v>45224</v>
      </c>
      <c r="B2544" s="10" t="s">
        <v>21</v>
      </c>
      <c r="C2544" s="10" t="s">
        <v>14</v>
      </c>
      <c r="D2544" s="10" t="s">
        <v>12</v>
      </c>
      <c r="E2544" s="4">
        <v>2</v>
      </c>
      <c r="F2544" s="4">
        <v>1614</v>
      </c>
      <c r="G2544" s="9">
        <v>376.31</v>
      </c>
    </row>
    <row r="2545" spans="1:7" ht="15.6" x14ac:dyDescent="0.3">
      <c r="A2545" s="16">
        <v>44966</v>
      </c>
      <c r="B2545" s="10" t="s">
        <v>10</v>
      </c>
      <c r="C2545" s="10" t="s">
        <v>11</v>
      </c>
      <c r="D2545" s="10" t="s">
        <v>16</v>
      </c>
      <c r="E2545" s="4">
        <v>8</v>
      </c>
      <c r="F2545" s="4">
        <v>6232</v>
      </c>
      <c r="G2545" s="9">
        <v>499.63</v>
      </c>
    </row>
    <row r="2546" spans="1:7" ht="15.6" x14ac:dyDescent="0.3">
      <c r="A2546" s="16">
        <v>44960</v>
      </c>
      <c r="B2546" s="10" t="s">
        <v>7</v>
      </c>
      <c r="C2546" s="10" t="s">
        <v>8</v>
      </c>
      <c r="D2546" s="10" t="s">
        <v>9</v>
      </c>
      <c r="E2546" s="4">
        <v>4</v>
      </c>
      <c r="F2546" s="4">
        <v>3864</v>
      </c>
      <c r="G2546" s="9">
        <v>717.45</v>
      </c>
    </row>
    <row r="2547" spans="1:7" ht="15.6" x14ac:dyDescent="0.3">
      <c r="A2547" s="16">
        <v>45634</v>
      </c>
      <c r="B2547" s="10" t="s">
        <v>18</v>
      </c>
      <c r="C2547" s="10" t="s">
        <v>11</v>
      </c>
      <c r="D2547" s="10" t="s">
        <v>15</v>
      </c>
      <c r="E2547" s="4">
        <v>3</v>
      </c>
      <c r="F2547" s="4">
        <v>2601</v>
      </c>
      <c r="G2547" s="9">
        <v>363.64</v>
      </c>
    </row>
    <row r="2548" spans="1:7" ht="15.6" x14ac:dyDescent="0.3">
      <c r="A2548" s="16">
        <v>44958</v>
      </c>
      <c r="B2548" s="10" t="s">
        <v>10</v>
      </c>
      <c r="C2548" s="10" t="s">
        <v>11</v>
      </c>
      <c r="D2548" s="10" t="s">
        <v>12</v>
      </c>
      <c r="E2548" s="4">
        <v>6</v>
      </c>
      <c r="F2548" s="4">
        <v>4944</v>
      </c>
      <c r="G2548" s="9">
        <v>758.46</v>
      </c>
    </row>
    <row r="2549" spans="1:7" ht="15.6" x14ac:dyDescent="0.3">
      <c r="A2549" s="16">
        <v>45246</v>
      </c>
      <c r="B2549" s="10" t="s">
        <v>7</v>
      </c>
      <c r="C2549" s="10" t="s">
        <v>8</v>
      </c>
      <c r="D2549" s="10" t="s">
        <v>15</v>
      </c>
      <c r="E2549" s="4">
        <v>4</v>
      </c>
      <c r="F2549" s="4">
        <v>4680</v>
      </c>
      <c r="G2549" s="9">
        <v>301.91000000000003</v>
      </c>
    </row>
    <row r="2550" spans="1:7" ht="15.6" x14ac:dyDescent="0.3">
      <c r="A2550" s="16">
        <v>44590</v>
      </c>
      <c r="B2550" s="10" t="s">
        <v>10</v>
      </c>
      <c r="C2550" s="10" t="s">
        <v>11</v>
      </c>
      <c r="D2550" s="10" t="s">
        <v>15</v>
      </c>
      <c r="E2550" s="4">
        <v>8</v>
      </c>
      <c r="F2550" s="4">
        <v>2112</v>
      </c>
      <c r="G2550" s="9">
        <v>418.58</v>
      </c>
    </row>
    <row r="2551" spans="1:7" ht="15.6" x14ac:dyDescent="0.3">
      <c r="A2551" s="16">
        <v>44675</v>
      </c>
      <c r="B2551" s="10" t="s">
        <v>20</v>
      </c>
      <c r="C2551" s="10" t="s">
        <v>11</v>
      </c>
      <c r="D2551" s="10" t="s">
        <v>12</v>
      </c>
      <c r="E2551" s="4">
        <v>6</v>
      </c>
      <c r="F2551" s="4">
        <v>7140</v>
      </c>
      <c r="G2551" s="9">
        <v>869.93</v>
      </c>
    </row>
    <row r="2552" spans="1:7" ht="15.6" x14ac:dyDescent="0.3">
      <c r="A2552" s="16">
        <v>44853</v>
      </c>
      <c r="B2552" s="10" t="s">
        <v>22</v>
      </c>
      <c r="C2552" s="10" t="s">
        <v>11</v>
      </c>
      <c r="D2552" s="10" t="s">
        <v>12</v>
      </c>
      <c r="E2552" s="4">
        <v>1</v>
      </c>
      <c r="F2552" s="4">
        <v>750</v>
      </c>
      <c r="G2552" s="9">
        <v>37.97</v>
      </c>
    </row>
    <row r="2553" spans="1:7" ht="15.6" x14ac:dyDescent="0.3">
      <c r="A2553" s="16">
        <v>44785</v>
      </c>
      <c r="B2553" s="10" t="s">
        <v>10</v>
      </c>
      <c r="C2553" s="10" t="s">
        <v>11</v>
      </c>
      <c r="D2553" s="10" t="s">
        <v>12</v>
      </c>
      <c r="E2553" s="4">
        <v>4</v>
      </c>
      <c r="F2553" s="4">
        <v>392</v>
      </c>
      <c r="G2553" s="9">
        <v>39.229999999999997</v>
      </c>
    </row>
    <row r="2554" spans="1:7" ht="15.6" x14ac:dyDescent="0.3">
      <c r="A2554" s="16">
        <v>45567</v>
      </c>
      <c r="B2554" s="10" t="s">
        <v>23</v>
      </c>
      <c r="C2554" s="10" t="s">
        <v>14</v>
      </c>
      <c r="D2554" s="10" t="s">
        <v>15</v>
      </c>
      <c r="E2554" s="4">
        <v>4</v>
      </c>
      <c r="F2554" s="4">
        <v>2408</v>
      </c>
      <c r="G2554" s="9">
        <v>721.8</v>
      </c>
    </row>
    <row r="2555" spans="1:7" ht="15.6" x14ac:dyDescent="0.3">
      <c r="A2555" s="16">
        <v>45182</v>
      </c>
      <c r="B2555" s="10" t="s">
        <v>20</v>
      </c>
      <c r="C2555" s="10" t="s">
        <v>11</v>
      </c>
      <c r="D2555" s="10" t="s">
        <v>12</v>
      </c>
      <c r="E2555" s="4">
        <v>2</v>
      </c>
      <c r="F2555" s="4">
        <v>2016</v>
      </c>
      <c r="G2555" s="9">
        <v>151.4</v>
      </c>
    </row>
    <row r="2556" spans="1:7" ht="15.6" x14ac:dyDescent="0.3">
      <c r="A2556" s="16">
        <v>44767</v>
      </c>
      <c r="B2556" s="10" t="s">
        <v>20</v>
      </c>
      <c r="C2556" s="10" t="s">
        <v>11</v>
      </c>
      <c r="D2556" s="10" t="s">
        <v>15</v>
      </c>
      <c r="E2556" s="4">
        <v>4</v>
      </c>
      <c r="F2556" s="4">
        <v>464</v>
      </c>
      <c r="G2556" s="9">
        <v>47.93</v>
      </c>
    </row>
    <row r="2557" spans="1:7" ht="15.6" x14ac:dyDescent="0.3">
      <c r="A2557" s="16">
        <v>45269</v>
      </c>
      <c r="B2557" s="10" t="s">
        <v>18</v>
      </c>
      <c r="C2557" s="10" t="s">
        <v>11</v>
      </c>
      <c r="D2557" s="10" t="s">
        <v>12</v>
      </c>
      <c r="E2557" s="4">
        <v>1</v>
      </c>
      <c r="F2557" s="4">
        <v>832</v>
      </c>
      <c r="G2557" s="9">
        <v>227.11</v>
      </c>
    </row>
    <row r="2558" spans="1:7" ht="15.6" x14ac:dyDescent="0.3">
      <c r="A2558" s="16">
        <v>45382</v>
      </c>
      <c r="B2558" s="10" t="s">
        <v>18</v>
      </c>
      <c r="C2558" s="10" t="s">
        <v>11</v>
      </c>
      <c r="D2558" s="10" t="s">
        <v>12</v>
      </c>
      <c r="E2558" s="4">
        <v>8</v>
      </c>
      <c r="F2558" s="4">
        <v>1296</v>
      </c>
      <c r="G2558" s="9">
        <v>374.8</v>
      </c>
    </row>
    <row r="2559" spans="1:7" ht="15.6" x14ac:dyDescent="0.3">
      <c r="A2559" s="16">
        <v>44674</v>
      </c>
      <c r="B2559" s="10" t="s">
        <v>21</v>
      </c>
      <c r="C2559" s="10" t="s">
        <v>14</v>
      </c>
      <c r="D2559" s="10" t="s">
        <v>12</v>
      </c>
      <c r="E2559" s="4">
        <v>1</v>
      </c>
      <c r="F2559" s="4">
        <v>300</v>
      </c>
      <c r="G2559" s="9">
        <v>45.81</v>
      </c>
    </row>
    <row r="2560" spans="1:7" ht="15.6" x14ac:dyDescent="0.3">
      <c r="A2560" s="16">
        <v>45479</v>
      </c>
      <c r="B2560" s="10" t="s">
        <v>20</v>
      </c>
      <c r="C2560" s="10" t="s">
        <v>11</v>
      </c>
      <c r="D2560" s="10" t="s">
        <v>9</v>
      </c>
      <c r="E2560" s="4">
        <v>6</v>
      </c>
      <c r="F2560" s="4">
        <v>2856</v>
      </c>
      <c r="G2560" s="9">
        <v>226.53</v>
      </c>
    </row>
    <row r="2561" spans="1:7" ht="15.6" x14ac:dyDescent="0.3">
      <c r="A2561" s="16">
        <v>44905</v>
      </c>
      <c r="B2561" s="10" t="s">
        <v>13</v>
      </c>
      <c r="C2561" s="10" t="s">
        <v>14</v>
      </c>
      <c r="D2561" s="10" t="s">
        <v>16</v>
      </c>
      <c r="E2561" s="4">
        <v>5</v>
      </c>
      <c r="F2561" s="4">
        <v>3380</v>
      </c>
      <c r="G2561" s="9">
        <v>287.05</v>
      </c>
    </row>
    <row r="2562" spans="1:7" ht="15.6" x14ac:dyDescent="0.3">
      <c r="A2562" s="16">
        <v>44588</v>
      </c>
      <c r="B2562" s="10" t="s">
        <v>13</v>
      </c>
      <c r="C2562" s="10" t="s">
        <v>14</v>
      </c>
      <c r="D2562" s="10" t="s">
        <v>9</v>
      </c>
      <c r="E2562" s="4">
        <v>5</v>
      </c>
      <c r="F2562" s="4">
        <v>400</v>
      </c>
      <c r="G2562" s="9">
        <v>86.52</v>
      </c>
    </row>
    <row r="2563" spans="1:7" ht="15.6" x14ac:dyDescent="0.3">
      <c r="A2563" s="16">
        <v>44848</v>
      </c>
      <c r="B2563" s="10" t="s">
        <v>17</v>
      </c>
      <c r="C2563" s="10" t="s">
        <v>14</v>
      </c>
      <c r="D2563" s="10" t="s">
        <v>9</v>
      </c>
      <c r="E2563" s="4">
        <v>1</v>
      </c>
      <c r="F2563" s="4">
        <v>722</v>
      </c>
      <c r="G2563" s="9">
        <v>49.7</v>
      </c>
    </row>
    <row r="2564" spans="1:7" ht="15.6" x14ac:dyDescent="0.3">
      <c r="A2564" s="16">
        <v>45619</v>
      </c>
      <c r="B2564" s="10" t="s">
        <v>23</v>
      </c>
      <c r="C2564" s="10" t="s">
        <v>14</v>
      </c>
      <c r="D2564" s="10" t="s">
        <v>15</v>
      </c>
      <c r="E2564" s="4">
        <v>4</v>
      </c>
      <c r="F2564" s="4">
        <v>4596</v>
      </c>
      <c r="G2564" s="9">
        <v>947.45</v>
      </c>
    </row>
    <row r="2565" spans="1:7" ht="15.6" x14ac:dyDescent="0.3">
      <c r="A2565" s="16">
        <v>45024</v>
      </c>
      <c r="B2565" s="10" t="s">
        <v>22</v>
      </c>
      <c r="C2565" s="10" t="s">
        <v>11</v>
      </c>
      <c r="D2565" s="10" t="s">
        <v>16</v>
      </c>
      <c r="E2565" s="4">
        <v>8</v>
      </c>
      <c r="F2565" s="4">
        <v>1176</v>
      </c>
      <c r="G2565" s="9">
        <v>313.58</v>
      </c>
    </row>
    <row r="2566" spans="1:7" ht="15.6" x14ac:dyDescent="0.3">
      <c r="A2566" s="16">
        <v>44763</v>
      </c>
      <c r="B2566" s="10" t="s">
        <v>17</v>
      </c>
      <c r="C2566" s="10" t="s">
        <v>14</v>
      </c>
      <c r="D2566" s="10" t="s">
        <v>9</v>
      </c>
      <c r="E2566" s="4">
        <v>2</v>
      </c>
      <c r="F2566" s="4">
        <v>644</v>
      </c>
      <c r="G2566" s="9">
        <v>45.72</v>
      </c>
    </row>
    <row r="2567" spans="1:7" ht="15.6" x14ac:dyDescent="0.3">
      <c r="A2567" s="16">
        <v>44872</v>
      </c>
      <c r="B2567" s="10" t="s">
        <v>21</v>
      </c>
      <c r="C2567" s="10" t="s">
        <v>14</v>
      </c>
      <c r="D2567" s="10" t="s">
        <v>16</v>
      </c>
      <c r="E2567" s="4">
        <v>8</v>
      </c>
      <c r="F2567" s="4">
        <v>544</v>
      </c>
      <c r="G2567" s="9">
        <v>40.78</v>
      </c>
    </row>
    <row r="2568" spans="1:7" ht="15.6" x14ac:dyDescent="0.3">
      <c r="A2568" s="16">
        <v>45076</v>
      </c>
      <c r="B2568" s="10" t="s">
        <v>20</v>
      </c>
      <c r="C2568" s="10" t="s">
        <v>11</v>
      </c>
      <c r="D2568" s="10" t="s">
        <v>12</v>
      </c>
      <c r="E2568" s="4">
        <v>2</v>
      </c>
      <c r="F2568" s="4">
        <v>586</v>
      </c>
      <c r="G2568" s="9">
        <v>101.64</v>
      </c>
    </row>
    <row r="2569" spans="1:7" ht="15.6" x14ac:dyDescent="0.3">
      <c r="A2569" s="16">
        <v>44681</v>
      </c>
      <c r="B2569" s="10" t="s">
        <v>22</v>
      </c>
      <c r="C2569" s="10" t="s">
        <v>11</v>
      </c>
      <c r="D2569" s="10" t="s">
        <v>9</v>
      </c>
      <c r="E2569" s="4">
        <v>5</v>
      </c>
      <c r="F2569" s="4">
        <v>3835</v>
      </c>
      <c r="G2569" s="9">
        <v>229.11</v>
      </c>
    </row>
    <row r="2570" spans="1:7" ht="15.6" x14ac:dyDescent="0.3">
      <c r="A2570" s="16">
        <v>45273</v>
      </c>
      <c r="B2570" s="10" t="s">
        <v>7</v>
      </c>
      <c r="C2570" s="10" t="s">
        <v>8</v>
      </c>
      <c r="D2570" s="10" t="s">
        <v>15</v>
      </c>
      <c r="E2570" s="4">
        <v>5</v>
      </c>
      <c r="F2570" s="4">
        <v>1415</v>
      </c>
      <c r="G2570" s="9">
        <v>358.39</v>
      </c>
    </row>
    <row r="2571" spans="1:7" ht="15.6" x14ac:dyDescent="0.3">
      <c r="A2571" s="16">
        <v>45057</v>
      </c>
      <c r="B2571" s="10" t="s">
        <v>22</v>
      </c>
      <c r="C2571" s="10" t="s">
        <v>11</v>
      </c>
      <c r="D2571" s="10" t="s">
        <v>15</v>
      </c>
      <c r="E2571" s="4">
        <v>9</v>
      </c>
      <c r="F2571" s="4">
        <v>1125</v>
      </c>
      <c r="G2571" s="9">
        <v>138.49</v>
      </c>
    </row>
    <row r="2572" spans="1:7" ht="15.6" x14ac:dyDescent="0.3">
      <c r="A2572" s="16">
        <v>45180</v>
      </c>
      <c r="B2572" s="10" t="s">
        <v>17</v>
      </c>
      <c r="C2572" s="10" t="s">
        <v>14</v>
      </c>
      <c r="D2572" s="10" t="s">
        <v>15</v>
      </c>
      <c r="E2572" s="4">
        <v>3</v>
      </c>
      <c r="F2572" s="4">
        <v>3399</v>
      </c>
      <c r="G2572" s="9">
        <v>489.36</v>
      </c>
    </row>
    <row r="2573" spans="1:7" ht="15.6" x14ac:dyDescent="0.3">
      <c r="A2573" s="16">
        <v>44623</v>
      </c>
      <c r="B2573" s="10" t="s">
        <v>20</v>
      </c>
      <c r="C2573" s="10" t="s">
        <v>11</v>
      </c>
      <c r="D2573" s="10" t="s">
        <v>12</v>
      </c>
      <c r="E2573" s="4">
        <v>6</v>
      </c>
      <c r="F2573" s="4">
        <v>5370</v>
      </c>
      <c r="G2573" s="9">
        <v>1501.06</v>
      </c>
    </row>
    <row r="2574" spans="1:7" ht="15.6" x14ac:dyDescent="0.3">
      <c r="A2574" s="16">
        <v>45381</v>
      </c>
      <c r="B2574" s="10" t="s">
        <v>22</v>
      </c>
      <c r="C2574" s="10" t="s">
        <v>11</v>
      </c>
      <c r="D2574" s="10" t="s">
        <v>16</v>
      </c>
      <c r="E2574" s="4">
        <v>3</v>
      </c>
      <c r="F2574" s="4">
        <v>2331</v>
      </c>
      <c r="G2574" s="9">
        <v>419.26</v>
      </c>
    </row>
    <row r="2575" spans="1:7" ht="15.6" x14ac:dyDescent="0.3">
      <c r="A2575" s="16">
        <v>44739</v>
      </c>
      <c r="B2575" s="10" t="s">
        <v>23</v>
      </c>
      <c r="C2575" s="10" t="s">
        <v>14</v>
      </c>
      <c r="D2575" s="10" t="s">
        <v>12</v>
      </c>
      <c r="E2575" s="4">
        <v>9</v>
      </c>
      <c r="F2575" s="4">
        <v>10728</v>
      </c>
      <c r="G2575" s="9">
        <v>1967.84</v>
      </c>
    </row>
    <row r="2576" spans="1:7" ht="15.6" x14ac:dyDescent="0.3">
      <c r="A2576" s="16">
        <v>44987</v>
      </c>
      <c r="B2576" s="10" t="s">
        <v>20</v>
      </c>
      <c r="C2576" s="10" t="s">
        <v>11</v>
      </c>
      <c r="D2576" s="10" t="s">
        <v>16</v>
      </c>
      <c r="E2576" s="4">
        <v>8</v>
      </c>
      <c r="F2576" s="4">
        <v>9056</v>
      </c>
      <c r="G2576" s="9">
        <v>1860.37</v>
      </c>
    </row>
    <row r="2577" spans="1:7" ht="15.6" x14ac:dyDescent="0.3">
      <c r="A2577" s="16">
        <v>45600</v>
      </c>
      <c r="B2577" s="10" t="s">
        <v>20</v>
      </c>
      <c r="C2577" s="10" t="s">
        <v>11</v>
      </c>
      <c r="D2577" s="10" t="s">
        <v>16</v>
      </c>
      <c r="E2577" s="4">
        <v>9</v>
      </c>
      <c r="F2577" s="4">
        <v>4581</v>
      </c>
      <c r="G2577" s="9">
        <v>250.06</v>
      </c>
    </row>
    <row r="2578" spans="1:7" ht="15.6" x14ac:dyDescent="0.3">
      <c r="A2578" s="16">
        <v>45566</v>
      </c>
      <c r="B2578" s="10" t="s">
        <v>17</v>
      </c>
      <c r="C2578" s="10" t="s">
        <v>14</v>
      </c>
      <c r="D2578" s="10" t="s">
        <v>9</v>
      </c>
      <c r="E2578" s="4">
        <v>3</v>
      </c>
      <c r="F2578" s="4">
        <v>1074</v>
      </c>
      <c r="G2578" s="9">
        <v>240.44</v>
      </c>
    </row>
    <row r="2579" spans="1:7" ht="15.6" x14ac:dyDescent="0.3">
      <c r="A2579" s="16">
        <v>45094</v>
      </c>
      <c r="B2579" s="10" t="s">
        <v>13</v>
      </c>
      <c r="C2579" s="10" t="s">
        <v>14</v>
      </c>
      <c r="D2579" s="10" t="s">
        <v>16</v>
      </c>
      <c r="E2579" s="4">
        <v>4</v>
      </c>
      <c r="F2579" s="4">
        <v>4572</v>
      </c>
      <c r="G2579" s="9">
        <v>1199.49</v>
      </c>
    </row>
    <row r="2580" spans="1:7" ht="15.6" x14ac:dyDescent="0.3">
      <c r="A2580" s="16">
        <v>45250</v>
      </c>
      <c r="B2580" s="10" t="s">
        <v>23</v>
      </c>
      <c r="C2580" s="10" t="s">
        <v>14</v>
      </c>
      <c r="D2580" s="10" t="s">
        <v>15</v>
      </c>
      <c r="E2580" s="4">
        <v>7</v>
      </c>
      <c r="F2580" s="4">
        <v>8141</v>
      </c>
      <c r="G2580" s="9">
        <v>651.16</v>
      </c>
    </row>
    <row r="2581" spans="1:7" ht="15.6" x14ac:dyDescent="0.3">
      <c r="A2581" s="16">
        <v>45254</v>
      </c>
      <c r="B2581" s="10" t="s">
        <v>7</v>
      </c>
      <c r="C2581" s="10" t="s">
        <v>8</v>
      </c>
      <c r="D2581" s="10" t="s">
        <v>16</v>
      </c>
      <c r="E2581" s="4">
        <v>4</v>
      </c>
      <c r="F2581" s="4">
        <v>604</v>
      </c>
      <c r="G2581" s="9">
        <v>180.93</v>
      </c>
    </row>
    <row r="2582" spans="1:7" ht="15.6" x14ac:dyDescent="0.3">
      <c r="A2582" s="16">
        <v>45416</v>
      </c>
      <c r="B2582" s="10" t="s">
        <v>10</v>
      </c>
      <c r="C2582" s="10" t="s">
        <v>11</v>
      </c>
      <c r="D2582" s="10" t="s">
        <v>15</v>
      </c>
      <c r="E2582" s="4">
        <v>2</v>
      </c>
      <c r="F2582" s="4">
        <v>906</v>
      </c>
      <c r="G2582" s="9">
        <v>59.06</v>
      </c>
    </row>
    <row r="2583" spans="1:7" ht="15.6" x14ac:dyDescent="0.3">
      <c r="A2583" s="16">
        <v>45038</v>
      </c>
      <c r="B2583" s="10" t="s">
        <v>18</v>
      </c>
      <c r="C2583" s="10" t="s">
        <v>11</v>
      </c>
      <c r="D2583" s="10" t="s">
        <v>15</v>
      </c>
      <c r="E2583" s="4">
        <v>7</v>
      </c>
      <c r="F2583" s="4">
        <v>1582</v>
      </c>
      <c r="G2583" s="9">
        <v>278.14</v>
      </c>
    </row>
    <row r="2584" spans="1:7" ht="15.6" x14ac:dyDescent="0.3">
      <c r="A2584" s="16">
        <v>45322</v>
      </c>
      <c r="B2584" s="10" t="s">
        <v>10</v>
      </c>
      <c r="C2584" s="10" t="s">
        <v>11</v>
      </c>
      <c r="D2584" s="10" t="s">
        <v>16</v>
      </c>
      <c r="E2584" s="4">
        <v>6</v>
      </c>
      <c r="F2584" s="4">
        <v>3306</v>
      </c>
      <c r="G2584" s="9">
        <v>216.91</v>
      </c>
    </row>
    <row r="2585" spans="1:7" ht="15.6" x14ac:dyDescent="0.3">
      <c r="A2585" s="16">
        <v>45284</v>
      </c>
      <c r="B2585" s="10" t="s">
        <v>18</v>
      </c>
      <c r="C2585" s="10" t="s">
        <v>11</v>
      </c>
      <c r="D2585" s="10" t="s">
        <v>16</v>
      </c>
      <c r="E2585" s="4">
        <v>1</v>
      </c>
      <c r="F2585" s="4">
        <v>847</v>
      </c>
      <c r="G2585" s="9">
        <v>237.41</v>
      </c>
    </row>
    <row r="2586" spans="1:7" ht="15.6" x14ac:dyDescent="0.3">
      <c r="A2586" s="16">
        <v>44874</v>
      </c>
      <c r="B2586" s="10" t="s">
        <v>7</v>
      </c>
      <c r="C2586" s="10" t="s">
        <v>8</v>
      </c>
      <c r="D2586" s="10" t="s">
        <v>12</v>
      </c>
      <c r="E2586" s="4">
        <v>6</v>
      </c>
      <c r="F2586" s="4">
        <v>3222</v>
      </c>
      <c r="G2586" s="9">
        <v>846.27</v>
      </c>
    </row>
    <row r="2587" spans="1:7" ht="15.6" x14ac:dyDescent="0.3">
      <c r="A2587" s="16">
        <v>45599</v>
      </c>
      <c r="B2587" s="10" t="s">
        <v>22</v>
      </c>
      <c r="C2587" s="10" t="s">
        <v>11</v>
      </c>
      <c r="D2587" s="10" t="s">
        <v>12</v>
      </c>
      <c r="E2587" s="4">
        <v>3</v>
      </c>
      <c r="F2587" s="4">
        <v>189</v>
      </c>
      <c r="G2587" s="9">
        <v>33.94</v>
      </c>
    </row>
    <row r="2588" spans="1:7" ht="15.6" x14ac:dyDescent="0.3">
      <c r="A2588" s="16">
        <v>45150</v>
      </c>
      <c r="B2588" s="10" t="s">
        <v>23</v>
      </c>
      <c r="C2588" s="10" t="s">
        <v>14</v>
      </c>
      <c r="D2588" s="10" t="s">
        <v>15</v>
      </c>
      <c r="E2588" s="4">
        <v>4</v>
      </c>
      <c r="F2588" s="4">
        <v>1224</v>
      </c>
      <c r="G2588" s="9">
        <v>348.91</v>
      </c>
    </row>
    <row r="2589" spans="1:7" ht="15.6" x14ac:dyDescent="0.3">
      <c r="A2589" s="16">
        <v>44965</v>
      </c>
      <c r="B2589" s="10" t="s">
        <v>17</v>
      </c>
      <c r="C2589" s="10" t="s">
        <v>14</v>
      </c>
      <c r="D2589" s="10" t="s">
        <v>15</v>
      </c>
      <c r="E2589" s="4">
        <v>7</v>
      </c>
      <c r="F2589" s="4">
        <v>5621</v>
      </c>
      <c r="G2589" s="9">
        <v>1390.73</v>
      </c>
    </row>
    <row r="2590" spans="1:7" ht="15.6" x14ac:dyDescent="0.3">
      <c r="A2590" s="16">
        <v>45307</v>
      </c>
      <c r="B2590" s="10" t="s">
        <v>13</v>
      </c>
      <c r="C2590" s="10" t="s">
        <v>14</v>
      </c>
      <c r="D2590" s="10" t="s">
        <v>16</v>
      </c>
      <c r="E2590" s="4">
        <v>6</v>
      </c>
      <c r="F2590" s="4">
        <v>966</v>
      </c>
      <c r="G2590" s="9">
        <v>246.21</v>
      </c>
    </row>
    <row r="2591" spans="1:7" ht="15.6" x14ac:dyDescent="0.3">
      <c r="A2591" s="16">
        <v>45140</v>
      </c>
      <c r="B2591" s="10" t="s">
        <v>13</v>
      </c>
      <c r="C2591" s="10" t="s">
        <v>14</v>
      </c>
      <c r="D2591" s="10" t="s">
        <v>16</v>
      </c>
      <c r="E2591" s="4">
        <v>9</v>
      </c>
      <c r="F2591" s="4">
        <v>1728</v>
      </c>
      <c r="G2591" s="9">
        <v>179.64</v>
      </c>
    </row>
    <row r="2592" spans="1:7" ht="15.6" x14ac:dyDescent="0.3">
      <c r="A2592" s="16">
        <v>45304</v>
      </c>
      <c r="B2592" s="10" t="s">
        <v>10</v>
      </c>
      <c r="C2592" s="10" t="s">
        <v>11</v>
      </c>
      <c r="D2592" s="10" t="s">
        <v>16</v>
      </c>
      <c r="E2592" s="4">
        <v>9</v>
      </c>
      <c r="F2592" s="4">
        <v>6138</v>
      </c>
      <c r="G2592" s="9">
        <v>1478.57</v>
      </c>
    </row>
    <row r="2593" spans="1:7" ht="15.6" x14ac:dyDescent="0.3">
      <c r="A2593" s="16">
        <v>45616</v>
      </c>
      <c r="B2593" s="10" t="s">
        <v>20</v>
      </c>
      <c r="C2593" s="10" t="s">
        <v>11</v>
      </c>
      <c r="D2593" s="10" t="s">
        <v>15</v>
      </c>
      <c r="E2593" s="4">
        <v>4</v>
      </c>
      <c r="F2593" s="4">
        <v>964</v>
      </c>
      <c r="G2593" s="9">
        <v>184.03</v>
      </c>
    </row>
    <row r="2594" spans="1:7" ht="15.6" x14ac:dyDescent="0.3">
      <c r="A2594" s="16">
        <v>45212</v>
      </c>
      <c r="B2594" s="10" t="s">
        <v>21</v>
      </c>
      <c r="C2594" s="10" t="s">
        <v>14</v>
      </c>
      <c r="D2594" s="10" t="s">
        <v>15</v>
      </c>
      <c r="E2594" s="4">
        <v>7</v>
      </c>
      <c r="F2594" s="4">
        <v>4697</v>
      </c>
      <c r="G2594" s="9">
        <v>976.26</v>
      </c>
    </row>
    <row r="2595" spans="1:7" ht="15.6" x14ac:dyDescent="0.3">
      <c r="A2595" s="16">
        <v>44690</v>
      </c>
      <c r="B2595" s="10" t="s">
        <v>21</v>
      </c>
      <c r="C2595" s="10" t="s">
        <v>14</v>
      </c>
      <c r="D2595" s="10" t="s">
        <v>16</v>
      </c>
      <c r="E2595" s="4">
        <v>2</v>
      </c>
      <c r="F2595" s="4">
        <v>1232</v>
      </c>
      <c r="G2595" s="9">
        <v>155.52000000000001</v>
      </c>
    </row>
    <row r="2596" spans="1:7" ht="15.6" x14ac:dyDescent="0.3">
      <c r="A2596" s="16">
        <v>44916</v>
      </c>
      <c r="B2596" s="10" t="s">
        <v>20</v>
      </c>
      <c r="C2596" s="10" t="s">
        <v>11</v>
      </c>
      <c r="D2596" s="10" t="s">
        <v>16</v>
      </c>
      <c r="E2596" s="4">
        <v>7</v>
      </c>
      <c r="F2596" s="4">
        <v>6384</v>
      </c>
      <c r="G2596" s="9">
        <v>734.79</v>
      </c>
    </row>
    <row r="2597" spans="1:7" ht="15.6" x14ac:dyDescent="0.3">
      <c r="A2597" s="16">
        <v>45618</v>
      </c>
      <c r="B2597" s="10" t="s">
        <v>10</v>
      </c>
      <c r="C2597" s="10" t="s">
        <v>11</v>
      </c>
      <c r="D2597" s="10" t="s">
        <v>16</v>
      </c>
      <c r="E2597" s="4">
        <v>4</v>
      </c>
      <c r="F2597" s="4">
        <v>780</v>
      </c>
      <c r="G2597" s="9">
        <v>162.72</v>
      </c>
    </row>
    <row r="2598" spans="1:7" ht="15.6" x14ac:dyDescent="0.3">
      <c r="A2598" s="16">
        <v>44953</v>
      </c>
      <c r="B2598" s="10" t="s">
        <v>7</v>
      </c>
      <c r="C2598" s="10" t="s">
        <v>8</v>
      </c>
      <c r="D2598" s="10" t="s">
        <v>16</v>
      </c>
      <c r="E2598" s="4">
        <v>4</v>
      </c>
      <c r="F2598" s="4">
        <v>1256</v>
      </c>
      <c r="G2598" s="9">
        <v>362.22</v>
      </c>
    </row>
    <row r="2599" spans="1:7" ht="15.6" x14ac:dyDescent="0.3">
      <c r="A2599" s="16">
        <v>44689</v>
      </c>
      <c r="B2599" s="10" t="s">
        <v>10</v>
      </c>
      <c r="C2599" s="10" t="s">
        <v>11</v>
      </c>
      <c r="D2599" s="10" t="s">
        <v>15</v>
      </c>
      <c r="E2599" s="4">
        <v>1</v>
      </c>
      <c r="F2599" s="4">
        <v>1162</v>
      </c>
      <c r="G2599" s="9">
        <v>220.93</v>
      </c>
    </row>
    <row r="2600" spans="1:7" ht="15.6" x14ac:dyDescent="0.3">
      <c r="A2600" s="16">
        <v>44967</v>
      </c>
      <c r="B2600" s="10" t="s">
        <v>10</v>
      </c>
      <c r="C2600" s="10" t="s">
        <v>11</v>
      </c>
      <c r="D2600" s="10" t="s">
        <v>15</v>
      </c>
      <c r="E2600" s="4">
        <v>8</v>
      </c>
      <c r="F2600" s="4">
        <v>7520</v>
      </c>
      <c r="G2600" s="9">
        <v>995.03</v>
      </c>
    </row>
    <row r="2601" spans="1:7" ht="15.6" x14ac:dyDescent="0.3">
      <c r="A2601" s="16">
        <v>45377</v>
      </c>
      <c r="B2601" s="10" t="s">
        <v>18</v>
      </c>
      <c r="C2601" s="10" t="s">
        <v>11</v>
      </c>
      <c r="D2601" s="10" t="s">
        <v>15</v>
      </c>
      <c r="E2601" s="4">
        <v>7</v>
      </c>
      <c r="F2601" s="4">
        <v>2387</v>
      </c>
      <c r="G2601" s="9">
        <v>463.92</v>
      </c>
    </row>
    <row r="2602" spans="1:7" ht="15.6" x14ac:dyDescent="0.3">
      <c r="A2602" s="16">
        <v>45219</v>
      </c>
      <c r="B2602" s="10" t="s">
        <v>22</v>
      </c>
      <c r="C2602" s="10" t="s">
        <v>11</v>
      </c>
      <c r="D2602" s="10" t="s">
        <v>12</v>
      </c>
      <c r="E2602" s="4">
        <v>8</v>
      </c>
      <c r="F2602" s="4">
        <v>2256</v>
      </c>
      <c r="G2602" s="9">
        <v>316.77</v>
      </c>
    </row>
    <row r="2603" spans="1:7" ht="15.6" x14ac:dyDescent="0.3">
      <c r="A2603" s="16">
        <v>45449</v>
      </c>
      <c r="B2603" s="10" t="s">
        <v>20</v>
      </c>
      <c r="C2603" s="10" t="s">
        <v>11</v>
      </c>
      <c r="D2603" s="10" t="s">
        <v>9</v>
      </c>
      <c r="E2603" s="4">
        <v>8</v>
      </c>
      <c r="F2603" s="4">
        <v>7792</v>
      </c>
      <c r="G2603" s="9">
        <v>913.12</v>
      </c>
    </row>
    <row r="2604" spans="1:7" ht="15.6" x14ac:dyDescent="0.3">
      <c r="A2604" s="16">
        <v>45070</v>
      </c>
      <c r="B2604" s="10" t="s">
        <v>23</v>
      </c>
      <c r="C2604" s="10" t="s">
        <v>14</v>
      </c>
      <c r="D2604" s="10" t="s">
        <v>12</v>
      </c>
      <c r="E2604" s="4">
        <v>8</v>
      </c>
      <c r="F2604" s="4">
        <v>3944</v>
      </c>
      <c r="G2604" s="9">
        <v>296.35000000000002</v>
      </c>
    </row>
    <row r="2605" spans="1:7" ht="15.6" x14ac:dyDescent="0.3">
      <c r="A2605" s="16">
        <v>45277</v>
      </c>
      <c r="B2605" s="10" t="s">
        <v>21</v>
      </c>
      <c r="C2605" s="10" t="s">
        <v>14</v>
      </c>
      <c r="D2605" s="10" t="s">
        <v>15</v>
      </c>
      <c r="E2605" s="4">
        <v>2</v>
      </c>
      <c r="F2605" s="4">
        <v>822</v>
      </c>
      <c r="G2605" s="9">
        <v>183.45</v>
      </c>
    </row>
    <row r="2606" spans="1:7" ht="15.6" x14ac:dyDescent="0.3">
      <c r="A2606" s="16">
        <v>45463</v>
      </c>
      <c r="B2606" s="10" t="s">
        <v>18</v>
      </c>
      <c r="C2606" s="10" t="s">
        <v>11</v>
      </c>
      <c r="D2606" s="10" t="s">
        <v>9</v>
      </c>
      <c r="E2606" s="4">
        <v>3</v>
      </c>
      <c r="F2606" s="4">
        <v>1962</v>
      </c>
      <c r="G2606" s="9">
        <v>469.94</v>
      </c>
    </row>
    <row r="2607" spans="1:7" ht="15.6" x14ac:dyDescent="0.3">
      <c r="A2607" s="16">
        <v>44916</v>
      </c>
      <c r="B2607" s="10" t="s">
        <v>7</v>
      </c>
      <c r="C2607" s="10" t="s">
        <v>8</v>
      </c>
      <c r="D2607" s="10" t="s">
        <v>9</v>
      </c>
      <c r="E2607" s="4">
        <v>4</v>
      </c>
      <c r="F2607" s="4">
        <v>1016</v>
      </c>
      <c r="G2607" s="9">
        <v>269.88</v>
      </c>
    </row>
    <row r="2608" spans="1:7" ht="15.6" x14ac:dyDescent="0.3">
      <c r="A2608" s="16">
        <v>45097</v>
      </c>
      <c r="B2608" s="10" t="s">
        <v>13</v>
      </c>
      <c r="C2608" s="10" t="s">
        <v>14</v>
      </c>
      <c r="D2608" s="10" t="s">
        <v>9</v>
      </c>
      <c r="E2608" s="4">
        <v>2</v>
      </c>
      <c r="F2608" s="4">
        <v>1980</v>
      </c>
      <c r="G2608" s="9">
        <v>125.99</v>
      </c>
    </row>
    <row r="2609" spans="1:7" ht="15.6" x14ac:dyDescent="0.3">
      <c r="A2609" s="16">
        <v>45634</v>
      </c>
      <c r="B2609" s="10" t="s">
        <v>18</v>
      </c>
      <c r="C2609" s="10" t="s">
        <v>11</v>
      </c>
      <c r="D2609" s="10" t="s">
        <v>16</v>
      </c>
      <c r="E2609" s="4">
        <v>4</v>
      </c>
      <c r="F2609" s="4">
        <v>3996</v>
      </c>
      <c r="G2609" s="9">
        <v>965.26</v>
      </c>
    </row>
    <row r="2610" spans="1:7" ht="15.6" x14ac:dyDescent="0.3">
      <c r="A2610" s="16">
        <v>44760</v>
      </c>
      <c r="B2610" s="10" t="s">
        <v>19</v>
      </c>
      <c r="C2610" s="10" t="s">
        <v>14</v>
      </c>
      <c r="D2610" s="10" t="s">
        <v>9</v>
      </c>
      <c r="E2610" s="4">
        <v>1</v>
      </c>
      <c r="F2610" s="4">
        <v>663</v>
      </c>
      <c r="G2610" s="9">
        <v>183.82</v>
      </c>
    </row>
    <row r="2611" spans="1:7" ht="15.6" x14ac:dyDescent="0.3">
      <c r="A2611" s="16">
        <v>45204</v>
      </c>
      <c r="B2611" s="10" t="s">
        <v>23</v>
      </c>
      <c r="C2611" s="10" t="s">
        <v>14</v>
      </c>
      <c r="D2611" s="10" t="s">
        <v>15</v>
      </c>
      <c r="E2611" s="4">
        <v>1</v>
      </c>
      <c r="F2611" s="4">
        <v>575</v>
      </c>
      <c r="G2611" s="9">
        <v>104.31</v>
      </c>
    </row>
    <row r="2612" spans="1:7" ht="15.6" x14ac:dyDescent="0.3">
      <c r="A2612" s="16">
        <v>45173</v>
      </c>
      <c r="B2612" s="10" t="s">
        <v>13</v>
      </c>
      <c r="C2612" s="10" t="s">
        <v>14</v>
      </c>
      <c r="D2612" s="10" t="s">
        <v>15</v>
      </c>
      <c r="E2612" s="4">
        <v>1</v>
      </c>
      <c r="F2612" s="4">
        <v>187</v>
      </c>
      <c r="G2612" s="9">
        <v>33.76</v>
      </c>
    </row>
    <row r="2613" spans="1:7" ht="15.6" x14ac:dyDescent="0.3">
      <c r="A2613" s="16">
        <v>45139</v>
      </c>
      <c r="B2613" s="10" t="s">
        <v>13</v>
      </c>
      <c r="C2613" s="10" t="s">
        <v>14</v>
      </c>
      <c r="D2613" s="10" t="s">
        <v>12</v>
      </c>
      <c r="E2613" s="4">
        <v>7</v>
      </c>
      <c r="F2613" s="4">
        <v>6216</v>
      </c>
      <c r="G2613" s="9">
        <v>378.24</v>
      </c>
    </row>
    <row r="2614" spans="1:7" ht="15.6" x14ac:dyDescent="0.3">
      <c r="A2614" s="16">
        <v>44625</v>
      </c>
      <c r="B2614" s="10" t="s">
        <v>17</v>
      </c>
      <c r="C2614" s="10" t="s">
        <v>14</v>
      </c>
      <c r="D2614" s="10" t="s">
        <v>15</v>
      </c>
      <c r="E2614" s="4">
        <v>1</v>
      </c>
      <c r="F2614" s="4">
        <v>189</v>
      </c>
      <c r="G2614" s="9">
        <v>19.02</v>
      </c>
    </row>
    <row r="2615" spans="1:7" ht="15.6" x14ac:dyDescent="0.3">
      <c r="A2615" s="16">
        <v>44786</v>
      </c>
      <c r="B2615" s="10" t="s">
        <v>13</v>
      </c>
      <c r="C2615" s="10" t="s">
        <v>14</v>
      </c>
      <c r="D2615" s="10" t="s">
        <v>15</v>
      </c>
      <c r="E2615" s="4">
        <v>2</v>
      </c>
      <c r="F2615" s="4">
        <v>358</v>
      </c>
      <c r="G2615" s="9">
        <v>41.46</v>
      </c>
    </row>
    <row r="2616" spans="1:7" ht="15.6" x14ac:dyDescent="0.3">
      <c r="A2616" s="16">
        <v>44668</v>
      </c>
      <c r="B2616" s="10" t="s">
        <v>22</v>
      </c>
      <c r="C2616" s="10" t="s">
        <v>11</v>
      </c>
      <c r="D2616" s="10" t="s">
        <v>9</v>
      </c>
      <c r="E2616" s="4">
        <v>6</v>
      </c>
      <c r="F2616" s="4">
        <v>6192</v>
      </c>
      <c r="G2616" s="9">
        <v>316.23</v>
      </c>
    </row>
    <row r="2617" spans="1:7" ht="15.6" x14ac:dyDescent="0.3">
      <c r="A2617" s="16">
        <v>45071</v>
      </c>
      <c r="B2617" s="10" t="s">
        <v>13</v>
      </c>
      <c r="C2617" s="10" t="s">
        <v>14</v>
      </c>
      <c r="D2617" s="10" t="s">
        <v>12</v>
      </c>
      <c r="E2617" s="4">
        <v>7</v>
      </c>
      <c r="F2617" s="4">
        <v>4382</v>
      </c>
      <c r="G2617" s="9">
        <v>592.46</v>
      </c>
    </row>
    <row r="2618" spans="1:7" ht="15.6" x14ac:dyDescent="0.3">
      <c r="A2618" s="16">
        <v>45585</v>
      </c>
      <c r="B2618" s="10" t="s">
        <v>22</v>
      </c>
      <c r="C2618" s="10" t="s">
        <v>11</v>
      </c>
      <c r="D2618" s="10" t="s">
        <v>12</v>
      </c>
      <c r="E2618" s="4">
        <v>2</v>
      </c>
      <c r="F2618" s="4">
        <v>1122</v>
      </c>
      <c r="G2618" s="9">
        <v>100.78</v>
      </c>
    </row>
    <row r="2619" spans="1:7" ht="15.6" x14ac:dyDescent="0.3">
      <c r="A2619" s="16">
        <v>44733</v>
      </c>
      <c r="B2619" s="10" t="s">
        <v>23</v>
      </c>
      <c r="C2619" s="10" t="s">
        <v>14</v>
      </c>
      <c r="D2619" s="10" t="s">
        <v>9</v>
      </c>
      <c r="E2619" s="4">
        <v>8</v>
      </c>
      <c r="F2619" s="4">
        <v>8192</v>
      </c>
      <c r="G2619" s="9">
        <v>2081.7199999999998</v>
      </c>
    </row>
    <row r="2620" spans="1:7" ht="15.6" x14ac:dyDescent="0.3">
      <c r="A2620" s="16">
        <v>44795</v>
      </c>
      <c r="B2620" s="10" t="s">
        <v>23</v>
      </c>
      <c r="C2620" s="10" t="s">
        <v>14</v>
      </c>
      <c r="D2620" s="10" t="s">
        <v>15</v>
      </c>
      <c r="E2620" s="4">
        <v>6</v>
      </c>
      <c r="F2620" s="4">
        <v>2658</v>
      </c>
      <c r="G2620" s="9">
        <v>200.79</v>
      </c>
    </row>
    <row r="2621" spans="1:7" ht="15.6" x14ac:dyDescent="0.3">
      <c r="A2621" s="16">
        <v>45002</v>
      </c>
      <c r="B2621" s="10" t="s">
        <v>13</v>
      </c>
      <c r="C2621" s="10" t="s">
        <v>14</v>
      </c>
      <c r="D2621" s="10" t="s">
        <v>16</v>
      </c>
      <c r="E2621" s="4">
        <v>6</v>
      </c>
      <c r="F2621" s="4">
        <v>606</v>
      </c>
      <c r="G2621" s="9">
        <v>127.68</v>
      </c>
    </row>
    <row r="2622" spans="1:7" ht="15.6" x14ac:dyDescent="0.3">
      <c r="A2622" s="16">
        <v>45598</v>
      </c>
      <c r="B2622" s="10" t="s">
        <v>20</v>
      </c>
      <c r="C2622" s="10" t="s">
        <v>11</v>
      </c>
      <c r="D2622" s="10" t="s">
        <v>15</v>
      </c>
      <c r="E2622" s="4">
        <v>8</v>
      </c>
      <c r="F2622" s="4">
        <v>448</v>
      </c>
      <c r="G2622" s="9">
        <v>45.43</v>
      </c>
    </row>
    <row r="2623" spans="1:7" ht="15.6" x14ac:dyDescent="0.3">
      <c r="A2623" s="16">
        <v>44943</v>
      </c>
      <c r="B2623" s="10" t="s">
        <v>7</v>
      </c>
      <c r="C2623" s="10" t="s">
        <v>8</v>
      </c>
      <c r="D2623" s="10" t="s">
        <v>9</v>
      </c>
      <c r="E2623" s="4">
        <v>3</v>
      </c>
      <c r="F2623" s="4">
        <v>1674</v>
      </c>
      <c r="G2623" s="9">
        <v>435.95</v>
      </c>
    </row>
    <row r="2624" spans="1:7" ht="15.6" x14ac:dyDescent="0.3">
      <c r="A2624" s="16">
        <v>44605</v>
      </c>
      <c r="B2624" s="10" t="s">
        <v>13</v>
      </c>
      <c r="C2624" s="10" t="s">
        <v>14</v>
      </c>
      <c r="D2624" s="10" t="s">
        <v>15</v>
      </c>
      <c r="E2624" s="4">
        <v>6</v>
      </c>
      <c r="F2624" s="4">
        <v>1944</v>
      </c>
      <c r="G2624" s="9">
        <v>366.18</v>
      </c>
    </row>
    <row r="2625" spans="1:7" ht="15.6" x14ac:dyDescent="0.3">
      <c r="A2625" s="16">
        <v>44599</v>
      </c>
      <c r="B2625" s="10" t="s">
        <v>20</v>
      </c>
      <c r="C2625" s="10" t="s">
        <v>11</v>
      </c>
      <c r="D2625" s="10" t="s">
        <v>15</v>
      </c>
      <c r="E2625" s="4">
        <v>6</v>
      </c>
      <c r="F2625" s="4">
        <v>1716</v>
      </c>
      <c r="G2625" s="9">
        <v>302.08999999999997</v>
      </c>
    </row>
    <row r="2626" spans="1:7" ht="15.6" x14ac:dyDescent="0.3">
      <c r="A2626" s="16">
        <v>44686</v>
      </c>
      <c r="B2626" s="10" t="s">
        <v>17</v>
      </c>
      <c r="C2626" s="10" t="s">
        <v>14</v>
      </c>
      <c r="D2626" s="10" t="s">
        <v>15</v>
      </c>
      <c r="E2626" s="4">
        <v>6</v>
      </c>
      <c r="F2626" s="4">
        <v>2982</v>
      </c>
      <c r="G2626" s="9">
        <v>445.01</v>
      </c>
    </row>
    <row r="2627" spans="1:7" ht="15.6" x14ac:dyDescent="0.3">
      <c r="A2627" s="16">
        <v>44787</v>
      </c>
      <c r="B2627" s="10" t="s">
        <v>23</v>
      </c>
      <c r="C2627" s="10" t="s">
        <v>14</v>
      </c>
      <c r="D2627" s="10" t="s">
        <v>9</v>
      </c>
      <c r="E2627" s="4">
        <v>9</v>
      </c>
      <c r="F2627" s="4">
        <v>7497</v>
      </c>
      <c r="G2627" s="9">
        <v>2241.59</v>
      </c>
    </row>
    <row r="2628" spans="1:7" ht="15.6" x14ac:dyDescent="0.3">
      <c r="A2628" s="16">
        <v>45317</v>
      </c>
      <c r="B2628" s="10" t="s">
        <v>18</v>
      </c>
      <c r="C2628" s="10" t="s">
        <v>11</v>
      </c>
      <c r="D2628" s="10" t="s">
        <v>15</v>
      </c>
      <c r="E2628" s="4">
        <v>3</v>
      </c>
      <c r="F2628" s="4">
        <v>1026</v>
      </c>
      <c r="G2628" s="9">
        <v>142.71</v>
      </c>
    </row>
    <row r="2629" spans="1:7" ht="15.6" x14ac:dyDescent="0.3">
      <c r="A2629" s="16">
        <v>45637</v>
      </c>
      <c r="B2629" s="10" t="s">
        <v>23</v>
      </c>
      <c r="C2629" s="10" t="s">
        <v>14</v>
      </c>
      <c r="D2629" s="10" t="s">
        <v>15</v>
      </c>
      <c r="E2629" s="4">
        <v>7</v>
      </c>
      <c r="F2629" s="4">
        <v>7392</v>
      </c>
      <c r="G2629" s="9">
        <v>2063.23</v>
      </c>
    </row>
    <row r="2630" spans="1:7" ht="15.6" x14ac:dyDescent="0.3">
      <c r="A2630" s="16">
        <v>45466</v>
      </c>
      <c r="B2630" s="10" t="s">
        <v>7</v>
      </c>
      <c r="C2630" s="10" t="s">
        <v>8</v>
      </c>
      <c r="D2630" s="10" t="s">
        <v>9</v>
      </c>
      <c r="E2630" s="4">
        <v>4</v>
      </c>
      <c r="F2630" s="4">
        <v>2604</v>
      </c>
      <c r="G2630" s="9">
        <v>271.22000000000003</v>
      </c>
    </row>
    <row r="2631" spans="1:7" ht="15.6" x14ac:dyDescent="0.3">
      <c r="A2631" s="16">
        <v>45253</v>
      </c>
      <c r="B2631" s="10" t="s">
        <v>19</v>
      </c>
      <c r="C2631" s="10" t="s">
        <v>14</v>
      </c>
      <c r="D2631" s="10" t="s">
        <v>9</v>
      </c>
      <c r="E2631" s="4">
        <v>6</v>
      </c>
      <c r="F2631" s="4">
        <v>1746</v>
      </c>
      <c r="G2631" s="9">
        <v>289.2</v>
      </c>
    </row>
    <row r="2632" spans="1:7" ht="15.6" x14ac:dyDescent="0.3">
      <c r="A2632" s="16">
        <v>45345</v>
      </c>
      <c r="B2632" s="10" t="s">
        <v>18</v>
      </c>
      <c r="C2632" s="10" t="s">
        <v>11</v>
      </c>
      <c r="D2632" s="10" t="s">
        <v>16</v>
      </c>
      <c r="E2632" s="4">
        <v>6</v>
      </c>
      <c r="F2632" s="4">
        <v>5682</v>
      </c>
      <c r="G2632" s="9">
        <v>1365.87</v>
      </c>
    </row>
    <row r="2633" spans="1:7" ht="15.6" x14ac:dyDescent="0.3">
      <c r="A2633" s="16">
        <v>45467</v>
      </c>
      <c r="B2633" s="10" t="s">
        <v>10</v>
      </c>
      <c r="C2633" s="10" t="s">
        <v>11</v>
      </c>
      <c r="D2633" s="10" t="s">
        <v>9</v>
      </c>
      <c r="E2633" s="4">
        <v>8</v>
      </c>
      <c r="F2633" s="4">
        <v>8664</v>
      </c>
      <c r="G2633" s="9">
        <v>2131.16</v>
      </c>
    </row>
    <row r="2634" spans="1:7" ht="15.6" x14ac:dyDescent="0.3">
      <c r="A2634" s="16">
        <v>45115</v>
      </c>
      <c r="B2634" s="10" t="s">
        <v>13</v>
      </c>
      <c r="C2634" s="10" t="s">
        <v>14</v>
      </c>
      <c r="D2634" s="10" t="s">
        <v>16</v>
      </c>
      <c r="E2634" s="4">
        <v>3</v>
      </c>
      <c r="F2634" s="4">
        <v>1887</v>
      </c>
      <c r="G2634" s="9">
        <v>363.42</v>
      </c>
    </row>
    <row r="2635" spans="1:7" ht="15.6" x14ac:dyDescent="0.3">
      <c r="A2635" s="16">
        <v>45594</v>
      </c>
      <c r="B2635" s="10" t="s">
        <v>21</v>
      </c>
      <c r="C2635" s="10" t="s">
        <v>14</v>
      </c>
      <c r="D2635" s="10" t="s">
        <v>12</v>
      </c>
      <c r="E2635" s="4">
        <v>7</v>
      </c>
      <c r="F2635" s="4">
        <v>6013</v>
      </c>
      <c r="G2635" s="9">
        <v>1544.51</v>
      </c>
    </row>
    <row r="2636" spans="1:7" ht="15.6" x14ac:dyDescent="0.3">
      <c r="A2636" s="16">
        <v>45296</v>
      </c>
      <c r="B2636" s="10" t="s">
        <v>19</v>
      </c>
      <c r="C2636" s="10" t="s">
        <v>14</v>
      </c>
      <c r="D2636" s="10" t="s">
        <v>9</v>
      </c>
      <c r="E2636" s="4">
        <v>2</v>
      </c>
      <c r="F2636" s="4">
        <v>1578</v>
      </c>
      <c r="G2636" s="9">
        <v>463.58</v>
      </c>
    </row>
    <row r="2637" spans="1:7" ht="15.6" x14ac:dyDescent="0.3">
      <c r="A2637" s="16">
        <v>44792</v>
      </c>
      <c r="B2637" s="10" t="s">
        <v>17</v>
      </c>
      <c r="C2637" s="10" t="s">
        <v>14</v>
      </c>
      <c r="D2637" s="10" t="s">
        <v>15</v>
      </c>
      <c r="E2637" s="4">
        <v>3</v>
      </c>
      <c r="F2637" s="4">
        <v>285</v>
      </c>
      <c r="G2637" s="9">
        <v>38.369999999999997</v>
      </c>
    </row>
    <row r="2638" spans="1:7" ht="15.6" x14ac:dyDescent="0.3">
      <c r="A2638" s="16">
        <v>44953</v>
      </c>
      <c r="B2638" s="10" t="s">
        <v>23</v>
      </c>
      <c r="C2638" s="10" t="s">
        <v>14</v>
      </c>
      <c r="D2638" s="10" t="s">
        <v>16</v>
      </c>
      <c r="E2638" s="4">
        <v>6</v>
      </c>
      <c r="F2638" s="4">
        <v>5448</v>
      </c>
      <c r="G2638" s="9">
        <v>963.82</v>
      </c>
    </row>
    <row r="2639" spans="1:7" ht="15.6" x14ac:dyDescent="0.3">
      <c r="A2639" s="16">
        <v>45513</v>
      </c>
      <c r="B2639" s="10" t="s">
        <v>7</v>
      </c>
      <c r="C2639" s="10" t="s">
        <v>8</v>
      </c>
      <c r="D2639" s="10" t="s">
        <v>12</v>
      </c>
      <c r="E2639" s="4">
        <v>2</v>
      </c>
      <c r="F2639" s="4">
        <v>1710</v>
      </c>
      <c r="G2639" s="9">
        <v>468.76</v>
      </c>
    </row>
    <row r="2640" spans="1:7" ht="15.6" x14ac:dyDescent="0.3">
      <c r="A2640" s="16">
        <v>44868</v>
      </c>
      <c r="B2640" s="10" t="s">
        <v>22</v>
      </c>
      <c r="C2640" s="10" t="s">
        <v>11</v>
      </c>
      <c r="D2640" s="10" t="s">
        <v>16</v>
      </c>
      <c r="E2640" s="4">
        <v>9</v>
      </c>
      <c r="F2640" s="4">
        <v>2817</v>
      </c>
      <c r="G2640" s="9">
        <v>432.67</v>
      </c>
    </row>
    <row r="2641" spans="1:7" ht="15.6" x14ac:dyDescent="0.3">
      <c r="A2641" s="16">
        <v>44660</v>
      </c>
      <c r="B2641" s="10" t="s">
        <v>21</v>
      </c>
      <c r="C2641" s="10" t="s">
        <v>14</v>
      </c>
      <c r="D2641" s="10" t="s">
        <v>12</v>
      </c>
      <c r="E2641" s="4">
        <v>9</v>
      </c>
      <c r="F2641" s="4">
        <v>9117</v>
      </c>
      <c r="G2641" s="9">
        <v>1780.52</v>
      </c>
    </row>
    <row r="2642" spans="1:7" ht="15.6" x14ac:dyDescent="0.3">
      <c r="A2642" s="16">
        <v>45147</v>
      </c>
      <c r="B2642" s="10" t="s">
        <v>19</v>
      </c>
      <c r="C2642" s="10" t="s">
        <v>14</v>
      </c>
      <c r="D2642" s="10" t="s">
        <v>15</v>
      </c>
      <c r="E2642" s="4">
        <v>2</v>
      </c>
      <c r="F2642" s="4">
        <v>274</v>
      </c>
      <c r="G2642" s="9">
        <v>42.37</v>
      </c>
    </row>
    <row r="2643" spans="1:7" ht="15.6" x14ac:dyDescent="0.3">
      <c r="A2643" s="16">
        <v>45194</v>
      </c>
      <c r="B2643" s="10" t="s">
        <v>22</v>
      </c>
      <c r="C2643" s="10" t="s">
        <v>11</v>
      </c>
      <c r="D2643" s="10" t="s">
        <v>15</v>
      </c>
      <c r="E2643" s="4">
        <v>6</v>
      </c>
      <c r="F2643" s="4">
        <v>6408</v>
      </c>
      <c r="G2643" s="9">
        <v>885.71</v>
      </c>
    </row>
    <row r="2644" spans="1:7" ht="15.6" x14ac:dyDescent="0.3">
      <c r="A2644" s="16">
        <v>44697</v>
      </c>
      <c r="B2644" s="10" t="s">
        <v>22</v>
      </c>
      <c r="C2644" s="10" t="s">
        <v>11</v>
      </c>
      <c r="D2644" s="10" t="s">
        <v>16</v>
      </c>
      <c r="E2644" s="4">
        <v>5</v>
      </c>
      <c r="F2644" s="4">
        <v>5755</v>
      </c>
      <c r="G2644" s="9">
        <v>1441.84</v>
      </c>
    </row>
    <row r="2645" spans="1:7" ht="15.6" x14ac:dyDescent="0.3">
      <c r="A2645" s="16">
        <v>45636</v>
      </c>
      <c r="B2645" s="10" t="s">
        <v>13</v>
      </c>
      <c r="C2645" s="10" t="s">
        <v>14</v>
      </c>
      <c r="D2645" s="10" t="s">
        <v>16</v>
      </c>
      <c r="E2645" s="4">
        <v>3</v>
      </c>
      <c r="F2645" s="4">
        <v>2262</v>
      </c>
      <c r="G2645" s="9">
        <v>245.66</v>
      </c>
    </row>
    <row r="2646" spans="1:7" ht="15.6" x14ac:dyDescent="0.3">
      <c r="A2646" s="16">
        <v>45442</v>
      </c>
      <c r="B2646" s="10" t="s">
        <v>18</v>
      </c>
      <c r="C2646" s="10" t="s">
        <v>11</v>
      </c>
      <c r="D2646" s="10" t="s">
        <v>12</v>
      </c>
      <c r="E2646" s="4">
        <v>7</v>
      </c>
      <c r="F2646" s="4">
        <v>1785</v>
      </c>
      <c r="G2646" s="9">
        <v>233.77</v>
      </c>
    </row>
    <row r="2647" spans="1:7" ht="15.6" x14ac:dyDescent="0.3">
      <c r="A2647" s="16">
        <v>45083</v>
      </c>
      <c r="B2647" s="10" t="s">
        <v>7</v>
      </c>
      <c r="C2647" s="10" t="s">
        <v>8</v>
      </c>
      <c r="D2647" s="10" t="s">
        <v>9</v>
      </c>
      <c r="E2647" s="4">
        <v>8</v>
      </c>
      <c r="F2647" s="4">
        <v>5128</v>
      </c>
      <c r="G2647" s="9">
        <v>657.87</v>
      </c>
    </row>
    <row r="2648" spans="1:7" ht="15.6" x14ac:dyDescent="0.3">
      <c r="A2648" s="16">
        <v>45295</v>
      </c>
      <c r="B2648" s="10" t="s">
        <v>17</v>
      </c>
      <c r="C2648" s="10" t="s">
        <v>14</v>
      </c>
      <c r="D2648" s="10" t="s">
        <v>15</v>
      </c>
      <c r="E2648" s="4">
        <v>8</v>
      </c>
      <c r="F2648" s="4">
        <v>5176</v>
      </c>
      <c r="G2648" s="9">
        <v>1400.82</v>
      </c>
    </row>
    <row r="2649" spans="1:7" ht="15.6" x14ac:dyDescent="0.3">
      <c r="A2649" s="16">
        <v>45185</v>
      </c>
      <c r="B2649" s="10" t="s">
        <v>22</v>
      </c>
      <c r="C2649" s="10" t="s">
        <v>11</v>
      </c>
      <c r="D2649" s="10" t="s">
        <v>9</v>
      </c>
      <c r="E2649" s="4">
        <v>5</v>
      </c>
      <c r="F2649" s="4">
        <v>1510</v>
      </c>
      <c r="G2649" s="9">
        <v>331.76</v>
      </c>
    </row>
    <row r="2650" spans="1:7" ht="15.6" x14ac:dyDescent="0.3">
      <c r="A2650" s="16">
        <v>45002</v>
      </c>
      <c r="B2650" s="10" t="s">
        <v>22</v>
      </c>
      <c r="C2650" s="10" t="s">
        <v>11</v>
      </c>
      <c r="D2650" s="10" t="s">
        <v>9</v>
      </c>
      <c r="E2650" s="4">
        <v>1</v>
      </c>
      <c r="F2650" s="4">
        <v>947</v>
      </c>
      <c r="G2650" s="9">
        <v>77.209999999999994</v>
      </c>
    </row>
    <row r="2651" spans="1:7" ht="15.6" x14ac:dyDescent="0.3">
      <c r="A2651" s="16">
        <v>45291</v>
      </c>
      <c r="B2651" s="10" t="s">
        <v>21</v>
      </c>
      <c r="C2651" s="10" t="s">
        <v>14</v>
      </c>
      <c r="D2651" s="10" t="s">
        <v>9</v>
      </c>
      <c r="E2651" s="4">
        <v>9</v>
      </c>
      <c r="F2651" s="4">
        <v>5427</v>
      </c>
      <c r="G2651" s="9">
        <v>731.33</v>
      </c>
    </row>
    <row r="2652" spans="1:7" ht="15.6" x14ac:dyDescent="0.3">
      <c r="A2652" s="16">
        <v>44660</v>
      </c>
      <c r="B2652" s="10" t="s">
        <v>19</v>
      </c>
      <c r="C2652" s="10" t="s">
        <v>14</v>
      </c>
      <c r="D2652" s="10" t="s">
        <v>15</v>
      </c>
      <c r="E2652" s="4">
        <v>4</v>
      </c>
      <c r="F2652" s="4">
        <v>4560</v>
      </c>
      <c r="G2652" s="9">
        <v>507.87</v>
      </c>
    </row>
    <row r="2653" spans="1:7" ht="15.6" x14ac:dyDescent="0.3">
      <c r="A2653" s="16">
        <v>45049</v>
      </c>
      <c r="B2653" s="10" t="s">
        <v>13</v>
      </c>
      <c r="C2653" s="10" t="s">
        <v>14</v>
      </c>
      <c r="D2653" s="10" t="s">
        <v>15</v>
      </c>
      <c r="E2653" s="4">
        <v>6</v>
      </c>
      <c r="F2653" s="4">
        <v>2100</v>
      </c>
      <c r="G2653" s="9">
        <v>268.39999999999998</v>
      </c>
    </row>
    <row r="2654" spans="1:7" ht="15.6" x14ac:dyDescent="0.3">
      <c r="A2654" s="16">
        <v>45422</v>
      </c>
      <c r="B2654" s="10" t="s">
        <v>23</v>
      </c>
      <c r="C2654" s="10" t="s">
        <v>14</v>
      </c>
      <c r="D2654" s="10" t="s">
        <v>9</v>
      </c>
      <c r="E2654" s="4">
        <v>1</v>
      </c>
      <c r="F2654" s="4">
        <v>1054</v>
      </c>
      <c r="G2654" s="9">
        <v>288.14999999999998</v>
      </c>
    </row>
    <row r="2655" spans="1:7" ht="15.6" x14ac:dyDescent="0.3">
      <c r="A2655" s="16">
        <v>44791</v>
      </c>
      <c r="B2655" s="10" t="s">
        <v>19</v>
      </c>
      <c r="C2655" s="10" t="s">
        <v>14</v>
      </c>
      <c r="D2655" s="10" t="s">
        <v>16</v>
      </c>
      <c r="E2655" s="4">
        <v>6</v>
      </c>
      <c r="F2655" s="4">
        <v>7026</v>
      </c>
      <c r="G2655" s="9">
        <v>1814.21</v>
      </c>
    </row>
    <row r="2656" spans="1:7" ht="15.6" x14ac:dyDescent="0.3">
      <c r="A2656" s="16">
        <v>44756</v>
      </c>
      <c r="B2656" s="10" t="s">
        <v>17</v>
      </c>
      <c r="C2656" s="10" t="s">
        <v>14</v>
      </c>
      <c r="D2656" s="10" t="s">
        <v>9</v>
      </c>
      <c r="E2656" s="4">
        <v>9</v>
      </c>
      <c r="F2656" s="4">
        <v>513</v>
      </c>
      <c r="G2656" s="9">
        <v>151.87</v>
      </c>
    </row>
    <row r="2657" spans="1:7" ht="15.6" x14ac:dyDescent="0.3">
      <c r="A2657" s="16">
        <v>45411</v>
      </c>
      <c r="B2657" s="10" t="s">
        <v>18</v>
      </c>
      <c r="C2657" s="10" t="s">
        <v>11</v>
      </c>
      <c r="D2657" s="10" t="s">
        <v>15</v>
      </c>
      <c r="E2657" s="4">
        <v>2</v>
      </c>
      <c r="F2657" s="4">
        <v>2244</v>
      </c>
      <c r="G2657" s="9">
        <v>353.83</v>
      </c>
    </row>
    <row r="2658" spans="1:7" ht="15.6" x14ac:dyDescent="0.3">
      <c r="A2658" s="16">
        <v>45344</v>
      </c>
      <c r="B2658" s="10" t="s">
        <v>21</v>
      </c>
      <c r="C2658" s="10" t="s">
        <v>14</v>
      </c>
      <c r="D2658" s="10" t="s">
        <v>9</v>
      </c>
      <c r="E2658" s="4">
        <v>5</v>
      </c>
      <c r="F2658" s="4">
        <v>1785</v>
      </c>
      <c r="G2658" s="9">
        <v>134.94999999999999</v>
      </c>
    </row>
    <row r="2659" spans="1:7" ht="15.6" x14ac:dyDescent="0.3">
      <c r="A2659" s="16">
        <v>45101</v>
      </c>
      <c r="B2659" s="10" t="s">
        <v>22</v>
      </c>
      <c r="C2659" s="10" t="s">
        <v>11</v>
      </c>
      <c r="D2659" s="10" t="s">
        <v>15</v>
      </c>
      <c r="E2659" s="4">
        <v>5</v>
      </c>
      <c r="F2659" s="4">
        <v>725</v>
      </c>
      <c r="G2659" s="9">
        <v>77.91</v>
      </c>
    </row>
    <row r="2660" spans="1:7" ht="15.6" x14ac:dyDescent="0.3">
      <c r="A2660" s="16">
        <v>45609</v>
      </c>
      <c r="B2660" s="10" t="s">
        <v>21</v>
      </c>
      <c r="C2660" s="10" t="s">
        <v>14</v>
      </c>
      <c r="D2660" s="10" t="s">
        <v>9</v>
      </c>
      <c r="E2660" s="4">
        <v>4</v>
      </c>
      <c r="F2660" s="4">
        <v>2516</v>
      </c>
      <c r="G2660" s="9">
        <v>689.29</v>
      </c>
    </row>
    <row r="2661" spans="1:7" ht="15.6" x14ac:dyDescent="0.3">
      <c r="A2661" s="16">
        <v>45075</v>
      </c>
      <c r="B2661" s="10" t="s">
        <v>20</v>
      </c>
      <c r="C2661" s="10" t="s">
        <v>11</v>
      </c>
      <c r="D2661" s="10" t="s">
        <v>12</v>
      </c>
      <c r="E2661" s="4">
        <v>8</v>
      </c>
      <c r="F2661" s="4">
        <v>6256</v>
      </c>
      <c r="G2661" s="9">
        <v>1152.99</v>
      </c>
    </row>
    <row r="2662" spans="1:7" ht="15.6" x14ac:dyDescent="0.3">
      <c r="A2662" s="16">
        <v>45088</v>
      </c>
      <c r="B2662" s="10" t="s">
        <v>17</v>
      </c>
      <c r="C2662" s="10" t="s">
        <v>14</v>
      </c>
      <c r="D2662" s="10" t="s">
        <v>9</v>
      </c>
      <c r="E2662" s="4">
        <v>2</v>
      </c>
      <c r="F2662" s="4">
        <v>452</v>
      </c>
      <c r="G2662" s="9">
        <v>74.34</v>
      </c>
    </row>
    <row r="2663" spans="1:7" ht="15.6" x14ac:dyDescent="0.3">
      <c r="A2663" s="16">
        <v>44625</v>
      </c>
      <c r="B2663" s="10" t="s">
        <v>23</v>
      </c>
      <c r="C2663" s="10" t="s">
        <v>14</v>
      </c>
      <c r="D2663" s="10" t="s">
        <v>15</v>
      </c>
      <c r="E2663" s="4">
        <v>7</v>
      </c>
      <c r="F2663" s="4">
        <v>5285</v>
      </c>
      <c r="G2663" s="9">
        <v>1338.58</v>
      </c>
    </row>
    <row r="2664" spans="1:7" ht="15.6" x14ac:dyDescent="0.3">
      <c r="A2664" s="16">
        <v>45004</v>
      </c>
      <c r="B2664" s="10" t="s">
        <v>21</v>
      </c>
      <c r="C2664" s="10" t="s">
        <v>14</v>
      </c>
      <c r="D2664" s="10" t="s">
        <v>9</v>
      </c>
      <c r="E2664" s="4">
        <v>6</v>
      </c>
      <c r="F2664" s="4">
        <v>4872</v>
      </c>
      <c r="G2664" s="9">
        <v>786.79</v>
      </c>
    </row>
    <row r="2665" spans="1:7" ht="15.6" x14ac:dyDescent="0.3">
      <c r="A2665" s="16">
        <v>45160</v>
      </c>
      <c r="B2665" s="10" t="s">
        <v>22</v>
      </c>
      <c r="C2665" s="10" t="s">
        <v>11</v>
      </c>
      <c r="D2665" s="10" t="s">
        <v>12</v>
      </c>
      <c r="E2665" s="4">
        <v>5</v>
      </c>
      <c r="F2665" s="4">
        <v>2495</v>
      </c>
      <c r="G2665" s="9">
        <v>164.56</v>
      </c>
    </row>
    <row r="2666" spans="1:7" ht="15.6" x14ac:dyDescent="0.3">
      <c r="A2666" s="16">
        <v>44611</v>
      </c>
      <c r="B2666" s="10" t="s">
        <v>20</v>
      </c>
      <c r="C2666" s="10" t="s">
        <v>11</v>
      </c>
      <c r="D2666" s="10" t="s">
        <v>16</v>
      </c>
      <c r="E2666" s="4">
        <v>1</v>
      </c>
      <c r="F2666" s="4">
        <v>442</v>
      </c>
      <c r="G2666" s="9">
        <v>82.73</v>
      </c>
    </row>
    <row r="2667" spans="1:7" ht="15.6" x14ac:dyDescent="0.3">
      <c r="A2667" s="16">
        <v>45552</v>
      </c>
      <c r="B2667" s="10" t="s">
        <v>7</v>
      </c>
      <c r="C2667" s="10" t="s">
        <v>8</v>
      </c>
      <c r="D2667" s="10" t="s">
        <v>12</v>
      </c>
      <c r="E2667" s="4">
        <v>9</v>
      </c>
      <c r="F2667" s="4">
        <v>8595</v>
      </c>
      <c r="G2667" s="9">
        <v>1312.19</v>
      </c>
    </row>
    <row r="2668" spans="1:7" ht="15.6" x14ac:dyDescent="0.3">
      <c r="A2668" s="16">
        <v>44659</v>
      </c>
      <c r="B2668" s="10" t="s">
        <v>22</v>
      </c>
      <c r="C2668" s="10" t="s">
        <v>11</v>
      </c>
      <c r="D2668" s="10" t="s">
        <v>12</v>
      </c>
      <c r="E2668" s="4">
        <v>4</v>
      </c>
      <c r="F2668" s="4">
        <v>3528</v>
      </c>
      <c r="G2668" s="9">
        <v>411.5</v>
      </c>
    </row>
    <row r="2669" spans="1:7" ht="15.6" x14ac:dyDescent="0.3">
      <c r="A2669" s="16">
        <v>45453</v>
      </c>
      <c r="B2669" s="10" t="s">
        <v>23</v>
      </c>
      <c r="C2669" s="10" t="s">
        <v>14</v>
      </c>
      <c r="D2669" s="10" t="s">
        <v>9</v>
      </c>
      <c r="E2669" s="4">
        <v>7</v>
      </c>
      <c r="F2669" s="4">
        <v>7777</v>
      </c>
      <c r="G2669" s="9">
        <v>746.84</v>
      </c>
    </row>
    <row r="2670" spans="1:7" ht="15.6" x14ac:dyDescent="0.3">
      <c r="A2670" s="16">
        <v>44870</v>
      </c>
      <c r="B2670" s="10" t="s">
        <v>19</v>
      </c>
      <c r="C2670" s="10" t="s">
        <v>14</v>
      </c>
      <c r="D2670" s="10" t="s">
        <v>15</v>
      </c>
      <c r="E2670" s="4">
        <v>4</v>
      </c>
      <c r="F2670" s="4">
        <v>2008</v>
      </c>
      <c r="G2670" s="9">
        <v>451.68</v>
      </c>
    </row>
    <row r="2671" spans="1:7" ht="15.6" x14ac:dyDescent="0.3">
      <c r="A2671" s="16">
        <v>44684</v>
      </c>
      <c r="B2671" s="10" t="s">
        <v>10</v>
      </c>
      <c r="C2671" s="10" t="s">
        <v>11</v>
      </c>
      <c r="D2671" s="10" t="s">
        <v>9</v>
      </c>
      <c r="E2671" s="4">
        <v>2</v>
      </c>
      <c r="F2671" s="4">
        <v>596</v>
      </c>
      <c r="G2671" s="9">
        <v>41.37</v>
      </c>
    </row>
    <row r="2672" spans="1:7" ht="15.6" x14ac:dyDescent="0.3">
      <c r="A2672" s="16">
        <v>45651</v>
      </c>
      <c r="B2672" s="10" t="s">
        <v>19</v>
      </c>
      <c r="C2672" s="10" t="s">
        <v>14</v>
      </c>
      <c r="D2672" s="10" t="s">
        <v>12</v>
      </c>
      <c r="E2672" s="4">
        <v>9</v>
      </c>
      <c r="F2672" s="4">
        <v>4950</v>
      </c>
      <c r="G2672" s="9">
        <v>1402.67</v>
      </c>
    </row>
    <row r="2673" spans="1:7" ht="15.6" x14ac:dyDescent="0.3">
      <c r="A2673" s="16">
        <v>45459</v>
      </c>
      <c r="B2673" s="10" t="s">
        <v>22</v>
      </c>
      <c r="C2673" s="10" t="s">
        <v>11</v>
      </c>
      <c r="D2673" s="10" t="s">
        <v>15</v>
      </c>
      <c r="E2673" s="4">
        <v>2</v>
      </c>
      <c r="F2673" s="4">
        <v>630</v>
      </c>
      <c r="G2673" s="9">
        <v>86.07</v>
      </c>
    </row>
    <row r="2674" spans="1:7" ht="15.6" x14ac:dyDescent="0.3">
      <c r="A2674" s="16">
        <v>45478</v>
      </c>
      <c r="B2674" s="10" t="s">
        <v>17</v>
      </c>
      <c r="C2674" s="10" t="s">
        <v>14</v>
      </c>
      <c r="D2674" s="10" t="s">
        <v>9</v>
      </c>
      <c r="E2674" s="4">
        <v>6</v>
      </c>
      <c r="F2674" s="4">
        <v>6144</v>
      </c>
      <c r="G2674" s="9">
        <v>754.18</v>
      </c>
    </row>
    <row r="2675" spans="1:7" ht="15.6" x14ac:dyDescent="0.3">
      <c r="A2675" s="16">
        <v>45263</v>
      </c>
      <c r="B2675" s="10" t="s">
        <v>20</v>
      </c>
      <c r="C2675" s="10" t="s">
        <v>11</v>
      </c>
      <c r="D2675" s="10" t="s">
        <v>9</v>
      </c>
      <c r="E2675" s="4">
        <v>1</v>
      </c>
      <c r="F2675" s="4">
        <v>140</v>
      </c>
      <c r="G2675" s="9">
        <v>24.21</v>
      </c>
    </row>
    <row r="2676" spans="1:7" ht="15.6" x14ac:dyDescent="0.3">
      <c r="A2676" s="16">
        <v>45321</v>
      </c>
      <c r="B2676" s="10" t="s">
        <v>18</v>
      </c>
      <c r="C2676" s="10" t="s">
        <v>11</v>
      </c>
      <c r="D2676" s="10" t="s">
        <v>12</v>
      </c>
      <c r="E2676" s="4">
        <v>2</v>
      </c>
      <c r="F2676" s="4">
        <v>2014</v>
      </c>
      <c r="G2676" s="9">
        <v>215.06</v>
      </c>
    </row>
    <row r="2677" spans="1:7" ht="15.6" x14ac:dyDescent="0.3">
      <c r="A2677" s="16">
        <v>45510</v>
      </c>
      <c r="B2677" s="10" t="s">
        <v>10</v>
      </c>
      <c r="C2677" s="10" t="s">
        <v>11</v>
      </c>
      <c r="D2677" s="10" t="s">
        <v>16</v>
      </c>
      <c r="E2677" s="4">
        <v>2</v>
      </c>
      <c r="F2677" s="4">
        <v>384</v>
      </c>
      <c r="G2677" s="9">
        <v>99.02</v>
      </c>
    </row>
    <row r="2678" spans="1:7" ht="15.6" x14ac:dyDescent="0.3">
      <c r="A2678" s="16">
        <v>44579</v>
      </c>
      <c r="B2678" s="10" t="s">
        <v>7</v>
      </c>
      <c r="C2678" s="10" t="s">
        <v>8</v>
      </c>
      <c r="D2678" s="10" t="s">
        <v>12</v>
      </c>
      <c r="E2678" s="4">
        <v>7</v>
      </c>
      <c r="F2678" s="4">
        <v>3780</v>
      </c>
      <c r="G2678" s="9">
        <v>351.51</v>
      </c>
    </row>
    <row r="2679" spans="1:7" ht="15.6" x14ac:dyDescent="0.3">
      <c r="A2679" s="16">
        <v>44985</v>
      </c>
      <c r="B2679" s="10" t="s">
        <v>20</v>
      </c>
      <c r="C2679" s="10" t="s">
        <v>11</v>
      </c>
      <c r="D2679" s="10" t="s">
        <v>16</v>
      </c>
      <c r="E2679" s="4">
        <v>7</v>
      </c>
      <c r="F2679" s="4">
        <v>5047</v>
      </c>
      <c r="G2679" s="9">
        <v>915.75</v>
      </c>
    </row>
    <row r="2680" spans="1:7" ht="15.6" x14ac:dyDescent="0.3">
      <c r="A2680" s="16">
        <v>44800</v>
      </c>
      <c r="B2680" s="10" t="s">
        <v>18</v>
      </c>
      <c r="C2680" s="10" t="s">
        <v>11</v>
      </c>
      <c r="D2680" s="10" t="s">
        <v>15</v>
      </c>
      <c r="E2680" s="4">
        <v>3</v>
      </c>
      <c r="F2680" s="4">
        <v>2658</v>
      </c>
      <c r="G2680" s="9">
        <v>175.89</v>
      </c>
    </row>
    <row r="2681" spans="1:7" ht="15.6" x14ac:dyDescent="0.3">
      <c r="A2681" s="16">
        <v>45213</v>
      </c>
      <c r="B2681" s="10" t="s">
        <v>10</v>
      </c>
      <c r="C2681" s="10" t="s">
        <v>11</v>
      </c>
      <c r="D2681" s="10" t="s">
        <v>16</v>
      </c>
      <c r="E2681" s="4">
        <v>8</v>
      </c>
      <c r="F2681" s="4">
        <v>528</v>
      </c>
      <c r="G2681" s="9">
        <v>53.91</v>
      </c>
    </row>
    <row r="2682" spans="1:7" ht="15.6" x14ac:dyDescent="0.3">
      <c r="A2682" s="16">
        <v>44735</v>
      </c>
      <c r="B2682" s="10" t="s">
        <v>22</v>
      </c>
      <c r="C2682" s="10" t="s">
        <v>11</v>
      </c>
      <c r="D2682" s="10" t="s">
        <v>12</v>
      </c>
      <c r="E2682" s="4">
        <v>9</v>
      </c>
      <c r="F2682" s="4">
        <v>6507</v>
      </c>
      <c r="G2682" s="9">
        <v>1045.1400000000001</v>
      </c>
    </row>
    <row r="2683" spans="1:7" ht="15.6" x14ac:dyDescent="0.3">
      <c r="A2683" s="16">
        <v>45079</v>
      </c>
      <c r="B2683" s="10" t="s">
        <v>17</v>
      </c>
      <c r="C2683" s="10" t="s">
        <v>14</v>
      </c>
      <c r="D2683" s="10" t="s">
        <v>15</v>
      </c>
      <c r="E2683" s="4">
        <v>7</v>
      </c>
      <c r="F2683" s="4">
        <v>5887</v>
      </c>
      <c r="G2683" s="9">
        <v>1035.5</v>
      </c>
    </row>
    <row r="2684" spans="1:7" ht="15.6" x14ac:dyDescent="0.3">
      <c r="A2684" s="16">
        <v>45151</v>
      </c>
      <c r="B2684" s="10" t="s">
        <v>18</v>
      </c>
      <c r="C2684" s="10" t="s">
        <v>11</v>
      </c>
      <c r="D2684" s="10" t="s">
        <v>12</v>
      </c>
      <c r="E2684" s="4">
        <v>8</v>
      </c>
      <c r="F2684" s="4">
        <v>8224</v>
      </c>
      <c r="G2684" s="9">
        <v>1679.16</v>
      </c>
    </row>
    <row r="2685" spans="1:7" ht="15.6" x14ac:dyDescent="0.3">
      <c r="A2685" s="16">
        <v>44632</v>
      </c>
      <c r="B2685" s="10" t="s">
        <v>23</v>
      </c>
      <c r="C2685" s="10" t="s">
        <v>14</v>
      </c>
      <c r="D2685" s="10" t="s">
        <v>15</v>
      </c>
      <c r="E2685" s="4">
        <v>3</v>
      </c>
      <c r="F2685" s="4">
        <v>723</v>
      </c>
      <c r="G2685" s="9">
        <v>115.25</v>
      </c>
    </row>
    <row r="2686" spans="1:7" ht="15.6" x14ac:dyDescent="0.3">
      <c r="A2686" s="16">
        <v>45080</v>
      </c>
      <c r="B2686" s="10" t="s">
        <v>10</v>
      </c>
      <c r="C2686" s="10" t="s">
        <v>11</v>
      </c>
      <c r="D2686" s="10" t="s">
        <v>9</v>
      </c>
      <c r="E2686" s="4">
        <v>2</v>
      </c>
      <c r="F2686" s="4">
        <v>2272</v>
      </c>
      <c r="G2686" s="9">
        <v>504.72</v>
      </c>
    </row>
    <row r="2687" spans="1:7" ht="15.6" x14ac:dyDescent="0.3">
      <c r="A2687" s="16">
        <v>44745</v>
      </c>
      <c r="B2687" s="10" t="s">
        <v>22</v>
      </c>
      <c r="C2687" s="10" t="s">
        <v>11</v>
      </c>
      <c r="D2687" s="10" t="s">
        <v>12</v>
      </c>
      <c r="E2687" s="4">
        <v>9</v>
      </c>
      <c r="F2687" s="4">
        <v>8640</v>
      </c>
      <c r="G2687" s="9">
        <v>1963.34</v>
      </c>
    </row>
    <row r="2688" spans="1:7" ht="15.6" x14ac:dyDescent="0.3">
      <c r="A2688" s="16">
        <v>45183</v>
      </c>
      <c r="B2688" s="10" t="s">
        <v>17</v>
      </c>
      <c r="C2688" s="10" t="s">
        <v>14</v>
      </c>
      <c r="D2688" s="10" t="s">
        <v>9</v>
      </c>
      <c r="E2688" s="4">
        <v>8</v>
      </c>
      <c r="F2688" s="4">
        <v>2984</v>
      </c>
      <c r="G2688" s="9">
        <v>631.80999999999995</v>
      </c>
    </row>
    <row r="2689" spans="1:7" ht="15.6" x14ac:dyDescent="0.3">
      <c r="A2689" s="16">
        <v>44679</v>
      </c>
      <c r="B2689" s="10" t="s">
        <v>21</v>
      </c>
      <c r="C2689" s="10" t="s">
        <v>14</v>
      </c>
      <c r="D2689" s="10" t="s">
        <v>12</v>
      </c>
      <c r="E2689" s="4">
        <v>2</v>
      </c>
      <c r="F2689" s="4">
        <v>606</v>
      </c>
      <c r="G2689" s="9">
        <v>150.94999999999999</v>
      </c>
    </row>
    <row r="2690" spans="1:7" ht="15.6" x14ac:dyDescent="0.3">
      <c r="A2690" s="16">
        <v>44659</v>
      </c>
      <c r="B2690" s="10" t="s">
        <v>20</v>
      </c>
      <c r="C2690" s="10" t="s">
        <v>11</v>
      </c>
      <c r="D2690" s="10" t="s">
        <v>16</v>
      </c>
      <c r="E2690" s="4">
        <v>2</v>
      </c>
      <c r="F2690" s="4">
        <v>170</v>
      </c>
      <c r="G2690" s="9">
        <v>48.69</v>
      </c>
    </row>
    <row r="2691" spans="1:7" ht="15.6" x14ac:dyDescent="0.3">
      <c r="A2691" s="16">
        <v>44641</v>
      </c>
      <c r="B2691" s="10" t="s">
        <v>18</v>
      </c>
      <c r="C2691" s="10" t="s">
        <v>11</v>
      </c>
      <c r="D2691" s="10" t="s">
        <v>12</v>
      </c>
      <c r="E2691" s="4">
        <v>9</v>
      </c>
      <c r="F2691" s="4">
        <v>5283</v>
      </c>
      <c r="G2691" s="9">
        <v>1550.3</v>
      </c>
    </row>
    <row r="2692" spans="1:7" ht="15.6" x14ac:dyDescent="0.3">
      <c r="A2692" s="16">
        <v>44984</v>
      </c>
      <c r="B2692" s="10" t="s">
        <v>19</v>
      </c>
      <c r="C2692" s="10" t="s">
        <v>14</v>
      </c>
      <c r="D2692" s="10" t="s">
        <v>16</v>
      </c>
      <c r="E2692" s="4">
        <v>6</v>
      </c>
      <c r="F2692" s="4">
        <v>1350</v>
      </c>
      <c r="G2692" s="9">
        <v>356.88</v>
      </c>
    </row>
    <row r="2693" spans="1:7" ht="15.6" x14ac:dyDescent="0.3">
      <c r="A2693" s="16">
        <v>44893</v>
      </c>
      <c r="B2693" s="10" t="s">
        <v>18</v>
      </c>
      <c r="C2693" s="10" t="s">
        <v>11</v>
      </c>
      <c r="D2693" s="10" t="s">
        <v>15</v>
      </c>
      <c r="E2693" s="4">
        <v>4</v>
      </c>
      <c r="F2693" s="4">
        <v>2500</v>
      </c>
      <c r="G2693" s="9">
        <v>467.34</v>
      </c>
    </row>
    <row r="2694" spans="1:7" ht="15.6" x14ac:dyDescent="0.3">
      <c r="A2694" s="16">
        <v>44603</v>
      </c>
      <c r="B2694" s="10" t="s">
        <v>17</v>
      </c>
      <c r="C2694" s="10" t="s">
        <v>14</v>
      </c>
      <c r="D2694" s="10" t="s">
        <v>9</v>
      </c>
      <c r="E2694" s="4">
        <v>4</v>
      </c>
      <c r="F2694" s="4">
        <v>4648</v>
      </c>
      <c r="G2694" s="9">
        <v>689.85</v>
      </c>
    </row>
    <row r="2695" spans="1:7" ht="15.6" x14ac:dyDescent="0.3">
      <c r="A2695" s="16">
        <v>45067</v>
      </c>
      <c r="B2695" s="10" t="s">
        <v>7</v>
      </c>
      <c r="C2695" s="10" t="s">
        <v>8</v>
      </c>
      <c r="D2695" s="10" t="s">
        <v>9</v>
      </c>
      <c r="E2695" s="4">
        <v>5</v>
      </c>
      <c r="F2695" s="4">
        <v>650</v>
      </c>
      <c r="G2695" s="9">
        <v>93.41</v>
      </c>
    </row>
    <row r="2696" spans="1:7" ht="15.6" x14ac:dyDescent="0.3">
      <c r="A2696" s="16">
        <v>44818</v>
      </c>
      <c r="B2696" s="10" t="s">
        <v>20</v>
      </c>
      <c r="C2696" s="10" t="s">
        <v>11</v>
      </c>
      <c r="D2696" s="10" t="s">
        <v>9</v>
      </c>
      <c r="E2696" s="4">
        <v>2</v>
      </c>
      <c r="F2696" s="4">
        <v>1538</v>
      </c>
      <c r="G2696" s="9">
        <v>97.15</v>
      </c>
    </row>
    <row r="2697" spans="1:7" ht="15.6" x14ac:dyDescent="0.3">
      <c r="A2697" s="16">
        <v>45458</v>
      </c>
      <c r="B2697" s="10" t="s">
        <v>19</v>
      </c>
      <c r="C2697" s="10" t="s">
        <v>14</v>
      </c>
      <c r="D2697" s="10" t="s">
        <v>12</v>
      </c>
      <c r="E2697" s="4">
        <v>4</v>
      </c>
      <c r="F2697" s="4">
        <v>3928</v>
      </c>
      <c r="G2697" s="9">
        <v>325.32</v>
      </c>
    </row>
    <row r="2698" spans="1:7" ht="15.6" x14ac:dyDescent="0.3">
      <c r="A2698" s="16">
        <v>44643</v>
      </c>
      <c r="B2698" s="10" t="s">
        <v>18</v>
      </c>
      <c r="C2698" s="10" t="s">
        <v>11</v>
      </c>
      <c r="D2698" s="10" t="s">
        <v>9</v>
      </c>
      <c r="E2698" s="4">
        <v>2</v>
      </c>
      <c r="F2698" s="4">
        <v>2258</v>
      </c>
      <c r="G2698" s="9">
        <v>175.86</v>
      </c>
    </row>
    <row r="2699" spans="1:7" ht="15.6" x14ac:dyDescent="0.3">
      <c r="A2699" s="16">
        <v>44721</v>
      </c>
      <c r="B2699" s="10" t="s">
        <v>20</v>
      </c>
      <c r="C2699" s="10" t="s">
        <v>11</v>
      </c>
      <c r="D2699" s="10" t="s">
        <v>16</v>
      </c>
      <c r="E2699" s="4">
        <v>9</v>
      </c>
      <c r="F2699" s="4">
        <v>2988</v>
      </c>
      <c r="G2699" s="9">
        <v>447.93</v>
      </c>
    </row>
    <row r="2700" spans="1:7" ht="15.6" x14ac:dyDescent="0.3">
      <c r="A2700" s="16">
        <v>45023</v>
      </c>
      <c r="B2700" s="10" t="s">
        <v>18</v>
      </c>
      <c r="C2700" s="10" t="s">
        <v>11</v>
      </c>
      <c r="D2700" s="10" t="s">
        <v>15</v>
      </c>
      <c r="E2700" s="4">
        <v>8</v>
      </c>
      <c r="F2700" s="4">
        <v>4136</v>
      </c>
      <c r="G2700" s="9">
        <v>810.82</v>
      </c>
    </row>
    <row r="2701" spans="1:7" ht="15.6" x14ac:dyDescent="0.3">
      <c r="A2701" s="16">
        <v>45221</v>
      </c>
      <c r="B2701" s="10" t="s">
        <v>10</v>
      </c>
      <c r="C2701" s="10" t="s">
        <v>11</v>
      </c>
      <c r="D2701" s="10" t="s">
        <v>15</v>
      </c>
      <c r="E2701" s="4">
        <v>7</v>
      </c>
      <c r="F2701" s="4">
        <v>3605</v>
      </c>
      <c r="G2701" s="9">
        <v>387.82</v>
      </c>
    </row>
    <row r="2702" spans="1:7" ht="15.6" x14ac:dyDescent="0.3">
      <c r="A2702" s="16">
        <v>45148</v>
      </c>
      <c r="B2702" s="10" t="s">
        <v>19</v>
      </c>
      <c r="C2702" s="10" t="s">
        <v>14</v>
      </c>
      <c r="D2702" s="10" t="s">
        <v>16</v>
      </c>
      <c r="E2702" s="4">
        <v>3</v>
      </c>
      <c r="F2702" s="4">
        <v>1656</v>
      </c>
      <c r="G2702" s="9">
        <v>469.28</v>
      </c>
    </row>
    <row r="2703" spans="1:7" ht="15.6" x14ac:dyDescent="0.3">
      <c r="A2703" s="16">
        <v>44919</v>
      </c>
      <c r="B2703" s="10" t="s">
        <v>7</v>
      </c>
      <c r="C2703" s="10" t="s">
        <v>8</v>
      </c>
      <c r="D2703" s="10" t="s">
        <v>16</v>
      </c>
      <c r="E2703" s="4">
        <v>8</v>
      </c>
      <c r="F2703" s="4">
        <v>7072</v>
      </c>
      <c r="G2703" s="9">
        <v>2113.06</v>
      </c>
    </row>
    <row r="2704" spans="1:7" ht="15.6" x14ac:dyDescent="0.3">
      <c r="A2704" s="16">
        <v>45539</v>
      </c>
      <c r="B2704" s="10" t="s">
        <v>22</v>
      </c>
      <c r="C2704" s="10" t="s">
        <v>11</v>
      </c>
      <c r="D2704" s="10" t="s">
        <v>15</v>
      </c>
      <c r="E2704" s="4">
        <v>8</v>
      </c>
      <c r="F2704" s="4">
        <v>5368</v>
      </c>
      <c r="G2704" s="9">
        <v>542.52</v>
      </c>
    </row>
    <row r="2705" spans="1:7" ht="15.6" x14ac:dyDescent="0.3">
      <c r="A2705" s="16">
        <v>45313</v>
      </c>
      <c r="B2705" s="10" t="s">
        <v>23</v>
      </c>
      <c r="C2705" s="10" t="s">
        <v>14</v>
      </c>
      <c r="D2705" s="10" t="s">
        <v>12</v>
      </c>
      <c r="E2705" s="4">
        <v>4</v>
      </c>
      <c r="F2705" s="4">
        <v>1356</v>
      </c>
      <c r="G2705" s="9">
        <v>374.79</v>
      </c>
    </row>
    <row r="2706" spans="1:7" ht="15.6" x14ac:dyDescent="0.3">
      <c r="A2706" s="16">
        <v>45469</v>
      </c>
      <c r="B2706" s="10" t="s">
        <v>7</v>
      </c>
      <c r="C2706" s="10" t="s">
        <v>8</v>
      </c>
      <c r="D2706" s="10" t="s">
        <v>15</v>
      </c>
      <c r="E2706" s="4">
        <v>6</v>
      </c>
      <c r="F2706" s="4">
        <v>1326</v>
      </c>
      <c r="G2706" s="9">
        <v>338.66</v>
      </c>
    </row>
    <row r="2707" spans="1:7" ht="15.6" x14ac:dyDescent="0.3">
      <c r="A2707" s="16">
        <v>45591</v>
      </c>
      <c r="B2707" s="10" t="s">
        <v>7</v>
      </c>
      <c r="C2707" s="10" t="s">
        <v>8</v>
      </c>
      <c r="D2707" s="10" t="s">
        <v>12</v>
      </c>
      <c r="E2707" s="4">
        <v>1</v>
      </c>
      <c r="F2707" s="4">
        <v>730</v>
      </c>
      <c r="G2707" s="9">
        <v>55.72</v>
      </c>
    </row>
    <row r="2708" spans="1:7" ht="15.6" x14ac:dyDescent="0.3">
      <c r="A2708" s="16">
        <v>45422</v>
      </c>
      <c r="B2708" s="10" t="s">
        <v>18</v>
      </c>
      <c r="C2708" s="10" t="s">
        <v>11</v>
      </c>
      <c r="D2708" s="10" t="s">
        <v>15</v>
      </c>
      <c r="E2708" s="4">
        <v>4</v>
      </c>
      <c r="F2708" s="4">
        <v>4664</v>
      </c>
      <c r="G2708" s="9">
        <v>294.05</v>
      </c>
    </row>
    <row r="2709" spans="1:7" ht="15.6" x14ac:dyDescent="0.3">
      <c r="A2709" s="16">
        <v>45264</v>
      </c>
      <c r="B2709" s="10" t="s">
        <v>23</v>
      </c>
      <c r="C2709" s="10" t="s">
        <v>14</v>
      </c>
      <c r="D2709" s="10" t="s">
        <v>9</v>
      </c>
      <c r="E2709" s="4">
        <v>8</v>
      </c>
      <c r="F2709" s="4">
        <v>3528</v>
      </c>
      <c r="G2709" s="9">
        <v>593.11</v>
      </c>
    </row>
    <row r="2710" spans="1:7" ht="15.6" x14ac:dyDescent="0.3">
      <c r="A2710" s="16">
        <v>45004</v>
      </c>
      <c r="B2710" s="10" t="s">
        <v>10</v>
      </c>
      <c r="C2710" s="10" t="s">
        <v>11</v>
      </c>
      <c r="D2710" s="10" t="s">
        <v>16</v>
      </c>
      <c r="E2710" s="4">
        <v>3</v>
      </c>
      <c r="F2710" s="4">
        <v>1497</v>
      </c>
      <c r="G2710" s="9">
        <v>190.59</v>
      </c>
    </row>
    <row r="2711" spans="1:7" ht="15.6" x14ac:dyDescent="0.3">
      <c r="A2711" s="16">
        <v>45037</v>
      </c>
      <c r="B2711" s="10" t="s">
        <v>13</v>
      </c>
      <c r="C2711" s="10" t="s">
        <v>14</v>
      </c>
      <c r="D2711" s="10" t="s">
        <v>9</v>
      </c>
      <c r="E2711" s="4">
        <v>3</v>
      </c>
      <c r="F2711" s="4">
        <v>2628</v>
      </c>
      <c r="G2711" s="9">
        <v>781.94</v>
      </c>
    </row>
    <row r="2712" spans="1:7" ht="15.6" x14ac:dyDescent="0.3">
      <c r="A2712" s="16">
        <v>44877</v>
      </c>
      <c r="B2712" s="10" t="s">
        <v>23</v>
      </c>
      <c r="C2712" s="10" t="s">
        <v>14</v>
      </c>
      <c r="D2712" s="10" t="s">
        <v>16</v>
      </c>
      <c r="E2712" s="4">
        <v>4</v>
      </c>
      <c r="F2712" s="4">
        <v>4196</v>
      </c>
      <c r="G2712" s="9">
        <v>655.29</v>
      </c>
    </row>
    <row r="2713" spans="1:7" ht="15.6" x14ac:dyDescent="0.3">
      <c r="A2713" s="16">
        <v>44775</v>
      </c>
      <c r="B2713" s="10" t="s">
        <v>20</v>
      </c>
      <c r="C2713" s="10" t="s">
        <v>11</v>
      </c>
      <c r="D2713" s="10" t="s">
        <v>15</v>
      </c>
      <c r="E2713" s="4">
        <v>7</v>
      </c>
      <c r="F2713" s="4">
        <v>1204</v>
      </c>
      <c r="G2713" s="9">
        <v>317.12</v>
      </c>
    </row>
    <row r="2714" spans="1:7" ht="15.6" x14ac:dyDescent="0.3">
      <c r="A2714" s="16">
        <v>45161</v>
      </c>
      <c r="B2714" s="10" t="s">
        <v>7</v>
      </c>
      <c r="C2714" s="10" t="s">
        <v>8</v>
      </c>
      <c r="D2714" s="10" t="s">
        <v>16</v>
      </c>
      <c r="E2714" s="4">
        <v>7</v>
      </c>
      <c r="F2714" s="4">
        <v>7119</v>
      </c>
      <c r="G2714" s="9">
        <v>1555.05</v>
      </c>
    </row>
    <row r="2715" spans="1:7" ht="15.6" x14ac:dyDescent="0.3">
      <c r="A2715" s="16">
        <v>45424</v>
      </c>
      <c r="B2715" s="10" t="s">
        <v>13</v>
      </c>
      <c r="C2715" s="10" t="s">
        <v>14</v>
      </c>
      <c r="D2715" s="10" t="s">
        <v>16</v>
      </c>
      <c r="E2715" s="4">
        <v>8</v>
      </c>
      <c r="F2715" s="4">
        <v>1848</v>
      </c>
      <c r="G2715" s="9">
        <v>351.02</v>
      </c>
    </row>
    <row r="2716" spans="1:7" ht="15.6" x14ac:dyDescent="0.3">
      <c r="A2716" s="16">
        <v>45436</v>
      </c>
      <c r="B2716" s="10" t="s">
        <v>13</v>
      </c>
      <c r="C2716" s="10" t="s">
        <v>14</v>
      </c>
      <c r="D2716" s="10" t="s">
        <v>15</v>
      </c>
      <c r="E2716" s="4">
        <v>4</v>
      </c>
      <c r="F2716" s="4">
        <v>2232</v>
      </c>
      <c r="G2716" s="9">
        <v>531.12</v>
      </c>
    </row>
    <row r="2717" spans="1:7" ht="15.6" x14ac:dyDescent="0.3">
      <c r="A2717" s="16">
        <v>45645</v>
      </c>
      <c r="B2717" s="10" t="s">
        <v>10</v>
      </c>
      <c r="C2717" s="10" t="s">
        <v>11</v>
      </c>
      <c r="D2717" s="10" t="s">
        <v>16</v>
      </c>
      <c r="E2717" s="4">
        <v>6</v>
      </c>
      <c r="F2717" s="4">
        <v>5190</v>
      </c>
      <c r="G2717" s="9">
        <v>898.86</v>
      </c>
    </row>
    <row r="2718" spans="1:7" ht="15.6" x14ac:dyDescent="0.3">
      <c r="A2718" s="16">
        <v>44589</v>
      </c>
      <c r="B2718" s="10" t="s">
        <v>21</v>
      </c>
      <c r="C2718" s="10" t="s">
        <v>14</v>
      </c>
      <c r="D2718" s="10" t="s">
        <v>16</v>
      </c>
      <c r="E2718" s="4">
        <v>3</v>
      </c>
      <c r="F2718" s="4">
        <v>1830</v>
      </c>
      <c r="G2718" s="9">
        <v>403.42</v>
      </c>
    </row>
    <row r="2719" spans="1:7" ht="15.6" x14ac:dyDescent="0.3">
      <c r="A2719" s="16">
        <v>44590</v>
      </c>
      <c r="B2719" s="10" t="s">
        <v>10</v>
      </c>
      <c r="C2719" s="10" t="s">
        <v>11</v>
      </c>
      <c r="D2719" s="10" t="s">
        <v>16</v>
      </c>
      <c r="E2719" s="4">
        <v>1</v>
      </c>
      <c r="F2719" s="4">
        <v>1033</v>
      </c>
      <c r="G2719" s="9">
        <v>302.68</v>
      </c>
    </row>
    <row r="2720" spans="1:7" ht="15.6" x14ac:dyDescent="0.3">
      <c r="A2720" s="16">
        <v>44866</v>
      </c>
      <c r="B2720" s="10" t="s">
        <v>19</v>
      </c>
      <c r="C2720" s="10" t="s">
        <v>14</v>
      </c>
      <c r="D2720" s="10" t="s">
        <v>15</v>
      </c>
      <c r="E2720" s="4">
        <v>7</v>
      </c>
      <c r="F2720" s="4">
        <v>2324</v>
      </c>
      <c r="G2720" s="9">
        <v>611.70000000000005</v>
      </c>
    </row>
    <row r="2721" spans="1:7" ht="15.6" x14ac:dyDescent="0.3">
      <c r="A2721" s="16">
        <v>45081</v>
      </c>
      <c r="B2721" s="10" t="s">
        <v>22</v>
      </c>
      <c r="C2721" s="10" t="s">
        <v>11</v>
      </c>
      <c r="D2721" s="10" t="s">
        <v>9</v>
      </c>
      <c r="E2721" s="4">
        <v>2</v>
      </c>
      <c r="F2721" s="4">
        <v>1942</v>
      </c>
      <c r="G2721" s="9">
        <v>235.42</v>
      </c>
    </row>
    <row r="2722" spans="1:7" ht="15.6" x14ac:dyDescent="0.3">
      <c r="A2722" s="16">
        <v>44647</v>
      </c>
      <c r="B2722" s="10" t="s">
        <v>7</v>
      </c>
      <c r="C2722" s="10" t="s">
        <v>8</v>
      </c>
      <c r="D2722" s="10" t="s">
        <v>15</v>
      </c>
      <c r="E2722" s="4">
        <v>7</v>
      </c>
      <c r="F2722" s="4">
        <v>5740</v>
      </c>
      <c r="G2722" s="9">
        <v>1615.9</v>
      </c>
    </row>
    <row r="2723" spans="1:7" ht="15.6" x14ac:dyDescent="0.3">
      <c r="A2723" s="16">
        <v>44856</v>
      </c>
      <c r="B2723" s="10" t="s">
        <v>19</v>
      </c>
      <c r="C2723" s="10" t="s">
        <v>14</v>
      </c>
      <c r="D2723" s="10" t="s">
        <v>15</v>
      </c>
      <c r="E2723" s="4">
        <v>9</v>
      </c>
      <c r="F2723" s="4">
        <v>6435</v>
      </c>
      <c r="G2723" s="9">
        <v>1096.8800000000001</v>
      </c>
    </row>
    <row r="2724" spans="1:7" ht="15.6" x14ac:dyDescent="0.3">
      <c r="A2724" s="16">
        <v>44649</v>
      </c>
      <c r="B2724" s="10" t="s">
        <v>10</v>
      </c>
      <c r="C2724" s="10" t="s">
        <v>11</v>
      </c>
      <c r="D2724" s="10" t="s">
        <v>9</v>
      </c>
      <c r="E2724" s="4">
        <v>2</v>
      </c>
      <c r="F2724" s="4">
        <v>1168</v>
      </c>
      <c r="G2724" s="9">
        <v>172.18</v>
      </c>
    </row>
    <row r="2725" spans="1:7" ht="15.6" x14ac:dyDescent="0.3">
      <c r="A2725" s="16">
        <v>44799</v>
      </c>
      <c r="B2725" s="10" t="s">
        <v>13</v>
      </c>
      <c r="C2725" s="10" t="s">
        <v>14</v>
      </c>
      <c r="D2725" s="10" t="s">
        <v>15</v>
      </c>
      <c r="E2725" s="4">
        <v>9</v>
      </c>
      <c r="F2725" s="4">
        <v>7362</v>
      </c>
      <c r="G2725" s="9">
        <v>441.36</v>
      </c>
    </row>
    <row r="2726" spans="1:7" ht="15.6" x14ac:dyDescent="0.3">
      <c r="A2726" s="16">
        <v>45216</v>
      </c>
      <c r="B2726" s="10" t="s">
        <v>19</v>
      </c>
      <c r="C2726" s="10" t="s">
        <v>14</v>
      </c>
      <c r="D2726" s="10" t="s">
        <v>16</v>
      </c>
      <c r="E2726" s="4">
        <v>2</v>
      </c>
      <c r="F2726" s="4">
        <v>862</v>
      </c>
      <c r="G2726" s="9">
        <v>105.97</v>
      </c>
    </row>
    <row r="2727" spans="1:7" ht="15.6" x14ac:dyDescent="0.3">
      <c r="A2727" s="16">
        <v>45224</v>
      </c>
      <c r="B2727" s="10" t="s">
        <v>10</v>
      </c>
      <c r="C2727" s="10" t="s">
        <v>11</v>
      </c>
      <c r="D2727" s="10" t="s">
        <v>16</v>
      </c>
      <c r="E2727" s="4">
        <v>1</v>
      </c>
      <c r="F2727" s="4">
        <v>956</v>
      </c>
      <c r="G2727" s="9">
        <v>167.16</v>
      </c>
    </row>
    <row r="2728" spans="1:7" ht="15.6" x14ac:dyDescent="0.3">
      <c r="A2728" s="16">
        <v>44719</v>
      </c>
      <c r="B2728" s="10" t="s">
        <v>21</v>
      </c>
      <c r="C2728" s="10" t="s">
        <v>14</v>
      </c>
      <c r="D2728" s="10" t="s">
        <v>16</v>
      </c>
      <c r="E2728" s="4">
        <v>7</v>
      </c>
      <c r="F2728" s="4">
        <v>4438</v>
      </c>
      <c r="G2728" s="9">
        <v>770.3</v>
      </c>
    </row>
    <row r="2729" spans="1:7" ht="15.6" x14ac:dyDescent="0.3">
      <c r="A2729" s="16">
        <v>45209</v>
      </c>
      <c r="B2729" s="10" t="s">
        <v>22</v>
      </c>
      <c r="C2729" s="10" t="s">
        <v>11</v>
      </c>
      <c r="D2729" s="10" t="s">
        <v>12</v>
      </c>
      <c r="E2729" s="4">
        <v>9</v>
      </c>
      <c r="F2729" s="4">
        <v>972</v>
      </c>
      <c r="G2729" s="9">
        <v>100</v>
      </c>
    </row>
    <row r="2730" spans="1:7" ht="15.6" x14ac:dyDescent="0.3">
      <c r="A2730" s="16">
        <v>44806</v>
      </c>
      <c r="B2730" s="10" t="s">
        <v>22</v>
      </c>
      <c r="C2730" s="10" t="s">
        <v>11</v>
      </c>
      <c r="D2730" s="10" t="s">
        <v>16</v>
      </c>
      <c r="E2730" s="4">
        <v>2</v>
      </c>
      <c r="F2730" s="4">
        <v>1816</v>
      </c>
      <c r="G2730" s="9">
        <v>129.24</v>
      </c>
    </row>
    <row r="2731" spans="1:7" ht="15.6" x14ac:dyDescent="0.3">
      <c r="A2731" s="16">
        <v>45041</v>
      </c>
      <c r="B2731" s="10" t="s">
        <v>20</v>
      </c>
      <c r="C2731" s="10" t="s">
        <v>11</v>
      </c>
      <c r="D2731" s="10" t="s">
        <v>12</v>
      </c>
      <c r="E2731" s="4">
        <v>4</v>
      </c>
      <c r="F2731" s="4">
        <v>596</v>
      </c>
      <c r="G2731" s="9">
        <v>105.89</v>
      </c>
    </row>
    <row r="2732" spans="1:7" ht="15.6" x14ac:dyDescent="0.3">
      <c r="A2732" s="16">
        <v>45375</v>
      </c>
      <c r="B2732" s="10" t="s">
        <v>10</v>
      </c>
      <c r="C2732" s="10" t="s">
        <v>11</v>
      </c>
      <c r="D2732" s="10" t="s">
        <v>12</v>
      </c>
      <c r="E2732" s="4">
        <v>9</v>
      </c>
      <c r="F2732" s="4">
        <v>1233</v>
      </c>
      <c r="G2732" s="9">
        <v>346.9</v>
      </c>
    </row>
    <row r="2733" spans="1:7" ht="15.6" x14ac:dyDescent="0.3">
      <c r="A2733" s="16">
        <v>44935</v>
      </c>
      <c r="B2733" s="10" t="s">
        <v>18</v>
      </c>
      <c r="C2733" s="10" t="s">
        <v>11</v>
      </c>
      <c r="D2733" s="10" t="s">
        <v>16</v>
      </c>
      <c r="E2733" s="4">
        <v>1</v>
      </c>
      <c r="F2733" s="4">
        <v>1055</v>
      </c>
      <c r="G2733" s="9">
        <v>88.61</v>
      </c>
    </row>
    <row r="2734" spans="1:7" ht="15.6" x14ac:dyDescent="0.3">
      <c r="A2734" s="16">
        <v>44878</v>
      </c>
      <c r="B2734" s="10" t="s">
        <v>13</v>
      </c>
      <c r="C2734" s="10" t="s">
        <v>14</v>
      </c>
      <c r="D2734" s="10" t="s">
        <v>12</v>
      </c>
      <c r="E2734" s="4">
        <v>2</v>
      </c>
      <c r="F2734" s="4">
        <v>952</v>
      </c>
      <c r="G2734" s="9">
        <v>112.39</v>
      </c>
    </row>
    <row r="2735" spans="1:7" ht="15.6" x14ac:dyDescent="0.3">
      <c r="A2735" s="16">
        <v>44989</v>
      </c>
      <c r="B2735" s="10" t="s">
        <v>10</v>
      </c>
      <c r="C2735" s="10" t="s">
        <v>11</v>
      </c>
      <c r="D2735" s="10" t="s">
        <v>16</v>
      </c>
      <c r="E2735" s="4">
        <v>1</v>
      </c>
      <c r="F2735" s="4">
        <v>312</v>
      </c>
      <c r="G2735" s="9">
        <v>40.47</v>
      </c>
    </row>
    <row r="2736" spans="1:7" ht="15.6" x14ac:dyDescent="0.3">
      <c r="A2736" s="16">
        <v>44604</v>
      </c>
      <c r="B2736" s="10" t="s">
        <v>13</v>
      </c>
      <c r="C2736" s="10" t="s">
        <v>14</v>
      </c>
      <c r="D2736" s="10" t="s">
        <v>15</v>
      </c>
      <c r="E2736" s="4">
        <v>2</v>
      </c>
      <c r="F2736" s="4">
        <v>294</v>
      </c>
      <c r="G2736" s="9">
        <v>35.049999999999997</v>
      </c>
    </row>
    <row r="2737" spans="1:7" ht="15.6" x14ac:dyDescent="0.3">
      <c r="A2737" s="16">
        <v>44648</v>
      </c>
      <c r="B2737" s="10" t="s">
        <v>19</v>
      </c>
      <c r="C2737" s="10" t="s">
        <v>14</v>
      </c>
      <c r="D2737" s="10" t="s">
        <v>9</v>
      </c>
      <c r="E2737" s="4">
        <v>2</v>
      </c>
      <c r="F2737" s="4">
        <v>474</v>
      </c>
      <c r="G2737" s="9">
        <v>120.91</v>
      </c>
    </row>
    <row r="2738" spans="1:7" ht="15.6" x14ac:dyDescent="0.3">
      <c r="A2738" s="16">
        <v>45079</v>
      </c>
      <c r="B2738" s="10" t="s">
        <v>17</v>
      </c>
      <c r="C2738" s="10" t="s">
        <v>14</v>
      </c>
      <c r="D2738" s="10" t="s">
        <v>12</v>
      </c>
      <c r="E2738" s="4">
        <v>2</v>
      </c>
      <c r="F2738" s="4">
        <v>788</v>
      </c>
      <c r="G2738" s="9">
        <v>195.15</v>
      </c>
    </row>
    <row r="2739" spans="1:7" ht="15.6" x14ac:dyDescent="0.3">
      <c r="A2739" s="16">
        <v>44696</v>
      </c>
      <c r="B2739" s="10" t="s">
        <v>10</v>
      </c>
      <c r="C2739" s="10" t="s">
        <v>11</v>
      </c>
      <c r="D2739" s="10" t="s">
        <v>9</v>
      </c>
      <c r="E2739" s="4">
        <v>8</v>
      </c>
      <c r="F2739" s="4">
        <v>2760</v>
      </c>
      <c r="G2739" s="9">
        <v>156.53</v>
      </c>
    </row>
    <row r="2740" spans="1:7" ht="15.6" x14ac:dyDescent="0.3">
      <c r="A2740" s="16">
        <v>45213</v>
      </c>
      <c r="B2740" s="10" t="s">
        <v>23</v>
      </c>
      <c r="C2740" s="10" t="s">
        <v>14</v>
      </c>
      <c r="D2740" s="10" t="s">
        <v>9</v>
      </c>
      <c r="E2740" s="4">
        <v>4</v>
      </c>
      <c r="F2740" s="4">
        <v>908</v>
      </c>
      <c r="G2740" s="9">
        <v>219.79</v>
      </c>
    </row>
    <row r="2741" spans="1:7" ht="15.6" x14ac:dyDescent="0.3">
      <c r="A2741" s="16">
        <v>44851</v>
      </c>
      <c r="B2741" s="10" t="s">
        <v>21</v>
      </c>
      <c r="C2741" s="10" t="s">
        <v>14</v>
      </c>
      <c r="D2741" s="10" t="s">
        <v>12</v>
      </c>
      <c r="E2741" s="4">
        <v>1</v>
      </c>
      <c r="F2741" s="4">
        <v>593</v>
      </c>
      <c r="G2741" s="9">
        <v>133.01</v>
      </c>
    </row>
    <row r="2742" spans="1:7" ht="15.6" x14ac:dyDescent="0.3">
      <c r="A2742" s="16">
        <v>45123</v>
      </c>
      <c r="B2742" s="10" t="s">
        <v>18</v>
      </c>
      <c r="C2742" s="10" t="s">
        <v>11</v>
      </c>
      <c r="D2742" s="10" t="s">
        <v>15</v>
      </c>
      <c r="E2742" s="4">
        <v>6</v>
      </c>
      <c r="F2742" s="4">
        <v>1698</v>
      </c>
      <c r="G2742" s="9">
        <v>193.42</v>
      </c>
    </row>
    <row r="2743" spans="1:7" ht="15.6" x14ac:dyDescent="0.3">
      <c r="A2743" s="16">
        <v>45558</v>
      </c>
      <c r="B2743" s="10" t="s">
        <v>7</v>
      </c>
      <c r="C2743" s="10" t="s">
        <v>8</v>
      </c>
      <c r="D2743" s="10" t="s">
        <v>12</v>
      </c>
      <c r="E2743" s="4">
        <v>1</v>
      </c>
      <c r="F2743" s="4">
        <v>546</v>
      </c>
      <c r="G2743" s="9">
        <v>124.1</v>
      </c>
    </row>
    <row r="2744" spans="1:7" ht="15.6" x14ac:dyDescent="0.3">
      <c r="A2744" s="16">
        <v>44784</v>
      </c>
      <c r="B2744" s="10" t="s">
        <v>23</v>
      </c>
      <c r="C2744" s="10" t="s">
        <v>14</v>
      </c>
      <c r="D2744" s="10" t="s">
        <v>16</v>
      </c>
      <c r="E2744" s="4">
        <v>5</v>
      </c>
      <c r="F2744" s="4">
        <v>4380</v>
      </c>
      <c r="G2744" s="9">
        <v>275.83999999999997</v>
      </c>
    </row>
    <row r="2745" spans="1:7" ht="15.6" x14ac:dyDescent="0.3">
      <c r="A2745" s="16">
        <v>45088</v>
      </c>
      <c r="B2745" s="10" t="s">
        <v>17</v>
      </c>
      <c r="C2745" s="10" t="s">
        <v>14</v>
      </c>
      <c r="D2745" s="10" t="s">
        <v>16</v>
      </c>
      <c r="E2745" s="4">
        <v>4</v>
      </c>
      <c r="F2745" s="4">
        <v>2472</v>
      </c>
      <c r="G2745" s="9">
        <v>594.62</v>
      </c>
    </row>
    <row r="2746" spans="1:7" ht="15.6" x14ac:dyDescent="0.3">
      <c r="A2746" s="16">
        <v>45383</v>
      </c>
      <c r="B2746" s="10" t="s">
        <v>21</v>
      </c>
      <c r="C2746" s="10" t="s">
        <v>14</v>
      </c>
      <c r="D2746" s="10" t="s">
        <v>12</v>
      </c>
      <c r="E2746" s="4">
        <v>4</v>
      </c>
      <c r="F2746" s="4">
        <v>1996</v>
      </c>
      <c r="G2746" s="9">
        <v>396.63</v>
      </c>
    </row>
    <row r="2747" spans="1:7" ht="15.6" x14ac:dyDescent="0.3">
      <c r="A2747" s="16">
        <v>45651</v>
      </c>
      <c r="B2747" s="10" t="s">
        <v>17</v>
      </c>
      <c r="C2747" s="10" t="s">
        <v>14</v>
      </c>
      <c r="D2747" s="10" t="s">
        <v>16</v>
      </c>
      <c r="E2747" s="4">
        <v>5</v>
      </c>
      <c r="F2747" s="4">
        <v>2525</v>
      </c>
      <c r="G2747" s="9">
        <v>699.74</v>
      </c>
    </row>
    <row r="2748" spans="1:7" ht="15.6" x14ac:dyDescent="0.3">
      <c r="A2748" s="16">
        <v>44747</v>
      </c>
      <c r="B2748" s="10" t="s">
        <v>18</v>
      </c>
      <c r="C2748" s="10" t="s">
        <v>11</v>
      </c>
      <c r="D2748" s="10" t="s">
        <v>16</v>
      </c>
      <c r="E2748" s="4">
        <v>9</v>
      </c>
      <c r="F2748" s="4">
        <v>4041</v>
      </c>
      <c r="G2748" s="9">
        <v>517.23</v>
      </c>
    </row>
    <row r="2749" spans="1:7" ht="15.6" x14ac:dyDescent="0.3">
      <c r="A2749" s="16">
        <v>45489</v>
      </c>
      <c r="B2749" s="10" t="s">
        <v>22</v>
      </c>
      <c r="C2749" s="10" t="s">
        <v>11</v>
      </c>
      <c r="D2749" s="10" t="s">
        <v>15</v>
      </c>
      <c r="E2749" s="4">
        <v>3</v>
      </c>
      <c r="F2749" s="4">
        <v>858</v>
      </c>
      <c r="G2749" s="9">
        <v>246.86</v>
      </c>
    </row>
    <row r="2750" spans="1:7" ht="15.6" x14ac:dyDescent="0.3">
      <c r="A2750" s="16">
        <v>44909</v>
      </c>
      <c r="B2750" s="10" t="s">
        <v>22</v>
      </c>
      <c r="C2750" s="10" t="s">
        <v>11</v>
      </c>
      <c r="D2750" s="10" t="s">
        <v>9</v>
      </c>
      <c r="E2750" s="4">
        <v>9</v>
      </c>
      <c r="F2750" s="4">
        <v>4221</v>
      </c>
      <c r="G2750" s="9">
        <v>1238.5999999999999</v>
      </c>
    </row>
    <row r="2751" spans="1:7" ht="15.6" x14ac:dyDescent="0.3">
      <c r="A2751" s="16">
        <v>44973</v>
      </c>
      <c r="B2751" s="10" t="s">
        <v>13</v>
      </c>
      <c r="C2751" s="10" t="s">
        <v>14</v>
      </c>
      <c r="D2751" s="10" t="s">
        <v>12</v>
      </c>
      <c r="E2751" s="4">
        <v>2</v>
      </c>
      <c r="F2751" s="4">
        <v>858</v>
      </c>
      <c r="G2751" s="9">
        <v>73.489999999999995</v>
      </c>
    </row>
    <row r="2752" spans="1:7" ht="15.6" x14ac:dyDescent="0.3">
      <c r="A2752" s="16">
        <v>45631</v>
      </c>
      <c r="B2752" s="10" t="s">
        <v>22</v>
      </c>
      <c r="C2752" s="10" t="s">
        <v>11</v>
      </c>
      <c r="D2752" s="10" t="s">
        <v>9</v>
      </c>
      <c r="E2752" s="4">
        <v>1</v>
      </c>
      <c r="F2752" s="4">
        <v>776</v>
      </c>
      <c r="G2752" s="9">
        <v>172.19</v>
      </c>
    </row>
    <row r="2753" spans="1:7" ht="15.6" x14ac:dyDescent="0.3">
      <c r="A2753" s="16">
        <v>45161</v>
      </c>
      <c r="B2753" s="10" t="s">
        <v>23</v>
      </c>
      <c r="C2753" s="10" t="s">
        <v>14</v>
      </c>
      <c r="D2753" s="10" t="s">
        <v>9</v>
      </c>
      <c r="E2753" s="4">
        <v>7</v>
      </c>
      <c r="F2753" s="4">
        <v>3654</v>
      </c>
      <c r="G2753" s="9">
        <v>871.81</v>
      </c>
    </row>
    <row r="2754" spans="1:7" ht="15.6" x14ac:dyDescent="0.3">
      <c r="A2754" s="16">
        <v>45336</v>
      </c>
      <c r="B2754" s="10" t="s">
        <v>18</v>
      </c>
      <c r="C2754" s="10" t="s">
        <v>11</v>
      </c>
      <c r="D2754" s="10" t="s">
        <v>12</v>
      </c>
      <c r="E2754" s="4">
        <v>3</v>
      </c>
      <c r="F2754" s="4">
        <v>384</v>
      </c>
      <c r="G2754" s="9">
        <v>45.99</v>
      </c>
    </row>
    <row r="2755" spans="1:7" ht="15.6" x14ac:dyDescent="0.3">
      <c r="A2755" s="16">
        <v>45185</v>
      </c>
      <c r="B2755" s="10" t="s">
        <v>7</v>
      </c>
      <c r="C2755" s="10" t="s">
        <v>8</v>
      </c>
      <c r="D2755" s="10" t="s">
        <v>16</v>
      </c>
      <c r="E2755" s="4">
        <v>5</v>
      </c>
      <c r="F2755" s="4">
        <v>535</v>
      </c>
      <c r="G2755" s="9">
        <v>43.47</v>
      </c>
    </row>
    <row r="2756" spans="1:7" ht="15.6" x14ac:dyDescent="0.3">
      <c r="A2756" s="16">
        <v>44891</v>
      </c>
      <c r="B2756" s="10" t="s">
        <v>18</v>
      </c>
      <c r="C2756" s="10" t="s">
        <v>11</v>
      </c>
      <c r="D2756" s="10" t="s">
        <v>9</v>
      </c>
      <c r="E2756" s="4">
        <v>9</v>
      </c>
      <c r="F2756" s="4">
        <v>7992</v>
      </c>
      <c r="G2756" s="9">
        <v>1979.53</v>
      </c>
    </row>
    <row r="2757" spans="1:7" ht="15.6" x14ac:dyDescent="0.3">
      <c r="A2757" s="16">
        <v>45477</v>
      </c>
      <c r="B2757" s="10" t="s">
        <v>10</v>
      </c>
      <c r="C2757" s="10" t="s">
        <v>11</v>
      </c>
      <c r="D2757" s="10" t="s">
        <v>9</v>
      </c>
      <c r="E2757" s="4">
        <v>7</v>
      </c>
      <c r="F2757" s="4">
        <v>3892</v>
      </c>
      <c r="G2757" s="9">
        <v>350.57</v>
      </c>
    </row>
    <row r="2758" spans="1:7" ht="15.6" x14ac:dyDescent="0.3">
      <c r="A2758" s="16">
        <v>45348</v>
      </c>
      <c r="B2758" s="10" t="s">
        <v>13</v>
      </c>
      <c r="C2758" s="10" t="s">
        <v>14</v>
      </c>
      <c r="D2758" s="10" t="s">
        <v>12</v>
      </c>
      <c r="E2758" s="4">
        <v>3</v>
      </c>
      <c r="F2758" s="4">
        <v>2637</v>
      </c>
      <c r="G2758" s="9">
        <v>468.6</v>
      </c>
    </row>
    <row r="2759" spans="1:7" ht="15.6" x14ac:dyDescent="0.3">
      <c r="A2759" s="16">
        <v>45334</v>
      </c>
      <c r="B2759" s="10" t="s">
        <v>10</v>
      </c>
      <c r="C2759" s="10" t="s">
        <v>11</v>
      </c>
      <c r="D2759" s="10" t="s">
        <v>15</v>
      </c>
      <c r="E2759" s="4">
        <v>8</v>
      </c>
      <c r="F2759" s="4">
        <v>8664</v>
      </c>
      <c r="G2759" s="9">
        <v>2349.6799999999998</v>
      </c>
    </row>
    <row r="2760" spans="1:7" ht="15.6" x14ac:dyDescent="0.3">
      <c r="A2760" s="16">
        <v>45202</v>
      </c>
      <c r="B2760" s="10" t="s">
        <v>19</v>
      </c>
      <c r="C2760" s="10" t="s">
        <v>14</v>
      </c>
      <c r="D2760" s="10" t="s">
        <v>15</v>
      </c>
      <c r="E2760" s="4">
        <v>6</v>
      </c>
      <c r="F2760" s="4">
        <v>918</v>
      </c>
      <c r="G2760" s="9">
        <v>116.87</v>
      </c>
    </row>
    <row r="2761" spans="1:7" ht="15.6" x14ac:dyDescent="0.3">
      <c r="A2761" s="16">
        <v>45308</v>
      </c>
      <c r="B2761" s="10" t="s">
        <v>20</v>
      </c>
      <c r="C2761" s="10" t="s">
        <v>11</v>
      </c>
      <c r="D2761" s="10" t="s">
        <v>16</v>
      </c>
      <c r="E2761" s="4">
        <v>5</v>
      </c>
      <c r="F2761" s="4">
        <v>5625</v>
      </c>
      <c r="G2761" s="9">
        <v>1006.95</v>
      </c>
    </row>
    <row r="2762" spans="1:7" ht="15.6" x14ac:dyDescent="0.3">
      <c r="A2762" s="16">
        <v>45079</v>
      </c>
      <c r="B2762" s="10" t="s">
        <v>13</v>
      </c>
      <c r="C2762" s="10" t="s">
        <v>14</v>
      </c>
      <c r="D2762" s="10" t="s">
        <v>16</v>
      </c>
      <c r="E2762" s="4">
        <v>6</v>
      </c>
      <c r="F2762" s="4">
        <v>6030</v>
      </c>
      <c r="G2762" s="9">
        <v>511.7</v>
      </c>
    </row>
    <row r="2763" spans="1:7" ht="15.6" x14ac:dyDescent="0.3">
      <c r="A2763" s="16">
        <v>44673</v>
      </c>
      <c r="B2763" s="10" t="s">
        <v>7</v>
      </c>
      <c r="C2763" s="10" t="s">
        <v>8</v>
      </c>
      <c r="D2763" s="10" t="s">
        <v>16</v>
      </c>
      <c r="E2763" s="4">
        <v>8</v>
      </c>
      <c r="F2763" s="4">
        <v>432</v>
      </c>
      <c r="G2763" s="9">
        <v>98.44</v>
      </c>
    </row>
    <row r="2764" spans="1:7" ht="15.6" x14ac:dyDescent="0.3">
      <c r="A2764" s="16">
        <v>45343</v>
      </c>
      <c r="B2764" s="10" t="s">
        <v>23</v>
      </c>
      <c r="C2764" s="10" t="s">
        <v>14</v>
      </c>
      <c r="D2764" s="10" t="s">
        <v>15</v>
      </c>
      <c r="E2764" s="4">
        <v>6</v>
      </c>
      <c r="F2764" s="4">
        <v>1884</v>
      </c>
      <c r="G2764" s="9">
        <v>190.58</v>
      </c>
    </row>
    <row r="2765" spans="1:7" ht="15.6" x14ac:dyDescent="0.3">
      <c r="A2765" s="16">
        <v>44978</v>
      </c>
      <c r="B2765" s="10" t="s">
        <v>23</v>
      </c>
      <c r="C2765" s="10" t="s">
        <v>14</v>
      </c>
      <c r="D2765" s="10" t="s">
        <v>12</v>
      </c>
      <c r="E2765" s="4">
        <v>9</v>
      </c>
      <c r="F2765" s="4">
        <v>9225</v>
      </c>
      <c r="G2765" s="9">
        <v>2526.27</v>
      </c>
    </row>
    <row r="2766" spans="1:7" ht="15.6" x14ac:dyDescent="0.3">
      <c r="A2766" s="16">
        <v>44777</v>
      </c>
      <c r="B2766" s="10" t="s">
        <v>7</v>
      </c>
      <c r="C2766" s="10" t="s">
        <v>8</v>
      </c>
      <c r="D2766" s="10" t="s">
        <v>9</v>
      </c>
      <c r="E2766" s="4">
        <v>2</v>
      </c>
      <c r="F2766" s="4">
        <v>954</v>
      </c>
      <c r="G2766" s="9">
        <v>71</v>
      </c>
    </row>
    <row r="2767" spans="1:7" ht="15.6" x14ac:dyDescent="0.3">
      <c r="A2767" s="16">
        <v>44964</v>
      </c>
      <c r="B2767" s="10" t="s">
        <v>19</v>
      </c>
      <c r="C2767" s="10" t="s">
        <v>14</v>
      </c>
      <c r="D2767" s="10" t="s">
        <v>16</v>
      </c>
      <c r="E2767" s="4">
        <v>8</v>
      </c>
      <c r="F2767" s="4">
        <v>7072</v>
      </c>
      <c r="G2767" s="9">
        <v>1983.42</v>
      </c>
    </row>
    <row r="2768" spans="1:7" ht="15.6" x14ac:dyDescent="0.3">
      <c r="A2768" s="16">
        <v>45511</v>
      </c>
      <c r="B2768" s="10" t="s">
        <v>21</v>
      </c>
      <c r="C2768" s="10" t="s">
        <v>14</v>
      </c>
      <c r="D2768" s="10" t="s">
        <v>9</v>
      </c>
      <c r="E2768" s="4">
        <v>3</v>
      </c>
      <c r="F2768" s="4">
        <v>342</v>
      </c>
      <c r="G2768" s="9">
        <v>89.67</v>
      </c>
    </row>
    <row r="2769" spans="1:7" ht="15.6" x14ac:dyDescent="0.3">
      <c r="A2769" s="16">
        <v>44962</v>
      </c>
      <c r="B2769" s="10" t="s">
        <v>7</v>
      </c>
      <c r="C2769" s="10" t="s">
        <v>8</v>
      </c>
      <c r="D2769" s="10" t="s">
        <v>15</v>
      </c>
      <c r="E2769" s="4">
        <v>4</v>
      </c>
      <c r="F2769" s="4">
        <v>2440</v>
      </c>
      <c r="G2769" s="9">
        <v>410.86</v>
      </c>
    </row>
    <row r="2770" spans="1:7" ht="15.6" x14ac:dyDescent="0.3">
      <c r="A2770" s="16">
        <v>45313</v>
      </c>
      <c r="B2770" s="10" t="s">
        <v>10</v>
      </c>
      <c r="C2770" s="10" t="s">
        <v>11</v>
      </c>
      <c r="D2770" s="10" t="s">
        <v>15</v>
      </c>
      <c r="E2770" s="4">
        <v>5</v>
      </c>
      <c r="F2770" s="4">
        <v>510</v>
      </c>
      <c r="G2770" s="9">
        <v>82.47</v>
      </c>
    </row>
    <row r="2771" spans="1:7" ht="15.6" x14ac:dyDescent="0.3">
      <c r="A2771" s="16">
        <v>45211</v>
      </c>
      <c r="B2771" s="10" t="s">
        <v>21</v>
      </c>
      <c r="C2771" s="10" t="s">
        <v>14</v>
      </c>
      <c r="D2771" s="10" t="s">
        <v>15</v>
      </c>
      <c r="E2771" s="4">
        <v>1</v>
      </c>
      <c r="F2771" s="4">
        <v>192</v>
      </c>
      <c r="G2771" s="9">
        <v>16.47</v>
      </c>
    </row>
    <row r="2772" spans="1:7" ht="15.6" x14ac:dyDescent="0.3">
      <c r="A2772" s="16">
        <v>45195</v>
      </c>
      <c r="B2772" s="10" t="s">
        <v>10</v>
      </c>
      <c r="C2772" s="10" t="s">
        <v>11</v>
      </c>
      <c r="D2772" s="10" t="s">
        <v>12</v>
      </c>
      <c r="E2772" s="4">
        <v>5</v>
      </c>
      <c r="F2772" s="4">
        <v>3600</v>
      </c>
      <c r="G2772" s="9">
        <v>712.3</v>
      </c>
    </row>
    <row r="2773" spans="1:7" ht="15.6" x14ac:dyDescent="0.3">
      <c r="A2773" s="16">
        <v>45444</v>
      </c>
      <c r="B2773" s="10" t="s">
        <v>17</v>
      </c>
      <c r="C2773" s="10" t="s">
        <v>14</v>
      </c>
      <c r="D2773" s="10" t="s">
        <v>16</v>
      </c>
      <c r="E2773" s="4">
        <v>7</v>
      </c>
      <c r="F2773" s="4">
        <v>2597</v>
      </c>
      <c r="G2773" s="9">
        <v>766.32</v>
      </c>
    </row>
    <row r="2774" spans="1:7" ht="15.6" x14ac:dyDescent="0.3">
      <c r="A2774" s="16">
        <v>45150</v>
      </c>
      <c r="B2774" s="10" t="s">
        <v>17</v>
      </c>
      <c r="C2774" s="10" t="s">
        <v>14</v>
      </c>
      <c r="D2774" s="10" t="s">
        <v>12</v>
      </c>
      <c r="E2774" s="4">
        <v>4</v>
      </c>
      <c r="F2774" s="4">
        <v>772</v>
      </c>
      <c r="G2774" s="9">
        <v>215.62</v>
      </c>
    </row>
    <row r="2775" spans="1:7" ht="15.6" x14ac:dyDescent="0.3">
      <c r="A2775" s="16">
        <v>45144</v>
      </c>
      <c r="B2775" s="10" t="s">
        <v>10</v>
      </c>
      <c r="C2775" s="10" t="s">
        <v>11</v>
      </c>
      <c r="D2775" s="10" t="s">
        <v>16</v>
      </c>
      <c r="E2775" s="4">
        <v>2</v>
      </c>
      <c r="F2775" s="4">
        <v>646</v>
      </c>
      <c r="G2775" s="9">
        <v>180.5</v>
      </c>
    </row>
    <row r="2776" spans="1:7" ht="15.6" x14ac:dyDescent="0.3">
      <c r="A2776" s="16">
        <v>45380</v>
      </c>
      <c r="B2776" s="10" t="s">
        <v>21</v>
      </c>
      <c r="C2776" s="10" t="s">
        <v>14</v>
      </c>
      <c r="D2776" s="10" t="s">
        <v>12</v>
      </c>
      <c r="E2776" s="4">
        <v>7</v>
      </c>
      <c r="F2776" s="4">
        <v>2947</v>
      </c>
      <c r="G2776" s="9">
        <v>809.46</v>
      </c>
    </row>
    <row r="2777" spans="1:7" ht="15.6" x14ac:dyDescent="0.3">
      <c r="A2777" s="16">
        <v>44978</v>
      </c>
      <c r="B2777" s="10" t="s">
        <v>23</v>
      </c>
      <c r="C2777" s="10" t="s">
        <v>14</v>
      </c>
      <c r="D2777" s="10" t="s">
        <v>15</v>
      </c>
      <c r="E2777" s="4">
        <v>5</v>
      </c>
      <c r="F2777" s="4">
        <v>880</v>
      </c>
      <c r="G2777" s="9">
        <v>255.9</v>
      </c>
    </row>
    <row r="2778" spans="1:7" ht="15.6" x14ac:dyDescent="0.3">
      <c r="A2778" s="16">
        <v>44603</v>
      </c>
      <c r="B2778" s="10" t="s">
        <v>17</v>
      </c>
      <c r="C2778" s="10" t="s">
        <v>14</v>
      </c>
      <c r="D2778" s="10" t="s">
        <v>16</v>
      </c>
      <c r="E2778" s="4">
        <v>3</v>
      </c>
      <c r="F2778" s="4">
        <v>1038</v>
      </c>
      <c r="G2778" s="9">
        <v>219.69</v>
      </c>
    </row>
    <row r="2779" spans="1:7" ht="15.6" x14ac:dyDescent="0.3">
      <c r="A2779" s="16">
        <v>45509</v>
      </c>
      <c r="B2779" s="10" t="s">
        <v>7</v>
      </c>
      <c r="C2779" s="10" t="s">
        <v>8</v>
      </c>
      <c r="D2779" s="10" t="s">
        <v>16</v>
      </c>
      <c r="E2779" s="4">
        <v>1</v>
      </c>
      <c r="F2779" s="4">
        <v>714</v>
      </c>
      <c r="G2779" s="9">
        <v>209.69</v>
      </c>
    </row>
    <row r="2780" spans="1:7" ht="15.6" x14ac:dyDescent="0.3">
      <c r="A2780" s="16">
        <v>45142</v>
      </c>
      <c r="B2780" s="10" t="s">
        <v>23</v>
      </c>
      <c r="C2780" s="10" t="s">
        <v>14</v>
      </c>
      <c r="D2780" s="10" t="s">
        <v>15</v>
      </c>
      <c r="E2780" s="4">
        <v>4</v>
      </c>
      <c r="F2780" s="4">
        <v>1792</v>
      </c>
      <c r="G2780" s="9">
        <v>506.56</v>
      </c>
    </row>
    <row r="2781" spans="1:7" ht="15.6" x14ac:dyDescent="0.3">
      <c r="A2781" s="16">
        <v>44794</v>
      </c>
      <c r="B2781" s="10" t="s">
        <v>18</v>
      </c>
      <c r="C2781" s="10" t="s">
        <v>11</v>
      </c>
      <c r="D2781" s="10" t="s">
        <v>12</v>
      </c>
      <c r="E2781" s="4">
        <v>6</v>
      </c>
      <c r="F2781" s="4">
        <v>5874</v>
      </c>
      <c r="G2781" s="9">
        <v>1386.51</v>
      </c>
    </row>
    <row r="2782" spans="1:7" ht="15.6" x14ac:dyDescent="0.3">
      <c r="A2782" s="16">
        <v>45151</v>
      </c>
      <c r="B2782" s="10" t="s">
        <v>19</v>
      </c>
      <c r="C2782" s="10" t="s">
        <v>14</v>
      </c>
      <c r="D2782" s="10" t="s">
        <v>12</v>
      </c>
      <c r="E2782" s="4">
        <v>6</v>
      </c>
      <c r="F2782" s="4">
        <v>2496</v>
      </c>
      <c r="G2782" s="9">
        <v>332.08</v>
      </c>
    </row>
    <row r="2783" spans="1:7" ht="15.6" x14ac:dyDescent="0.3">
      <c r="A2783" s="16">
        <v>45273</v>
      </c>
      <c r="B2783" s="10" t="s">
        <v>19</v>
      </c>
      <c r="C2783" s="10" t="s">
        <v>14</v>
      </c>
      <c r="D2783" s="10" t="s">
        <v>16</v>
      </c>
      <c r="E2783" s="4">
        <v>3</v>
      </c>
      <c r="F2783" s="4">
        <v>795</v>
      </c>
      <c r="G2783" s="9">
        <v>60.34</v>
      </c>
    </row>
    <row r="2784" spans="1:7" ht="15.6" x14ac:dyDescent="0.3">
      <c r="A2784" s="16">
        <v>44952</v>
      </c>
      <c r="B2784" s="10" t="s">
        <v>21</v>
      </c>
      <c r="C2784" s="10" t="s">
        <v>14</v>
      </c>
      <c r="D2784" s="10" t="s">
        <v>12</v>
      </c>
      <c r="E2784" s="4">
        <v>7</v>
      </c>
      <c r="F2784" s="4">
        <v>7238</v>
      </c>
      <c r="G2784" s="9">
        <v>1597.03</v>
      </c>
    </row>
    <row r="2785" spans="1:7" ht="15.6" x14ac:dyDescent="0.3">
      <c r="A2785" s="16">
        <v>45165</v>
      </c>
      <c r="B2785" s="10" t="s">
        <v>13</v>
      </c>
      <c r="C2785" s="10" t="s">
        <v>14</v>
      </c>
      <c r="D2785" s="10" t="s">
        <v>15</v>
      </c>
      <c r="E2785" s="4">
        <v>1</v>
      </c>
      <c r="F2785" s="4">
        <v>430</v>
      </c>
      <c r="G2785" s="9">
        <v>83.33</v>
      </c>
    </row>
    <row r="2786" spans="1:7" ht="15.6" x14ac:dyDescent="0.3">
      <c r="A2786" s="16">
        <v>44571</v>
      </c>
      <c r="B2786" s="10" t="s">
        <v>18</v>
      </c>
      <c r="C2786" s="10" t="s">
        <v>11</v>
      </c>
      <c r="D2786" s="10" t="s">
        <v>16</v>
      </c>
      <c r="E2786" s="4">
        <v>4</v>
      </c>
      <c r="F2786" s="4">
        <v>1728</v>
      </c>
      <c r="G2786" s="9">
        <v>239.64</v>
      </c>
    </row>
    <row r="2787" spans="1:7" ht="15.6" x14ac:dyDescent="0.3">
      <c r="A2787" s="16">
        <v>44658</v>
      </c>
      <c r="B2787" s="10" t="s">
        <v>20</v>
      </c>
      <c r="C2787" s="10" t="s">
        <v>11</v>
      </c>
      <c r="D2787" s="10" t="s">
        <v>15</v>
      </c>
      <c r="E2787" s="4">
        <v>3</v>
      </c>
      <c r="F2787" s="4">
        <v>1833</v>
      </c>
      <c r="G2787" s="9">
        <v>314.79000000000002</v>
      </c>
    </row>
    <row r="2788" spans="1:7" ht="15.6" x14ac:dyDescent="0.3">
      <c r="A2788" s="16">
        <v>45222</v>
      </c>
      <c r="B2788" s="10" t="s">
        <v>20</v>
      </c>
      <c r="C2788" s="10" t="s">
        <v>11</v>
      </c>
      <c r="D2788" s="10" t="s">
        <v>9</v>
      </c>
      <c r="E2788" s="4">
        <v>7</v>
      </c>
      <c r="F2788" s="4">
        <v>7280</v>
      </c>
      <c r="G2788" s="9">
        <v>1682.79</v>
      </c>
    </row>
    <row r="2789" spans="1:7" ht="15.6" x14ac:dyDescent="0.3">
      <c r="A2789" s="16">
        <v>45352</v>
      </c>
      <c r="B2789" s="10" t="s">
        <v>19</v>
      </c>
      <c r="C2789" s="10" t="s">
        <v>14</v>
      </c>
      <c r="D2789" s="10" t="s">
        <v>15</v>
      </c>
      <c r="E2789" s="4">
        <v>1</v>
      </c>
      <c r="F2789" s="4">
        <v>814</v>
      </c>
      <c r="G2789" s="9">
        <v>197.91</v>
      </c>
    </row>
    <row r="2790" spans="1:7" ht="15.6" x14ac:dyDescent="0.3">
      <c r="A2790" s="16">
        <v>44991</v>
      </c>
      <c r="B2790" s="10" t="s">
        <v>7</v>
      </c>
      <c r="C2790" s="10" t="s">
        <v>8</v>
      </c>
      <c r="D2790" s="10" t="s">
        <v>15</v>
      </c>
      <c r="E2790" s="4">
        <v>8</v>
      </c>
      <c r="F2790" s="4">
        <v>4696</v>
      </c>
      <c r="G2790" s="9">
        <v>410.03</v>
      </c>
    </row>
    <row r="2791" spans="1:7" ht="15.6" x14ac:dyDescent="0.3">
      <c r="A2791" s="16">
        <v>45134</v>
      </c>
      <c r="B2791" s="10" t="s">
        <v>10</v>
      </c>
      <c r="C2791" s="10" t="s">
        <v>11</v>
      </c>
      <c r="D2791" s="10" t="s">
        <v>15</v>
      </c>
      <c r="E2791" s="4">
        <v>5</v>
      </c>
      <c r="F2791" s="4">
        <v>1190</v>
      </c>
      <c r="G2791" s="9">
        <v>235.64</v>
      </c>
    </row>
    <row r="2792" spans="1:7" ht="15.6" x14ac:dyDescent="0.3">
      <c r="A2792" s="16">
        <v>45307</v>
      </c>
      <c r="B2792" s="10" t="s">
        <v>7</v>
      </c>
      <c r="C2792" s="10" t="s">
        <v>8</v>
      </c>
      <c r="D2792" s="10" t="s">
        <v>12</v>
      </c>
      <c r="E2792" s="4">
        <v>1</v>
      </c>
      <c r="F2792" s="4">
        <v>591</v>
      </c>
      <c r="G2792" s="9">
        <v>39.06</v>
      </c>
    </row>
    <row r="2793" spans="1:7" ht="15.6" x14ac:dyDescent="0.3">
      <c r="A2793" s="16">
        <v>45259</v>
      </c>
      <c r="B2793" s="10" t="s">
        <v>10</v>
      </c>
      <c r="C2793" s="10" t="s">
        <v>11</v>
      </c>
      <c r="D2793" s="10" t="s">
        <v>9</v>
      </c>
      <c r="E2793" s="4">
        <v>9</v>
      </c>
      <c r="F2793" s="4">
        <v>8100</v>
      </c>
      <c r="G2793" s="9">
        <v>2203.56</v>
      </c>
    </row>
    <row r="2794" spans="1:7" ht="15.6" x14ac:dyDescent="0.3">
      <c r="A2794" s="16">
        <v>45388</v>
      </c>
      <c r="B2794" s="10" t="s">
        <v>23</v>
      </c>
      <c r="C2794" s="10" t="s">
        <v>14</v>
      </c>
      <c r="D2794" s="10" t="s">
        <v>15</v>
      </c>
      <c r="E2794" s="4">
        <v>6</v>
      </c>
      <c r="F2794" s="4">
        <v>1500</v>
      </c>
      <c r="G2794" s="9">
        <v>183.31</v>
      </c>
    </row>
    <row r="2795" spans="1:7" ht="15.6" x14ac:dyDescent="0.3">
      <c r="A2795" s="16">
        <v>45499</v>
      </c>
      <c r="B2795" s="10" t="s">
        <v>19</v>
      </c>
      <c r="C2795" s="10" t="s">
        <v>14</v>
      </c>
      <c r="D2795" s="10" t="s">
        <v>9</v>
      </c>
      <c r="E2795" s="4">
        <v>2</v>
      </c>
      <c r="F2795" s="4">
        <v>300</v>
      </c>
      <c r="G2795" s="9">
        <v>48.69</v>
      </c>
    </row>
    <row r="2796" spans="1:7" ht="15.6" x14ac:dyDescent="0.3">
      <c r="A2796" s="16">
        <v>45077</v>
      </c>
      <c r="B2796" s="10" t="s">
        <v>19</v>
      </c>
      <c r="C2796" s="10" t="s">
        <v>14</v>
      </c>
      <c r="D2796" s="10" t="s">
        <v>9</v>
      </c>
      <c r="E2796" s="4">
        <v>9</v>
      </c>
      <c r="F2796" s="4">
        <v>1098</v>
      </c>
      <c r="G2796" s="9">
        <v>106.97</v>
      </c>
    </row>
    <row r="2797" spans="1:7" ht="15.6" x14ac:dyDescent="0.3">
      <c r="A2797" s="16">
        <v>45440</v>
      </c>
      <c r="B2797" s="10" t="s">
        <v>20</v>
      </c>
      <c r="C2797" s="10" t="s">
        <v>11</v>
      </c>
      <c r="D2797" s="10" t="s">
        <v>16</v>
      </c>
      <c r="E2797" s="4">
        <v>4</v>
      </c>
      <c r="F2797" s="4">
        <v>2336</v>
      </c>
      <c r="G2797" s="9">
        <v>509.49</v>
      </c>
    </row>
    <row r="2798" spans="1:7" ht="15.6" x14ac:dyDescent="0.3">
      <c r="A2798" s="16">
        <v>44839</v>
      </c>
      <c r="B2798" s="10" t="s">
        <v>17</v>
      </c>
      <c r="C2798" s="10" t="s">
        <v>14</v>
      </c>
      <c r="D2798" s="10" t="s">
        <v>9</v>
      </c>
      <c r="E2798" s="4">
        <v>5</v>
      </c>
      <c r="F2798" s="4">
        <v>410</v>
      </c>
      <c r="G2798" s="9">
        <v>40.96</v>
      </c>
    </row>
    <row r="2799" spans="1:7" ht="15.6" x14ac:dyDescent="0.3">
      <c r="A2799" s="16">
        <v>45208</v>
      </c>
      <c r="B2799" s="10" t="s">
        <v>10</v>
      </c>
      <c r="C2799" s="10" t="s">
        <v>11</v>
      </c>
      <c r="D2799" s="10" t="s">
        <v>15</v>
      </c>
      <c r="E2799" s="4">
        <v>9</v>
      </c>
      <c r="F2799" s="4">
        <v>594</v>
      </c>
      <c r="G2799" s="9">
        <v>51.49</v>
      </c>
    </row>
    <row r="2800" spans="1:7" ht="15.6" x14ac:dyDescent="0.3">
      <c r="A2800" s="16">
        <v>45189</v>
      </c>
      <c r="B2800" s="10" t="s">
        <v>19</v>
      </c>
      <c r="C2800" s="10" t="s">
        <v>14</v>
      </c>
      <c r="D2800" s="10" t="s">
        <v>12</v>
      </c>
      <c r="E2800" s="4">
        <v>2</v>
      </c>
      <c r="F2800" s="4">
        <v>218</v>
      </c>
      <c r="G2800" s="9">
        <v>38.93</v>
      </c>
    </row>
    <row r="2801" spans="1:7" ht="15.6" x14ac:dyDescent="0.3">
      <c r="A2801" s="16">
        <v>45010</v>
      </c>
      <c r="B2801" s="10" t="s">
        <v>13</v>
      </c>
      <c r="C2801" s="10" t="s">
        <v>14</v>
      </c>
      <c r="D2801" s="10" t="s">
        <v>15</v>
      </c>
      <c r="E2801" s="4">
        <v>2</v>
      </c>
      <c r="F2801" s="4">
        <v>1298</v>
      </c>
      <c r="G2801" s="9">
        <v>123.9</v>
      </c>
    </row>
    <row r="2802" spans="1:7" ht="15.6" x14ac:dyDescent="0.3">
      <c r="A2802" s="16">
        <v>45379</v>
      </c>
      <c r="B2802" s="10" t="s">
        <v>13</v>
      </c>
      <c r="C2802" s="10" t="s">
        <v>14</v>
      </c>
      <c r="D2802" s="10" t="s">
        <v>9</v>
      </c>
      <c r="E2802" s="4">
        <v>5</v>
      </c>
      <c r="F2802" s="4">
        <v>895</v>
      </c>
      <c r="G2802" s="9">
        <v>180.64</v>
      </c>
    </row>
    <row r="2803" spans="1:7" ht="15.6" x14ac:dyDescent="0.3">
      <c r="A2803" s="16">
        <v>45138</v>
      </c>
      <c r="B2803" s="10" t="s">
        <v>22</v>
      </c>
      <c r="C2803" s="10" t="s">
        <v>11</v>
      </c>
      <c r="D2803" s="10" t="s">
        <v>16</v>
      </c>
      <c r="E2803" s="4">
        <v>4</v>
      </c>
      <c r="F2803" s="4">
        <v>2828</v>
      </c>
      <c r="G2803" s="9">
        <v>539.42999999999995</v>
      </c>
    </row>
    <row r="2804" spans="1:7" ht="15.6" x14ac:dyDescent="0.3">
      <c r="A2804" s="16">
        <v>45245</v>
      </c>
      <c r="B2804" s="10" t="s">
        <v>13</v>
      </c>
      <c r="C2804" s="10" t="s">
        <v>14</v>
      </c>
      <c r="D2804" s="10" t="s">
        <v>16</v>
      </c>
      <c r="E2804" s="4">
        <v>3</v>
      </c>
      <c r="F2804" s="4">
        <v>813</v>
      </c>
      <c r="G2804" s="9">
        <v>188.94</v>
      </c>
    </row>
    <row r="2805" spans="1:7" ht="15.6" x14ac:dyDescent="0.3">
      <c r="A2805" s="16">
        <v>45462</v>
      </c>
      <c r="B2805" s="10" t="s">
        <v>20</v>
      </c>
      <c r="C2805" s="10" t="s">
        <v>11</v>
      </c>
      <c r="D2805" s="10" t="s">
        <v>16</v>
      </c>
      <c r="E2805" s="4">
        <v>4</v>
      </c>
      <c r="F2805" s="4">
        <v>1800</v>
      </c>
      <c r="G2805" s="9">
        <v>170.19</v>
      </c>
    </row>
    <row r="2806" spans="1:7" ht="15.6" x14ac:dyDescent="0.3">
      <c r="A2806" s="16">
        <v>45497</v>
      </c>
      <c r="B2806" s="10" t="s">
        <v>13</v>
      </c>
      <c r="C2806" s="10" t="s">
        <v>14</v>
      </c>
      <c r="D2806" s="10" t="s">
        <v>16</v>
      </c>
      <c r="E2806" s="4">
        <v>1</v>
      </c>
      <c r="F2806" s="4">
        <v>99</v>
      </c>
      <c r="G2806" s="9">
        <v>12.79</v>
      </c>
    </row>
    <row r="2807" spans="1:7" ht="15.6" x14ac:dyDescent="0.3">
      <c r="A2807" s="16">
        <v>44819</v>
      </c>
      <c r="B2807" s="10" t="s">
        <v>18</v>
      </c>
      <c r="C2807" s="10" t="s">
        <v>11</v>
      </c>
      <c r="D2807" s="10" t="s">
        <v>16</v>
      </c>
      <c r="E2807" s="4">
        <v>8</v>
      </c>
      <c r="F2807" s="4">
        <v>7576</v>
      </c>
      <c r="G2807" s="9">
        <v>1703.42</v>
      </c>
    </row>
    <row r="2808" spans="1:7" ht="15.6" x14ac:dyDescent="0.3">
      <c r="A2808" s="16">
        <v>45315</v>
      </c>
      <c r="B2808" s="10" t="s">
        <v>19</v>
      </c>
      <c r="C2808" s="10" t="s">
        <v>14</v>
      </c>
      <c r="D2808" s="10" t="s">
        <v>12</v>
      </c>
      <c r="E2808" s="4">
        <v>3</v>
      </c>
      <c r="F2808" s="4">
        <v>1317</v>
      </c>
      <c r="G2808" s="9">
        <v>71.02</v>
      </c>
    </row>
    <row r="2809" spans="1:7" ht="15.6" x14ac:dyDescent="0.3">
      <c r="A2809" s="16">
        <v>45372</v>
      </c>
      <c r="B2809" s="10" t="s">
        <v>19</v>
      </c>
      <c r="C2809" s="10" t="s">
        <v>14</v>
      </c>
      <c r="D2809" s="10" t="s">
        <v>16</v>
      </c>
      <c r="E2809" s="4">
        <v>3</v>
      </c>
      <c r="F2809" s="4">
        <v>957</v>
      </c>
      <c r="G2809" s="9">
        <v>120.27</v>
      </c>
    </row>
    <row r="2810" spans="1:7" ht="15.6" x14ac:dyDescent="0.3">
      <c r="A2810" s="16">
        <v>44578</v>
      </c>
      <c r="B2810" s="10" t="s">
        <v>10</v>
      </c>
      <c r="C2810" s="10" t="s">
        <v>11</v>
      </c>
      <c r="D2810" s="10" t="s">
        <v>15</v>
      </c>
      <c r="E2810" s="4">
        <v>4</v>
      </c>
      <c r="F2810" s="4">
        <v>1316</v>
      </c>
      <c r="G2810" s="9">
        <v>244.13</v>
      </c>
    </row>
    <row r="2811" spans="1:7" ht="15.6" x14ac:dyDescent="0.3">
      <c r="A2811" s="16">
        <v>45646</v>
      </c>
      <c r="B2811" s="10" t="s">
        <v>18</v>
      </c>
      <c r="C2811" s="10" t="s">
        <v>11</v>
      </c>
      <c r="D2811" s="10" t="s">
        <v>15</v>
      </c>
      <c r="E2811" s="4">
        <v>6</v>
      </c>
      <c r="F2811" s="4">
        <v>5346</v>
      </c>
      <c r="G2811" s="9">
        <v>351.93</v>
      </c>
    </row>
    <row r="2812" spans="1:7" ht="15.6" x14ac:dyDescent="0.3">
      <c r="A2812" s="16">
        <v>44992</v>
      </c>
      <c r="B2812" s="10" t="s">
        <v>21</v>
      </c>
      <c r="C2812" s="10" t="s">
        <v>14</v>
      </c>
      <c r="D2812" s="10" t="s">
        <v>12</v>
      </c>
      <c r="E2812" s="4">
        <v>1</v>
      </c>
      <c r="F2812" s="4">
        <v>464</v>
      </c>
      <c r="G2812" s="9">
        <v>66.260000000000005</v>
      </c>
    </row>
    <row r="2813" spans="1:7" ht="15.6" x14ac:dyDescent="0.3">
      <c r="A2813" s="16">
        <v>44832</v>
      </c>
      <c r="B2813" s="10" t="s">
        <v>22</v>
      </c>
      <c r="C2813" s="10" t="s">
        <v>11</v>
      </c>
      <c r="D2813" s="10" t="s">
        <v>9</v>
      </c>
      <c r="E2813" s="4">
        <v>7</v>
      </c>
      <c r="F2813" s="4">
        <v>3752</v>
      </c>
      <c r="G2813" s="9">
        <v>835.34</v>
      </c>
    </row>
    <row r="2814" spans="1:7" ht="15.6" x14ac:dyDescent="0.3">
      <c r="A2814" s="16">
        <v>45474</v>
      </c>
      <c r="B2814" s="10" t="s">
        <v>22</v>
      </c>
      <c r="C2814" s="10" t="s">
        <v>11</v>
      </c>
      <c r="D2814" s="10" t="s">
        <v>16</v>
      </c>
      <c r="E2814" s="4">
        <v>6</v>
      </c>
      <c r="F2814" s="4">
        <v>1962</v>
      </c>
      <c r="G2814" s="9">
        <v>301.57</v>
      </c>
    </row>
    <row r="2815" spans="1:7" ht="15.6" x14ac:dyDescent="0.3">
      <c r="A2815" s="16">
        <v>45623</v>
      </c>
      <c r="B2815" s="10" t="s">
        <v>21</v>
      </c>
      <c r="C2815" s="10" t="s">
        <v>14</v>
      </c>
      <c r="D2815" s="10" t="s">
        <v>15</v>
      </c>
      <c r="E2815" s="4">
        <v>6</v>
      </c>
      <c r="F2815" s="4">
        <v>2310</v>
      </c>
      <c r="G2815" s="9">
        <v>202.98</v>
      </c>
    </row>
    <row r="2816" spans="1:7" ht="15.6" x14ac:dyDescent="0.3">
      <c r="A2816" s="16">
        <v>44986</v>
      </c>
      <c r="B2816" s="10" t="s">
        <v>13</v>
      </c>
      <c r="C2816" s="10" t="s">
        <v>14</v>
      </c>
      <c r="D2816" s="10" t="s">
        <v>12</v>
      </c>
      <c r="E2816" s="4">
        <v>4</v>
      </c>
      <c r="F2816" s="4">
        <v>3028</v>
      </c>
      <c r="G2816" s="9">
        <v>685.23</v>
      </c>
    </row>
    <row r="2817" spans="1:7" ht="15.6" x14ac:dyDescent="0.3">
      <c r="A2817" s="16">
        <v>45129</v>
      </c>
      <c r="B2817" s="10" t="s">
        <v>20</v>
      </c>
      <c r="C2817" s="10" t="s">
        <v>11</v>
      </c>
      <c r="D2817" s="10" t="s">
        <v>9</v>
      </c>
      <c r="E2817" s="4">
        <v>3</v>
      </c>
      <c r="F2817" s="4">
        <v>2994</v>
      </c>
      <c r="G2817" s="9">
        <v>877.92</v>
      </c>
    </row>
    <row r="2818" spans="1:7" ht="15.6" x14ac:dyDescent="0.3">
      <c r="A2818" s="16">
        <v>45461</v>
      </c>
      <c r="B2818" s="10" t="s">
        <v>13</v>
      </c>
      <c r="C2818" s="10" t="s">
        <v>14</v>
      </c>
      <c r="D2818" s="10" t="s">
        <v>15</v>
      </c>
      <c r="E2818" s="4">
        <v>3</v>
      </c>
      <c r="F2818" s="4">
        <v>3393</v>
      </c>
      <c r="G2818" s="9">
        <v>313.45</v>
      </c>
    </row>
    <row r="2819" spans="1:7" ht="15.6" x14ac:dyDescent="0.3">
      <c r="A2819" s="16">
        <v>45604</v>
      </c>
      <c r="B2819" s="10" t="s">
        <v>17</v>
      </c>
      <c r="C2819" s="10" t="s">
        <v>14</v>
      </c>
      <c r="D2819" s="10" t="s">
        <v>9</v>
      </c>
      <c r="E2819" s="4">
        <v>3</v>
      </c>
      <c r="F2819" s="4">
        <v>1209</v>
      </c>
      <c r="G2819" s="9">
        <v>320.61</v>
      </c>
    </row>
    <row r="2820" spans="1:7" ht="15.6" x14ac:dyDescent="0.3">
      <c r="A2820" s="16">
        <v>44883</v>
      </c>
      <c r="B2820" s="10" t="s">
        <v>22</v>
      </c>
      <c r="C2820" s="10" t="s">
        <v>11</v>
      </c>
      <c r="D2820" s="10" t="s">
        <v>12</v>
      </c>
      <c r="E2820" s="4">
        <v>8</v>
      </c>
      <c r="F2820" s="4">
        <v>5784</v>
      </c>
      <c r="G2820" s="9">
        <v>1276.57</v>
      </c>
    </row>
    <row r="2821" spans="1:7" ht="15.6" x14ac:dyDescent="0.3">
      <c r="A2821" s="16">
        <v>44630</v>
      </c>
      <c r="B2821" s="10" t="s">
        <v>23</v>
      </c>
      <c r="C2821" s="10" t="s">
        <v>14</v>
      </c>
      <c r="D2821" s="10" t="s">
        <v>16</v>
      </c>
      <c r="E2821" s="4">
        <v>9</v>
      </c>
      <c r="F2821" s="4">
        <v>3078</v>
      </c>
      <c r="G2821" s="9">
        <v>285.05</v>
      </c>
    </row>
    <row r="2822" spans="1:7" ht="15.6" x14ac:dyDescent="0.3">
      <c r="A2822" s="16">
        <v>45309</v>
      </c>
      <c r="B2822" s="10" t="s">
        <v>7</v>
      </c>
      <c r="C2822" s="10" t="s">
        <v>8</v>
      </c>
      <c r="D2822" s="10" t="s">
        <v>15</v>
      </c>
      <c r="E2822" s="4">
        <v>4</v>
      </c>
      <c r="F2822" s="4">
        <v>2464</v>
      </c>
      <c r="G2822" s="9">
        <v>602.29999999999995</v>
      </c>
    </row>
    <row r="2823" spans="1:7" ht="15.6" x14ac:dyDescent="0.3">
      <c r="A2823" s="16">
        <v>45640</v>
      </c>
      <c r="B2823" s="10" t="s">
        <v>17</v>
      </c>
      <c r="C2823" s="10" t="s">
        <v>14</v>
      </c>
      <c r="D2823" s="10" t="s">
        <v>16</v>
      </c>
      <c r="E2823" s="4">
        <v>5</v>
      </c>
      <c r="F2823" s="4">
        <v>2445</v>
      </c>
      <c r="G2823" s="9">
        <v>146.6</v>
      </c>
    </row>
    <row r="2824" spans="1:7" ht="15.6" x14ac:dyDescent="0.3">
      <c r="A2824" s="16">
        <v>44981</v>
      </c>
      <c r="B2824" s="10" t="s">
        <v>22</v>
      </c>
      <c r="C2824" s="10" t="s">
        <v>11</v>
      </c>
      <c r="D2824" s="10" t="s">
        <v>9</v>
      </c>
      <c r="E2824" s="4">
        <v>8</v>
      </c>
      <c r="F2824" s="4">
        <v>5312</v>
      </c>
      <c r="G2824" s="9">
        <v>841.13</v>
      </c>
    </row>
    <row r="2825" spans="1:7" ht="15.6" x14ac:dyDescent="0.3">
      <c r="A2825" s="16">
        <v>44651</v>
      </c>
      <c r="B2825" s="10" t="s">
        <v>22</v>
      </c>
      <c r="C2825" s="10" t="s">
        <v>11</v>
      </c>
      <c r="D2825" s="10" t="s">
        <v>15</v>
      </c>
      <c r="E2825" s="4">
        <v>1</v>
      </c>
      <c r="F2825" s="4">
        <v>657</v>
      </c>
      <c r="G2825" s="9">
        <v>101.85</v>
      </c>
    </row>
    <row r="2826" spans="1:7" ht="15.6" x14ac:dyDescent="0.3">
      <c r="A2826" s="16">
        <v>45429</v>
      </c>
      <c r="B2826" s="10" t="s">
        <v>22</v>
      </c>
      <c r="C2826" s="10" t="s">
        <v>11</v>
      </c>
      <c r="D2826" s="10" t="s">
        <v>15</v>
      </c>
      <c r="E2826" s="4">
        <v>3</v>
      </c>
      <c r="F2826" s="4">
        <v>2580</v>
      </c>
      <c r="G2826" s="9">
        <v>173.89</v>
      </c>
    </row>
    <row r="2827" spans="1:7" ht="15.6" x14ac:dyDescent="0.3">
      <c r="A2827" s="16">
        <v>44839</v>
      </c>
      <c r="B2827" s="10" t="s">
        <v>23</v>
      </c>
      <c r="C2827" s="10" t="s">
        <v>14</v>
      </c>
      <c r="D2827" s="10" t="s">
        <v>12</v>
      </c>
      <c r="E2827" s="4">
        <v>8</v>
      </c>
      <c r="F2827" s="4">
        <v>4624</v>
      </c>
      <c r="G2827" s="9">
        <v>893.74</v>
      </c>
    </row>
    <row r="2828" spans="1:7" ht="15.6" x14ac:dyDescent="0.3">
      <c r="A2828" s="16">
        <v>45252</v>
      </c>
      <c r="B2828" s="10" t="s">
        <v>19</v>
      </c>
      <c r="C2828" s="10" t="s">
        <v>14</v>
      </c>
      <c r="D2828" s="10" t="s">
        <v>9</v>
      </c>
      <c r="E2828" s="4">
        <v>2</v>
      </c>
      <c r="F2828" s="4">
        <v>1258</v>
      </c>
      <c r="G2828" s="9">
        <v>146.69999999999999</v>
      </c>
    </row>
    <row r="2829" spans="1:7" ht="15.6" x14ac:dyDescent="0.3">
      <c r="A2829" s="16">
        <v>45501</v>
      </c>
      <c r="B2829" s="10" t="s">
        <v>17</v>
      </c>
      <c r="C2829" s="10" t="s">
        <v>14</v>
      </c>
      <c r="D2829" s="10" t="s">
        <v>12</v>
      </c>
      <c r="E2829" s="4">
        <v>7</v>
      </c>
      <c r="F2829" s="4">
        <v>6468</v>
      </c>
      <c r="G2829" s="9">
        <v>398.23</v>
      </c>
    </row>
    <row r="2830" spans="1:7" ht="15.6" x14ac:dyDescent="0.3">
      <c r="A2830" s="16">
        <v>45070</v>
      </c>
      <c r="B2830" s="10" t="s">
        <v>20</v>
      </c>
      <c r="C2830" s="10" t="s">
        <v>11</v>
      </c>
      <c r="D2830" s="10" t="s">
        <v>16</v>
      </c>
      <c r="E2830" s="4">
        <v>3</v>
      </c>
      <c r="F2830" s="4">
        <v>1359</v>
      </c>
      <c r="G2830" s="9">
        <v>152.85</v>
      </c>
    </row>
    <row r="2831" spans="1:7" ht="15.6" x14ac:dyDescent="0.3">
      <c r="A2831" s="16">
        <v>45624</v>
      </c>
      <c r="B2831" s="10" t="s">
        <v>23</v>
      </c>
      <c r="C2831" s="10" t="s">
        <v>14</v>
      </c>
      <c r="D2831" s="10" t="s">
        <v>9</v>
      </c>
      <c r="E2831" s="4">
        <v>1</v>
      </c>
      <c r="F2831" s="4">
        <v>104</v>
      </c>
      <c r="G2831" s="9">
        <v>18.670000000000002</v>
      </c>
    </row>
    <row r="2832" spans="1:7" ht="15.6" x14ac:dyDescent="0.3">
      <c r="A2832" s="16">
        <v>44986</v>
      </c>
      <c r="B2832" s="10" t="s">
        <v>18</v>
      </c>
      <c r="C2832" s="10" t="s">
        <v>11</v>
      </c>
      <c r="D2832" s="10" t="s">
        <v>15</v>
      </c>
      <c r="E2832" s="4">
        <v>3</v>
      </c>
      <c r="F2832" s="4">
        <v>1785</v>
      </c>
      <c r="G2832" s="9">
        <v>93.17</v>
      </c>
    </row>
    <row r="2833" spans="1:7" ht="15.6" x14ac:dyDescent="0.3">
      <c r="A2833" s="16">
        <v>44716</v>
      </c>
      <c r="B2833" s="10" t="s">
        <v>20</v>
      </c>
      <c r="C2833" s="10" t="s">
        <v>11</v>
      </c>
      <c r="D2833" s="10" t="s">
        <v>9</v>
      </c>
      <c r="E2833" s="4">
        <v>8</v>
      </c>
      <c r="F2833" s="4">
        <v>7728</v>
      </c>
      <c r="G2833" s="9">
        <v>1748.26</v>
      </c>
    </row>
    <row r="2834" spans="1:7" ht="15.6" x14ac:dyDescent="0.3">
      <c r="A2834" s="16">
        <v>45073</v>
      </c>
      <c r="B2834" s="10" t="s">
        <v>21</v>
      </c>
      <c r="C2834" s="10" t="s">
        <v>14</v>
      </c>
      <c r="D2834" s="10" t="s">
        <v>16</v>
      </c>
      <c r="E2834" s="4">
        <v>6</v>
      </c>
      <c r="F2834" s="4">
        <v>4188</v>
      </c>
      <c r="G2834" s="9">
        <v>1231.1600000000001</v>
      </c>
    </row>
    <row r="2835" spans="1:7" ht="15.6" x14ac:dyDescent="0.3">
      <c r="A2835" s="16">
        <v>44737</v>
      </c>
      <c r="B2835" s="10" t="s">
        <v>19</v>
      </c>
      <c r="C2835" s="10" t="s">
        <v>14</v>
      </c>
      <c r="D2835" s="10" t="s">
        <v>15</v>
      </c>
      <c r="E2835" s="4">
        <v>8</v>
      </c>
      <c r="F2835" s="4">
        <v>3520</v>
      </c>
      <c r="G2835" s="9">
        <v>359.84</v>
      </c>
    </row>
    <row r="2836" spans="1:7" ht="15.6" x14ac:dyDescent="0.3">
      <c r="A2836" s="16">
        <v>45150</v>
      </c>
      <c r="B2836" s="10" t="s">
        <v>17</v>
      </c>
      <c r="C2836" s="10" t="s">
        <v>14</v>
      </c>
      <c r="D2836" s="10" t="s">
        <v>12</v>
      </c>
      <c r="E2836" s="4">
        <v>3</v>
      </c>
      <c r="F2836" s="4">
        <v>2280</v>
      </c>
      <c r="G2836" s="9">
        <v>365.17</v>
      </c>
    </row>
    <row r="2837" spans="1:7" ht="15.6" x14ac:dyDescent="0.3">
      <c r="A2837" s="16">
        <v>45482</v>
      </c>
      <c r="B2837" s="10" t="s">
        <v>7</v>
      </c>
      <c r="C2837" s="10" t="s">
        <v>8</v>
      </c>
      <c r="D2837" s="10" t="s">
        <v>9</v>
      </c>
      <c r="E2837" s="4">
        <v>9</v>
      </c>
      <c r="F2837" s="4">
        <v>2484</v>
      </c>
      <c r="G2837" s="9">
        <v>655.54</v>
      </c>
    </row>
    <row r="2838" spans="1:7" ht="15.6" x14ac:dyDescent="0.3">
      <c r="A2838" s="16">
        <v>45399</v>
      </c>
      <c r="B2838" s="10" t="s">
        <v>13</v>
      </c>
      <c r="C2838" s="10" t="s">
        <v>14</v>
      </c>
      <c r="D2838" s="10" t="s">
        <v>16</v>
      </c>
      <c r="E2838" s="4">
        <v>3</v>
      </c>
      <c r="F2838" s="4">
        <v>1248</v>
      </c>
      <c r="G2838" s="9">
        <v>348.19</v>
      </c>
    </row>
    <row r="2839" spans="1:7" ht="15.6" x14ac:dyDescent="0.3">
      <c r="A2839" s="16">
        <v>45272</v>
      </c>
      <c r="B2839" s="10" t="s">
        <v>19</v>
      </c>
      <c r="C2839" s="10" t="s">
        <v>14</v>
      </c>
      <c r="D2839" s="10" t="s">
        <v>16</v>
      </c>
      <c r="E2839" s="4">
        <v>2</v>
      </c>
      <c r="F2839" s="4">
        <v>850</v>
      </c>
      <c r="G2839" s="9">
        <v>59.92</v>
      </c>
    </row>
    <row r="2840" spans="1:7" ht="15.6" x14ac:dyDescent="0.3">
      <c r="A2840" s="16">
        <v>44568</v>
      </c>
      <c r="B2840" s="10" t="s">
        <v>7</v>
      </c>
      <c r="C2840" s="10" t="s">
        <v>8</v>
      </c>
      <c r="D2840" s="10" t="s">
        <v>12</v>
      </c>
      <c r="E2840" s="4">
        <v>4</v>
      </c>
      <c r="F2840" s="4">
        <v>1412</v>
      </c>
      <c r="G2840" s="9">
        <v>150.13</v>
      </c>
    </row>
    <row r="2841" spans="1:7" ht="15.6" x14ac:dyDescent="0.3">
      <c r="A2841" s="16">
        <v>44711</v>
      </c>
      <c r="B2841" s="10" t="s">
        <v>18</v>
      </c>
      <c r="C2841" s="10" t="s">
        <v>11</v>
      </c>
      <c r="D2841" s="10" t="s">
        <v>9</v>
      </c>
      <c r="E2841" s="4">
        <v>1</v>
      </c>
      <c r="F2841" s="4">
        <v>465</v>
      </c>
      <c r="G2841" s="9">
        <v>26.5</v>
      </c>
    </row>
    <row r="2842" spans="1:7" ht="15.6" x14ac:dyDescent="0.3">
      <c r="A2842" s="16">
        <v>45440</v>
      </c>
      <c r="B2842" s="10" t="s">
        <v>7</v>
      </c>
      <c r="C2842" s="10" t="s">
        <v>8</v>
      </c>
      <c r="D2842" s="10" t="s">
        <v>16</v>
      </c>
      <c r="E2842" s="4">
        <v>1</v>
      </c>
      <c r="F2842" s="4">
        <v>293</v>
      </c>
      <c r="G2842" s="9">
        <v>29.58</v>
      </c>
    </row>
    <row r="2843" spans="1:7" ht="15.6" x14ac:dyDescent="0.3">
      <c r="A2843" s="16">
        <v>44562</v>
      </c>
      <c r="B2843" s="10" t="s">
        <v>13</v>
      </c>
      <c r="C2843" s="10" t="s">
        <v>14</v>
      </c>
      <c r="D2843" s="10" t="s">
        <v>9</v>
      </c>
      <c r="E2843" s="4">
        <v>9</v>
      </c>
      <c r="F2843" s="4">
        <v>9234</v>
      </c>
      <c r="G2843" s="9">
        <v>2523.67</v>
      </c>
    </row>
    <row r="2844" spans="1:7" ht="15.6" x14ac:dyDescent="0.3">
      <c r="A2844" s="16">
        <v>44896</v>
      </c>
      <c r="B2844" s="10" t="s">
        <v>13</v>
      </c>
      <c r="C2844" s="10" t="s">
        <v>14</v>
      </c>
      <c r="D2844" s="10" t="s">
        <v>9</v>
      </c>
      <c r="E2844" s="4">
        <v>2</v>
      </c>
      <c r="F2844" s="4">
        <v>1298</v>
      </c>
      <c r="G2844" s="9">
        <v>239.45</v>
      </c>
    </row>
    <row r="2845" spans="1:7" ht="15.6" x14ac:dyDescent="0.3">
      <c r="A2845" s="16">
        <v>45511</v>
      </c>
      <c r="B2845" s="10" t="s">
        <v>7</v>
      </c>
      <c r="C2845" s="10" t="s">
        <v>8</v>
      </c>
      <c r="D2845" s="10" t="s">
        <v>12</v>
      </c>
      <c r="E2845" s="4">
        <v>9</v>
      </c>
      <c r="F2845" s="4">
        <v>9477</v>
      </c>
      <c r="G2845" s="9">
        <v>2443.62</v>
      </c>
    </row>
    <row r="2846" spans="1:7" ht="15.6" x14ac:dyDescent="0.3">
      <c r="A2846" s="16">
        <v>45441</v>
      </c>
      <c r="B2846" s="10" t="s">
        <v>7</v>
      </c>
      <c r="C2846" s="10" t="s">
        <v>8</v>
      </c>
      <c r="D2846" s="10" t="s">
        <v>15</v>
      </c>
      <c r="E2846" s="4">
        <v>7</v>
      </c>
      <c r="F2846" s="4">
        <v>6713</v>
      </c>
      <c r="G2846" s="9">
        <v>457.99</v>
      </c>
    </row>
    <row r="2847" spans="1:7" ht="15.6" x14ac:dyDescent="0.3">
      <c r="A2847" s="16">
        <v>44676</v>
      </c>
      <c r="B2847" s="10" t="s">
        <v>23</v>
      </c>
      <c r="C2847" s="10" t="s">
        <v>14</v>
      </c>
      <c r="D2847" s="10" t="s">
        <v>15</v>
      </c>
      <c r="E2847" s="4">
        <v>5</v>
      </c>
      <c r="F2847" s="4">
        <v>5700</v>
      </c>
      <c r="G2847" s="9">
        <v>999.26</v>
      </c>
    </row>
    <row r="2848" spans="1:7" ht="15.6" x14ac:dyDescent="0.3">
      <c r="A2848" s="16">
        <v>45502</v>
      </c>
      <c r="B2848" s="10" t="s">
        <v>17</v>
      </c>
      <c r="C2848" s="10" t="s">
        <v>14</v>
      </c>
      <c r="D2848" s="10" t="s">
        <v>16</v>
      </c>
      <c r="E2848" s="4">
        <v>6</v>
      </c>
      <c r="F2848" s="4">
        <v>4146</v>
      </c>
      <c r="G2848" s="9">
        <v>700.46</v>
      </c>
    </row>
    <row r="2849" spans="1:7" ht="15.6" x14ac:dyDescent="0.3">
      <c r="A2849" s="16">
        <v>45210</v>
      </c>
      <c r="B2849" s="10" t="s">
        <v>13</v>
      </c>
      <c r="C2849" s="10" t="s">
        <v>14</v>
      </c>
      <c r="D2849" s="10" t="s">
        <v>9</v>
      </c>
      <c r="E2849" s="4">
        <v>8</v>
      </c>
      <c r="F2849" s="4">
        <v>6968</v>
      </c>
      <c r="G2849" s="9">
        <v>704.55</v>
      </c>
    </row>
    <row r="2850" spans="1:7" ht="15.6" x14ac:dyDescent="0.3">
      <c r="A2850" s="16">
        <v>45544</v>
      </c>
      <c r="B2850" s="10" t="s">
        <v>17</v>
      </c>
      <c r="C2850" s="10" t="s">
        <v>14</v>
      </c>
      <c r="D2850" s="10" t="s">
        <v>12</v>
      </c>
      <c r="E2850" s="4">
        <v>2</v>
      </c>
      <c r="F2850" s="4">
        <v>1054</v>
      </c>
      <c r="G2850" s="9">
        <v>243.5</v>
      </c>
    </row>
    <row r="2851" spans="1:7" ht="15.6" x14ac:dyDescent="0.3">
      <c r="A2851" s="16">
        <v>44635</v>
      </c>
      <c r="B2851" s="10" t="s">
        <v>22</v>
      </c>
      <c r="C2851" s="10" t="s">
        <v>11</v>
      </c>
      <c r="D2851" s="10" t="s">
        <v>16</v>
      </c>
      <c r="E2851" s="4">
        <v>3</v>
      </c>
      <c r="F2851" s="4">
        <v>1983</v>
      </c>
      <c r="G2851" s="9">
        <v>453.09</v>
      </c>
    </row>
    <row r="2852" spans="1:7" ht="15.6" x14ac:dyDescent="0.3">
      <c r="A2852" s="16">
        <v>45225</v>
      </c>
      <c r="B2852" s="10" t="s">
        <v>22</v>
      </c>
      <c r="C2852" s="10" t="s">
        <v>11</v>
      </c>
      <c r="D2852" s="10" t="s">
        <v>15</v>
      </c>
      <c r="E2852" s="4">
        <v>5</v>
      </c>
      <c r="F2852" s="4">
        <v>875</v>
      </c>
      <c r="G2852" s="9">
        <v>70.72</v>
      </c>
    </row>
    <row r="2853" spans="1:7" ht="15.6" x14ac:dyDescent="0.3">
      <c r="A2853" s="16">
        <v>45194</v>
      </c>
      <c r="B2853" s="10" t="s">
        <v>7</v>
      </c>
      <c r="C2853" s="10" t="s">
        <v>8</v>
      </c>
      <c r="D2853" s="10" t="s">
        <v>9</v>
      </c>
      <c r="E2853" s="4">
        <v>2</v>
      </c>
      <c r="F2853" s="4">
        <v>268</v>
      </c>
      <c r="G2853" s="9">
        <v>63.01</v>
      </c>
    </row>
    <row r="2854" spans="1:7" ht="15.6" x14ac:dyDescent="0.3">
      <c r="A2854" s="16">
        <v>45490</v>
      </c>
      <c r="B2854" s="10" t="s">
        <v>18</v>
      </c>
      <c r="C2854" s="10" t="s">
        <v>11</v>
      </c>
      <c r="D2854" s="10" t="s">
        <v>16</v>
      </c>
      <c r="E2854" s="4">
        <v>6</v>
      </c>
      <c r="F2854" s="4">
        <v>5370</v>
      </c>
      <c r="G2854" s="9">
        <v>1045.0999999999999</v>
      </c>
    </row>
    <row r="2855" spans="1:7" ht="15.6" x14ac:dyDescent="0.3">
      <c r="A2855" s="16">
        <v>45301</v>
      </c>
      <c r="B2855" s="10" t="s">
        <v>20</v>
      </c>
      <c r="C2855" s="10" t="s">
        <v>11</v>
      </c>
      <c r="D2855" s="10" t="s">
        <v>16</v>
      </c>
      <c r="E2855" s="4">
        <v>8</v>
      </c>
      <c r="F2855" s="4">
        <v>3624</v>
      </c>
      <c r="G2855" s="9">
        <v>1071.43</v>
      </c>
    </row>
    <row r="2856" spans="1:7" ht="15.6" x14ac:dyDescent="0.3">
      <c r="A2856" s="16">
        <v>45557</v>
      </c>
      <c r="B2856" s="10" t="s">
        <v>19</v>
      </c>
      <c r="C2856" s="10" t="s">
        <v>14</v>
      </c>
      <c r="D2856" s="10" t="s">
        <v>16</v>
      </c>
      <c r="E2856" s="4">
        <v>4</v>
      </c>
      <c r="F2856" s="4">
        <v>1932</v>
      </c>
      <c r="G2856" s="9">
        <v>301.16000000000003</v>
      </c>
    </row>
    <row r="2857" spans="1:7" ht="15.6" x14ac:dyDescent="0.3">
      <c r="A2857" s="16">
        <v>44809</v>
      </c>
      <c r="B2857" s="10" t="s">
        <v>21</v>
      </c>
      <c r="C2857" s="10" t="s">
        <v>14</v>
      </c>
      <c r="D2857" s="10" t="s">
        <v>9</v>
      </c>
      <c r="E2857" s="4">
        <v>7</v>
      </c>
      <c r="F2857" s="4">
        <v>6020</v>
      </c>
      <c r="G2857" s="9">
        <v>384.74</v>
      </c>
    </row>
    <row r="2858" spans="1:7" ht="15.6" x14ac:dyDescent="0.3">
      <c r="A2858" s="16">
        <v>45414</v>
      </c>
      <c r="B2858" s="10" t="s">
        <v>18</v>
      </c>
      <c r="C2858" s="10" t="s">
        <v>11</v>
      </c>
      <c r="D2858" s="10" t="s">
        <v>12</v>
      </c>
      <c r="E2858" s="4">
        <v>5</v>
      </c>
      <c r="F2858" s="4">
        <v>1775</v>
      </c>
      <c r="G2858" s="9">
        <v>234.67</v>
      </c>
    </row>
    <row r="2859" spans="1:7" ht="15.6" x14ac:dyDescent="0.3">
      <c r="A2859" s="16">
        <v>44994</v>
      </c>
      <c r="B2859" s="10" t="s">
        <v>19</v>
      </c>
      <c r="C2859" s="10" t="s">
        <v>14</v>
      </c>
      <c r="D2859" s="10" t="s">
        <v>16</v>
      </c>
      <c r="E2859" s="4">
        <v>3</v>
      </c>
      <c r="F2859" s="4">
        <v>1488</v>
      </c>
      <c r="G2859" s="9">
        <v>382.09</v>
      </c>
    </row>
    <row r="2860" spans="1:7" ht="15.6" x14ac:dyDescent="0.3">
      <c r="A2860" s="16">
        <v>45556</v>
      </c>
      <c r="B2860" s="10" t="s">
        <v>22</v>
      </c>
      <c r="C2860" s="10" t="s">
        <v>11</v>
      </c>
      <c r="D2860" s="10" t="s">
        <v>12</v>
      </c>
      <c r="E2860" s="4">
        <v>6</v>
      </c>
      <c r="F2860" s="4">
        <v>6720</v>
      </c>
      <c r="G2860" s="9">
        <v>1113.56</v>
      </c>
    </row>
    <row r="2861" spans="1:7" ht="15.6" x14ac:dyDescent="0.3">
      <c r="A2861" s="16">
        <v>44657</v>
      </c>
      <c r="B2861" s="10" t="s">
        <v>10</v>
      </c>
      <c r="C2861" s="10" t="s">
        <v>11</v>
      </c>
      <c r="D2861" s="10" t="s">
        <v>12</v>
      </c>
      <c r="E2861" s="4">
        <v>7</v>
      </c>
      <c r="F2861" s="4">
        <v>5047</v>
      </c>
      <c r="G2861" s="9">
        <v>1356.23</v>
      </c>
    </row>
    <row r="2862" spans="1:7" ht="15.6" x14ac:dyDescent="0.3">
      <c r="A2862" s="16">
        <v>44627</v>
      </c>
      <c r="B2862" s="10" t="s">
        <v>13</v>
      </c>
      <c r="C2862" s="10" t="s">
        <v>14</v>
      </c>
      <c r="D2862" s="10" t="s">
        <v>12</v>
      </c>
      <c r="E2862" s="4">
        <v>5</v>
      </c>
      <c r="F2862" s="4">
        <v>3735</v>
      </c>
      <c r="G2862" s="9">
        <v>957.13</v>
      </c>
    </row>
    <row r="2863" spans="1:7" ht="15.6" x14ac:dyDescent="0.3">
      <c r="A2863" s="16">
        <v>45348</v>
      </c>
      <c r="B2863" s="10" t="s">
        <v>22</v>
      </c>
      <c r="C2863" s="10" t="s">
        <v>11</v>
      </c>
      <c r="D2863" s="10" t="s">
        <v>12</v>
      </c>
      <c r="E2863" s="4">
        <v>5</v>
      </c>
      <c r="F2863" s="4">
        <v>1250</v>
      </c>
      <c r="G2863" s="9">
        <v>120.74</v>
      </c>
    </row>
    <row r="2864" spans="1:7" ht="15.6" x14ac:dyDescent="0.3">
      <c r="A2864" s="16">
        <v>44572</v>
      </c>
      <c r="B2864" s="10" t="s">
        <v>13</v>
      </c>
      <c r="C2864" s="10" t="s">
        <v>14</v>
      </c>
      <c r="D2864" s="10" t="s">
        <v>9</v>
      </c>
      <c r="E2864" s="4">
        <v>7</v>
      </c>
      <c r="F2864" s="4">
        <v>2751</v>
      </c>
      <c r="G2864" s="9">
        <v>548.04999999999995</v>
      </c>
    </row>
    <row r="2865" spans="1:7" ht="15.6" x14ac:dyDescent="0.3">
      <c r="A2865" s="16">
        <v>45121</v>
      </c>
      <c r="B2865" s="10" t="s">
        <v>23</v>
      </c>
      <c r="C2865" s="10" t="s">
        <v>14</v>
      </c>
      <c r="D2865" s="10" t="s">
        <v>12</v>
      </c>
      <c r="E2865" s="4">
        <v>9</v>
      </c>
      <c r="F2865" s="4">
        <v>468</v>
      </c>
      <c r="G2865" s="9">
        <v>58.98</v>
      </c>
    </row>
    <row r="2866" spans="1:7" ht="15.6" x14ac:dyDescent="0.3">
      <c r="A2866" s="16">
        <v>45113</v>
      </c>
      <c r="B2866" s="10" t="s">
        <v>7</v>
      </c>
      <c r="C2866" s="10" t="s">
        <v>8</v>
      </c>
      <c r="D2866" s="10" t="s">
        <v>9</v>
      </c>
      <c r="E2866" s="4">
        <v>4</v>
      </c>
      <c r="F2866" s="4">
        <v>632</v>
      </c>
      <c r="G2866" s="9">
        <v>114.82</v>
      </c>
    </row>
    <row r="2867" spans="1:7" ht="15.6" x14ac:dyDescent="0.3">
      <c r="A2867" s="16">
        <v>44819</v>
      </c>
      <c r="B2867" s="10" t="s">
        <v>22</v>
      </c>
      <c r="C2867" s="10" t="s">
        <v>11</v>
      </c>
      <c r="D2867" s="10" t="s">
        <v>15</v>
      </c>
      <c r="E2867" s="4">
        <v>7</v>
      </c>
      <c r="F2867" s="4">
        <v>798</v>
      </c>
      <c r="G2867" s="9">
        <v>219.2</v>
      </c>
    </row>
    <row r="2868" spans="1:7" ht="15.6" x14ac:dyDescent="0.3">
      <c r="A2868" s="16">
        <v>44589</v>
      </c>
      <c r="B2868" s="10" t="s">
        <v>19</v>
      </c>
      <c r="C2868" s="10" t="s">
        <v>14</v>
      </c>
      <c r="D2868" s="10" t="s">
        <v>15</v>
      </c>
      <c r="E2868" s="4">
        <v>5</v>
      </c>
      <c r="F2868" s="4">
        <v>1295</v>
      </c>
      <c r="G2868" s="9">
        <v>104.26</v>
      </c>
    </row>
    <row r="2869" spans="1:7" ht="15.6" x14ac:dyDescent="0.3">
      <c r="A2869" s="16">
        <v>45636</v>
      </c>
      <c r="B2869" s="10" t="s">
        <v>17</v>
      </c>
      <c r="C2869" s="10" t="s">
        <v>14</v>
      </c>
      <c r="D2869" s="10" t="s">
        <v>16</v>
      </c>
      <c r="E2869" s="4">
        <v>4</v>
      </c>
      <c r="F2869" s="4">
        <v>3360</v>
      </c>
      <c r="G2869" s="9">
        <v>540.38</v>
      </c>
    </row>
    <row r="2870" spans="1:7" ht="15.6" x14ac:dyDescent="0.3">
      <c r="A2870" s="16">
        <v>45088</v>
      </c>
      <c r="B2870" s="10" t="s">
        <v>17</v>
      </c>
      <c r="C2870" s="10" t="s">
        <v>14</v>
      </c>
      <c r="D2870" s="10" t="s">
        <v>9</v>
      </c>
      <c r="E2870" s="4">
        <v>5</v>
      </c>
      <c r="F2870" s="4">
        <v>995</v>
      </c>
      <c r="G2870" s="9">
        <v>206.95</v>
      </c>
    </row>
    <row r="2871" spans="1:7" ht="15.6" x14ac:dyDescent="0.3">
      <c r="A2871" s="16">
        <v>45646</v>
      </c>
      <c r="B2871" s="10" t="s">
        <v>19</v>
      </c>
      <c r="C2871" s="10" t="s">
        <v>14</v>
      </c>
      <c r="D2871" s="10" t="s">
        <v>12</v>
      </c>
      <c r="E2871" s="4">
        <v>5</v>
      </c>
      <c r="F2871" s="4">
        <v>550</v>
      </c>
      <c r="G2871" s="9">
        <v>28.72</v>
      </c>
    </row>
    <row r="2872" spans="1:7" ht="15.6" x14ac:dyDescent="0.3">
      <c r="A2872" s="16">
        <v>44984</v>
      </c>
      <c r="B2872" s="10" t="s">
        <v>20</v>
      </c>
      <c r="C2872" s="10" t="s">
        <v>11</v>
      </c>
      <c r="D2872" s="10" t="s">
        <v>16</v>
      </c>
      <c r="E2872" s="4">
        <v>8</v>
      </c>
      <c r="F2872" s="4">
        <v>5384</v>
      </c>
      <c r="G2872" s="9">
        <v>724.8</v>
      </c>
    </row>
    <row r="2873" spans="1:7" ht="15.6" x14ac:dyDescent="0.3">
      <c r="A2873" s="16">
        <v>45249</v>
      </c>
      <c r="B2873" s="10" t="s">
        <v>7</v>
      </c>
      <c r="C2873" s="10" t="s">
        <v>8</v>
      </c>
      <c r="D2873" s="10" t="s">
        <v>12</v>
      </c>
      <c r="E2873" s="4">
        <v>3</v>
      </c>
      <c r="F2873" s="4">
        <v>3534</v>
      </c>
      <c r="G2873" s="9">
        <v>489.06</v>
      </c>
    </row>
    <row r="2874" spans="1:7" ht="15.6" x14ac:dyDescent="0.3">
      <c r="A2874" s="16">
        <v>45342</v>
      </c>
      <c r="B2874" s="10" t="s">
        <v>21</v>
      </c>
      <c r="C2874" s="10" t="s">
        <v>14</v>
      </c>
      <c r="D2874" s="10" t="s">
        <v>16</v>
      </c>
      <c r="E2874" s="4">
        <v>9</v>
      </c>
      <c r="F2874" s="4">
        <v>6813</v>
      </c>
      <c r="G2874" s="9">
        <v>890.05</v>
      </c>
    </row>
    <row r="2875" spans="1:7" ht="15.6" x14ac:dyDescent="0.3">
      <c r="A2875" s="16">
        <v>45257</v>
      </c>
      <c r="B2875" s="10" t="s">
        <v>19</v>
      </c>
      <c r="C2875" s="10" t="s">
        <v>14</v>
      </c>
      <c r="D2875" s="10" t="s">
        <v>12</v>
      </c>
      <c r="E2875" s="4">
        <v>6</v>
      </c>
      <c r="F2875" s="4">
        <v>5508</v>
      </c>
      <c r="G2875" s="9">
        <v>1632.37</v>
      </c>
    </row>
    <row r="2876" spans="1:7" ht="15.6" x14ac:dyDescent="0.3">
      <c r="A2876" s="16">
        <v>44588</v>
      </c>
      <c r="B2876" s="10" t="s">
        <v>18</v>
      </c>
      <c r="C2876" s="10" t="s">
        <v>11</v>
      </c>
      <c r="D2876" s="10" t="s">
        <v>12</v>
      </c>
      <c r="E2876" s="4">
        <v>1</v>
      </c>
      <c r="F2876" s="4">
        <v>966</v>
      </c>
      <c r="G2876" s="9">
        <v>202.53</v>
      </c>
    </row>
    <row r="2877" spans="1:7" ht="15.6" x14ac:dyDescent="0.3">
      <c r="A2877" s="16">
        <v>45477</v>
      </c>
      <c r="B2877" s="10" t="s">
        <v>10</v>
      </c>
      <c r="C2877" s="10" t="s">
        <v>11</v>
      </c>
      <c r="D2877" s="10" t="s">
        <v>15</v>
      </c>
      <c r="E2877" s="4">
        <v>4</v>
      </c>
      <c r="F2877" s="4">
        <v>460</v>
      </c>
      <c r="G2877" s="9">
        <v>92.24</v>
      </c>
    </row>
    <row r="2878" spans="1:7" ht="15.6" x14ac:dyDescent="0.3">
      <c r="A2878" s="16">
        <v>45103</v>
      </c>
      <c r="B2878" s="10" t="s">
        <v>21</v>
      </c>
      <c r="C2878" s="10" t="s">
        <v>14</v>
      </c>
      <c r="D2878" s="10" t="s">
        <v>9</v>
      </c>
      <c r="E2878" s="4">
        <v>6</v>
      </c>
      <c r="F2878" s="4">
        <v>7026</v>
      </c>
      <c r="G2878" s="9">
        <v>459.4</v>
      </c>
    </row>
    <row r="2879" spans="1:7" ht="15.6" x14ac:dyDescent="0.3">
      <c r="A2879" s="16">
        <v>45436</v>
      </c>
      <c r="B2879" s="10" t="s">
        <v>21</v>
      </c>
      <c r="C2879" s="10" t="s">
        <v>14</v>
      </c>
      <c r="D2879" s="10" t="s">
        <v>15</v>
      </c>
      <c r="E2879" s="4">
        <v>5</v>
      </c>
      <c r="F2879" s="4">
        <v>910</v>
      </c>
      <c r="G2879" s="9">
        <v>116.47</v>
      </c>
    </row>
    <row r="2880" spans="1:7" ht="15.6" x14ac:dyDescent="0.3">
      <c r="A2880" s="16">
        <v>44795</v>
      </c>
      <c r="B2880" s="10" t="s">
        <v>20</v>
      </c>
      <c r="C2880" s="10" t="s">
        <v>11</v>
      </c>
      <c r="D2880" s="10" t="s">
        <v>16</v>
      </c>
      <c r="E2880" s="4">
        <v>9</v>
      </c>
      <c r="F2880" s="4">
        <v>5796</v>
      </c>
      <c r="G2880" s="9">
        <v>1729.18</v>
      </c>
    </row>
    <row r="2881" spans="1:7" ht="15.6" x14ac:dyDescent="0.3">
      <c r="A2881" s="16">
        <v>44832</v>
      </c>
      <c r="B2881" s="10" t="s">
        <v>20</v>
      </c>
      <c r="C2881" s="10" t="s">
        <v>11</v>
      </c>
      <c r="D2881" s="10" t="s">
        <v>9</v>
      </c>
      <c r="E2881" s="4">
        <v>3</v>
      </c>
      <c r="F2881" s="4">
        <v>1050</v>
      </c>
      <c r="G2881" s="9">
        <v>292.64</v>
      </c>
    </row>
    <row r="2882" spans="1:7" ht="15.6" x14ac:dyDescent="0.3">
      <c r="A2882" s="16">
        <v>45440</v>
      </c>
      <c r="B2882" s="10" t="s">
        <v>10</v>
      </c>
      <c r="C2882" s="10" t="s">
        <v>11</v>
      </c>
      <c r="D2882" s="10" t="s">
        <v>16</v>
      </c>
      <c r="E2882" s="4">
        <v>1</v>
      </c>
      <c r="F2882" s="4">
        <v>1043</v>
      </c>
      <c r="G2882" s="9">
        <v>151.13</v>
      </c>
    </row>
    <row r="2883" spans="1:7" ht="15.6" x14ac:dyDescent="0.3">
      <c r="A2883" s="16">
        <v>44842</v>
      </c>
      <c r="B2883" s="10" t="s">
        <v>7</v>
      </c>
      <c r="C2883" s="10" t="s">
        <v>8</v>
      </c>
      <c r="D2883" s="10" t="s">
        <v>15</v>
      </c>
      <c r="E2883" s="4">
        <v>3</v>
      </c>
      <c r="F2883" s="4">
        <v>3330</v>
      </c>
      <c r="G2883" s="9">
        <v>503.85</v>
      </c>
    </row>
    <row r="2884" spans="1:7" ht="15.6" x14ac:dyDescent="0.3">
      <c r="A2884" s="16">
        <v>44580</v>
      </c>
      <c r="B2884" s="10" t="s">
        <v>10</v>
      </c>
      <c r="C2884" s="10" t="s">
        <v>11</v>
      </c>
      <c r="D2884" s="10" t="s">
        <v>12</v>
      </c>
      <c r="E2884" s="4">
        <v>8</v>
      </c>
      <c r="F2884" s="4">
        <v>1896</v>
      </c>
      <c r="G2884" s="9">
        <v>448.53</v>
      </c>
    </row>
    <row r="2885" spans="1:7" ht="15.6" x14ac:dyDescent="0.3">
      <c r="A2885" s="16">
        <v>45045</v>
      </c>
      <c r="B2885" s="10" t="s">
        <v>17</v>
      </c>
      <c r="C2885" s="10" t="s">
        <v>14</v>
      </c>
      <c r="D2885" s="10" t="s">
        <v>16</v>
      </c>
      <c r="E2885" s="4">
        <v>5</v>
      </c>
      <c r="F2885" s="4">
        <v>5170</v>
      </c>
      <c r="G2885" s="9">
        <v>1248.6600000000001</v>
      </c>
    </row>
    <row r="2886" spans="1:7" ht="15.6" x14ac:dyDescent="0.3">
      <c r="A2886" s="16">
        <v>45040</v>
      </c>
      <c r="B2886" s="10" t="s">
        <v>7</v>
      </c>
      <c r="C2886" s="10" t="s">
        <v>8</v>
      </c>
      <c r="D2886" s="10" t="s">
        <v>9</v>
      </c>
      <c r="E2886" s="4">
        <v>2</v>
      </c>
      <c r="F2886" s="4">
        <v>466</v>
      </c>
      <c r="G2886" s="9">
        <v>25.04</v>
      </c>
    </row>
    <row r="2887" spans="1:7" ht="15.6" x14ac:dyDescent="0.3">
      <c r="A2887" s="16">
        <v>45092</v>
      </c>
      <c r="B2887" s="10" t="s">
        <v>10</v>
      </c>
      <c r="C2887" s="10" t="s">
        <v>11</v>
      </c>
      <c r="D2887" s="10" t="s">
        <v>9</v>
      </c>
      <c r="E2887" s="4">
        <v>8</v>
      </c>
      <c r="F2887" s="4">
        <v>6032</v>
      </c>
      <c r="G2887" s="9">
        <v>1636.61</v>
      </c>
    </row>
    <row r="2888" spans="1:7" ht="15.6" x14ac:dyDescent="0.3">
      <c r="A2888" s="16">
        <v>45007</v>
      </c>
      <c r="B2888" s="10" t="s">
        <v>17</v>
      </c>
      <c r="C2888" s="10" t="s">
        <v>14</v>
      </c>
      <c r="D2888" s="10" t="s">
        <v>15</v>
      </c>
      <c r="E2888" s="4">
        <v>1</v>
      </c>
      <c r="F2888" s="4">
        <v>1084</v>
      </c>
      <c r="G2888" s="9">
        <v>103.06</v>
      </c>
    </row>
    <row r="2889" spans="1:7" ht="15.6" x14ac:dyDescent="0.3">
      <c r="A2889" s="16">
        <v>45189</v>
      </c>
      <c r="B2889" s="10" t="s">
        <v>22</v>
      </c>
      <c r="C2889" s="10" t="s">
        <v>11</v>
      </c>
      <c r="D2889" s="10" t="s">
        <v>9</v>
      </c>
      <c r="E2889" s="4">
        <v>2</v>
      </c>
      <c r="F2889" s="4">
        <v>490</v>
      </c>
      <c r="G2889" s="9">
        <v>45.34</v>
      </c>
    </row>
    <row r="2890" spans="1:7" ht="15.6" x14ac:dyDescent="0.3">
      <c r="A2890" s="16">
        <v>44742</v>
      </c>
      <c r="B2890" s="10" t="s">
        <v>20</v>
      </c>
      <c r="C2890" s="10" t="s">
        <v>11</v>
      </c>
      <c r="D2890" s="10" t="s">
        <v>9</v>
      </c>
      <c r="E2890" s="4">
        <v>6</v>
      </c>
      <c r="F2890" s="4">
        <v>558</v>
      </c>
      <c r="G2890" s="9">
        <v>57.01</v>
      </c>
    </row>
    <row r="2891" spans="1:7" ht="15.6" x14ac:dyDescent="0.3">
      <c r="A2891" s="16">
        <v>45340</v>
      </c>
      <c r="B2891" s="10" t="s">
        <v>20</v>
      </c>
      <c r="C2891" s="10" t="s">
        <v>11</v>
      </c>
      <c r="D2891" s="10" t="s">
        <v>12</v>
      </c>
      <c r="E2891" s="4">
        <v>4</v>
      </c>
      <c r="F2891" s="4">
        <v>4024</v>
      </c>
      <c r="G2891" s="9">
        <v>787.06</v>
      </c>
    </row>
    <row r="2892" spans="1:7" ht="15.6" x14ac:dyDescent="0.3">
      <c r="A2892" s="16">
        <v>44959</v>
      </c>
      <c r="B2892" s="10" t="s">
        <v>10</v>
      </c>
      <c r="C2892" s="10" t="s">
        <v>11</v>
      </c>
      <c r="D2892" s="10" t="s">
        <v>12</v>
      </c>
      <c r="E2892" s="4">
        <v>4</v>
      </c>
      <c r="F2892" s="4">
        <v>1560</v>
      </c>
      <c r="G2892" s="9">
        <v>461.15</v>
      </c>
    </row>
    <row r="2893" spans="1:7" ht="15.6" x14ac:dyDescent="0.3">
      <c r="A2893" s="16">
        <v>45359</v>
      </c>
      <c r="B2893" s="10" t="s">
        <v>23</v>
      </c>
      <c r="C2893" s="10" t="s">
        <v>14</v>
      </c>
      <c r="D2893" s="10" t="s">
        <v>9</v>
      </c>
      <c r="E2893" s="4">
        <v>1</v>
      </c>
      <c r="F2893" s="4">
        <v>126</v>
      </c>
      <c r="G2893" s="9">
        <v>26.62</v>
      </c>
    </row>
    <row r="2894" spans="1:7" ht="15.6" x14ac:dyDescent="0.3">
      <c r="A2894" s="16">
        <v>45207</v>
      </c>
      <c r="B2894" s="10" t="s">
        <v>10</v>
      </c>
      <c r="C2894" s="10" t="s">
        <v>11</v>
      </c>
      <c r="D2894" s="10" t="s">
        <v>15</v>
      </c>
      <c r="E2894" s="4">
        <v>7</v>
      </c>
      <c r="F2894" s="4">
        <v>4921</v>
      </c>
      <c r="G2894" s="9">
        <v>827.87</v>
      </c>
    </row>
    <row r="2895" spans="1:7" ht="15.6" x14ac:dyDescent="0.3">
      <c r="A2895" s="16">
        <v>45209</v>
      </c>
      <c r="B2895" s="10" t="s">
        <v>18</v>
      </c>
      <c r="C2895" s="10" t="s">
        <v>11</v>
      </c>
      <c r="D2895" s="10" t="s">
        <v>16</v>
      </c>
      <c r="E2895" s="4">
        <v>5</v>
      </c>
      <c r="F2895" s="4">
        <v>2665</v>
      </c>
      <c r="G2895" s="9">
        <v>532.76</v>
      </c>
    </row>
    <row r="2896" spans="1:7" ht="15.6" x14ac:dyDescent="0.3">
      <c r="A2896" s="16">
        <v>45021</v>
      </c>
      <c r="B2896" s="10" t="s">
        <v>18</v>
      </c>
      <c r="C2896" s="10" t="s">
        <v>11</v>
      </c>
      <c r="D2896" s="10" t="s">
        <v>15</v>
      </c>
      <c r="E2896" s="4">
        <v>4</v>
      </c>
      <c r="F2896" s="4">
        <v>200</v>
      </c>
      <c r="G2896" s="9">
        <v>58.42</v>
      </c>
    </row>
    <row r="2897" spans="1:7" ht="15.6" x14ac:dyDescent="0.3">
      <c r="A2897" s="16">
        <v>45505</v>
      </c>
      <c r="B2897" s="10" t="s">
        <v>19</v>
      </c>
      <c r="C2897" s="10" t="s">
        <v>14</v>
      </c>
      <c r="D2897" s="10" t="s">
        <v>12</v>
      </c>
      <c r="E2897" s="4">
        <v>2</v>
      </c>
      <c r="F2897" s="4">
        <v>186</v>
      </c>
      <c r="G2897" s="9">
        <v>32.479999999999997</v>
      </c>
    </row>
    <row r="2898" spans="1:7" ht="15.6" x14ac:dyDescent="0.3">
      <c r="A2898" s="16">
        <v>45577</v>
      </c>
      <c r="B2898" s="10" t="s">
        <v>20</v>
      </c>
      <c r="C2898" s="10" t="s">
        <v>11</v>
      </c>
      <c r="D2898" s="10" t="s">
        <v>15</v>
      </c>
      <c r="E2898" s="4">
        <v>8</v>
      </c>
      <c r="F2898" s="4">
        <v>5456</v>
      </c>
      <c r="G2898" s="9">
        <v>898.06</v>
      </c>
    </row>
    <row r="2899" spans="1:7" ht="15.6" x14ac:dyDescent="0.3">
      <c r="A2899" s="16">
        <v>44771</v>
      </c>
      <c r="B2899" s="10" t="s">
        <v>19</v>
      </c>
      <c r="C2899" s="10" t="s">
        <v>14</v>
      </c>
      <c r="D2899" s="10" t="s">
        <v>16</v>
      </c>
      <c r="E2899" s="4">
        <v>9</v>
      </c>
      <c r="F2899" s="4">
        <v>3321</v>
      </c>
      <c r="G2899" s="9">
        <v>540.66999999999996</v>
      </c>
    </row>
    <row r="2900" spans="1:7" ht="15.6" x14ac:dyDescent="0.3">
      <c r="A2900" s="16">
        <v>45335</v>
      </c>
      <c r="B2900" s="10" t="s">
        <v>18</v>
      </c>
      <c r="C2900" s="10" t="s">
        <v>11</v>
      </c>
      <c r="D2900" s="10" t="s">
        <v>9</v>
      </c>
      <c r="E2900" s="4">
        <v>7</v>
      </c>
      <c r="F2900" s="4">
        <v>3766</v>
      </c>
      <c r="G2900" s="9">
        <v>914.49</v>
      </c>
    </row>
    <row r="2901" spans="1:7" ht="15.6" x14ac:dyDescent="0.3">
      <c r="A2901" s="16">
        <v>44688</v>
      </c>
      <c r="B2901" s="10" t="s">
        <v>22</v>
      </c>
      <c r="C2901" s="10" t="s">
        <v>11</v>
      </c>
      <c r="D2901" s="10" t="s">
        <v>16</v>
      </c>
      <c r="E2901" s="4">
        <v>6</v>
      </c>
      <c r="F2901" s="4">
        <v>3150</v>
      </c>
      <c r="G2901" s="9">
        <v>498.63</v>
      </c>
    </row>
    <row r="2902" spans="1:7" ht="15.6" x14ac:dyDescent="0.3">
      <c r="A2902" s="16">
        <v>44700</v>
      </c>
      <c r="B2902" s="10" t="s">
        <v>23</v>
      </c>
      <c r="C2902" s="10" t="s">
        <v>14</v>
      </c>
      <c r="D2902" s="10" t="s">
        <v>12</v>
      </c>
      <c r="E2902" s="4">
        <v>2</v>
      </c>
      <c r="F2902" s="4">
        <v>646</v>
      </c>
      <c r="G2902" s="9">
        <v>110.13</v>
      </c>
    </row>
    <row r="2903" spans="1:7" ht="15.6" x14ac:dyDescent="0.3">
      <c r="A2903" s="16">
        <v>44785</v>
      </c>
      <c r="B2903" s="10" t="s">
        <v>21</v>
      </c>
      <c r="C2903" s="10" t="s">
        <v>14</v>
      </c>
      <c r="D2903" s="10" t="s">
        <v>15</v>
      </c>
      <c r="E2903" s="4">
        <v>5</v>
      </c>
      <c r="F2903" s="4">
        <v>2665</v>
      </c>
      <c r="G2903" s="9">
        <v>369.73</v>
      </c>
    </row>
    <row r="2904" spans="1:7" ht="15.6" x14ac:dyDescent="0.3">
      <c r="A2904" s="16">
        <v>45212</v>
      </c>
      <c r="B2904" s="10" t="s">
        <v>19</v>
      </c>
      <c r="C2904" s="10" t="s">
        <v>14</v>
      </c>
      <c r="D2904" s="10" t="s">
        <v>9</v>
      </c>
      <c r="E2904" s="4">
        <v>9</v>
      </c>
      <c r="F2904" s="4">
        <v>1467</v>
      </c>
      <c r="G2904" s="9">
        <v>384.22</v>
      </c>
    </row>
    <row r="2905" spans="1:7" ht="15.6" x14ac:dyDescent="0.3">
      <c r="A2905" s="16">
        <v>45478</v>
      </c>
      <c r="B2905" s="10" t="s">
        <v>13</v>
      </c>
      <c r="C2905" s="10" t="s">
        <v>14</v>
      </c>
      <c r="D2905" s="10" t="s">
        <v>9</v>
      </c>
      <c r="E2905" s="4">
        <v>7</v>
      </c>
      <c r="F2905" s="4">
        <v>4620</v>
      </c>
      <c r="G2905" s="9">
        <v>990.79</v>
      </c>
    </row>
    <row r="2906" spans="1:7" ht="15.6" x14ac:dyDescent="0.3">
      <c r="A2906" s="16">
        <v>45002</v>
      </c>
      <c r="B2906" s="10" t="s">
        <v>13</v>
      </c>
      <c r="C2906" s="10" t="s">
        <v>14</v>
      </c>
      <c r="D2906" s="10" t="s">
        <v>16</v>
      </c>
      <c r="E2906" s="4">
        <v>8</v>
      </c>
      <c r="F2906" s="4">
        <v>1184</v>
      </c>
      <c r="G2906" s="9">
        <v>148.69</v>
      </c>
    </row>
    <row r="2907" spans="1:7" ht="15.6" x14ac:dyDescent="0.3">
      <c r="A2907" s="16">
        <v>45231</v>
      </c>
      <c r="B2907" s="10" t="s">
        <v>17</v>
      </c>
      <c r="C2907" s="10" t="s">
        <v>14</v>
      </c>
      <c r="D2907" s="10" t="s">
        <v>12</v>
      </c>
      <c r="E2907" s="4">
        <v>1</v>
      </c>
      <c r="F2907" s="4">
        <v>113</v>
      </c>
      <c r="G2907" s="9">
        <v>20.07</v>
      </c>
    </row>
    <row r="2908" spans="1:7" ht="15.6" x14ac:dyDescent="0.3">
      <c r="A2908" s="16">
        <v>45567</v>
      </c>
      <c r="B2908" s="10" t="s">
        <v>7</v>
      </c>
      <c r="C2908" s="10" t="s">
        <v>8</v>
      </c>
      <c r="D2908" s="10" t="s">
        <v>12</v>
      </c>
      <c r="E2908" s="4">
        <v>8</v>
      </c>
      <c r="F2908" s="4">
        <v>3336</v>
      </c>
      <c r="G2908" s="9">
        <v>492.76</v>
      </c>
    </row>
    <row r="2909" spans="1:7" ht="15.6" x14ac:dyDescent="0.3">
      <c r="A2909" s="16">
        <v>45025</v>
      </c>
      <c r="B2909" s="10" t="s">
        <v>21</v>
      </c>
      <c r="C2909" s="10" t="s">
        <v>14</v>
      </c>
      <c r="D2909" s="10" t="s">
        <v>15</v>
      </c>
      <c r="E2909" s="4">
        <v>4</v>
      </c>
      <c r="F2909" s="4">
        <v>4224</v>
      </c>
      <c r="G2909" s="9">
        <v>477.33</v>
      </c>
    </row>
    <row r="2910" spans="1:7" ht="15.6" x14ac:dyDescent="0.3">
      <c r="A2910" s="16">
        <v>44751</v>
      </c>
      <c r="B2910" s="10" t="s">
        <v>18</v>
      </c>
      <c r="C2910" s="10" t="s">
        <v>11</v>
      </c>
      <c r="D2910" s="10" t="s">
        <v>9</v>
      </c>
      <c r="E2910" s="4">
        <v>3</v>
      </c>
      <c r="F2910" s="4">
        <v>1098</v>
      </c>
      <c r="G2910" s="9">
        <v>144.24</v>
      </c>
    </row>
    <row r="2911" spans="1:7" ht="15.6" x14ac:dyDescent="0.3">
      <c r="A2911" s="16">
        <v>45361</v>
      </c>
      <c r="B2911" s="10" t="s">
        <v>17</v>
      </c>
      <c r="C2911" s="10" t="s">
        <v>14</v>
      </c>
      <c r="D2911" s="10" t="s">
        <v>15</v>
      </c>
      <c r="E2911" s="4">
        <v>8</v>
      </c>
      <c r="F2911" s="4">
        <v>4400</v>
      </c>
      <c r="G2911" s="9">
        <v>351.82</v>
      </c>
    </row>
    <row r="2912" spans="1:7" ht="15.6" x14ac:dyDescent="0.3">
      <c r="A2912" s="16">
        <v>44689</v>
      </c>
      <c r="B2912" s="10" t="s">
        <v>7</v>
      </c>
      <c r="C2912" s="10" t="s">
        <v>8</v>
      </c>
      <c r="D2912" s="10" t="s">
        <v>9</v>
      </c>
      <c r="E2912" s="4">
        <v>8</v>
      </c>
      <c r="F2912" s="4">
        <v>5616</v>
      </c>
      <c r="G2912" s="9">
        <v>723.42</v>
      </c>
    </row>
    <row r="2913" spans="1:7" ht="15.6" x14ac:dyDescent="0.3">
      <c r="A2913" s="16">
        <v>45353</v>
      </c>
      <c r="B2913" s="10" t="s">
        <v>7</v>
      </c>
      <c r="C2913" s="10" t="s">
        <v>8</v>
      </c>
      <c r="D2913" s="10" t="s">
        <v>9</v>
      </c>
      <c r="E2913" s="4">
        <v>7</v>
      </c>
      <c r="F2913" s="4">
        <v>4676</v>
      </c>
      <c r="G2913" s="9">
        <v>520.38</v>
      </c>
    </row>
    <row r="2914" spans="1:7" ht="15.6" x14ac:dyDescent="0.3">
      <c r="A2914" s="16">
        <v>44761</v>
      </c>
      <c r="B2914" s="10" t="s">
        <v>19</v>
      </c>
      <c r="C2914" s="10" t="s">
        <v>14</v>
      </c>
      <c r="D2914" s="10" t="s">
        <v>9</v>
      </c>
      <c r="E2914" s="4">
        <v>2</v>
      </c>
      <c r="F2914" s="4">
        <v>2370</v>
      </c>
      <c r="G2914" s="9">
        <v>641.23</v>
      </c>
    </row>
    <row r="2915" spans="1:7" ht="15.6" x14ac:dyDescent="0.3">
      <c r="A2915" s="16">
        <v>44950</v>
      </c>
      <c r="B2915" s="10" t="s">
        <v>10</v>
      </c>
      <c r="C2915" s="10" t="s">
        <v>11</v>
      </c>
      <c r="D2915" s="10" t="s">
        <v>16</v>
      </c>
      <c r="E2915" s="4">
        <v>7</v>
      </c>
      <c r="F2915" s="4">
        <v>4487</v>
      </c>
      <c r="G2915" s="9">
        <v>688.76</v>
      </c>
    </row>
    <row r="2916" spans="1:7" ht="15.6" x14ac:dyDescent="0.3">
      <c r="A2916" s="16">
        <v>45566</v>
      </c>
      <c r="B2916" s="10" t="s">
        <v>17</v>
      </c>
      <c r="C2916" s="10" t="s">
        <v>14</v>
      </c>
      <c r="D2916" s="10" t="s">
        <v>9</v>
      </c>
      <c r="E2916" s="4">
        <v>6</v>
      </c>
      <c r="F2916" s="4">
        <v>6384</v>
      </c>
      <c r="G2916" s="9">
        <v>1754.15</v>
      </c>
    </row>
    <row r="2917" spans="1:7" ht="15.6" x14ac:dyDescent="0.3">
      <c r="A2917" s="16">
        <v>45015</v>
      </c>
      <c r="B2917" s="10" t="s">
        <v>22</v>
      </c>
      <c r="C2917" s="10" t="s">
        <v>11</v>
      </c>
      <c r="D2917" s="10" t="s">
        <v>15</v>
      </c>
      <c r="E2917" s="4">
        <v>8</v>
      </c>
      <c r="F2917" s="4">
        <v>2960</v>
      </c>
      <c r="G2917" s="9">
        <v>878.11</v>
      </c>
    </row>
    <row r="2918" spans="1:7" ht="15.6" x14ac:dyDescent="0.3">
      <c r="A2918" s="16">
        <v>44644</v>
      </c>
      <c r="B2918" s="10" t="s">
        <v>19</v>
      </c>
      <c r="C2918" s="10" t="s">
        <v>14</v>
      </c>
      <c r="D2918" s="10" t="s">
        <v>12</v>
      </c>
      <c r="E2918" s="4">
        <v>1</v>
      </c>
      <c r="F2918" s="4">
        <v>897</v>
      </c>
      <c r="G2918" s="9">
        <v>250.78</v>
      </c>
    </row>
    <row r="2919" spans="1:7" ht="15.6" x14ac:dyDescent="0.3">
      <c r="A2919" s="16">
        <v>45010</v>
      </c>
      <c r="B2919" s="10" t="s">
        <v>21</v>
      </c>
      <c r="C2919" s="10" t="s">
        <v>14</v>
      </c>
      <c r="D2919" s="10" t="s">
        <v>12</v>
      </c>
      <c r="E2919" s="4">
        <v>2</v>
      </c>
      <c r="F2919" s="4">
        <v>1178</v>
      </c>
      <c r="G2919" s="9">
        <v>120.51</v>
      </c>
    </row>
    <row r="2920" spans="1:7" ht="15.6" x14ac:dyDescent="0.3">
      <c r="A2920" s="16">
        <v>44946</v>
      </c>
      <c r="B2920" s="10" t="s">
        <v>19</v>
      </c>
      <c r="C2920" s="10" t="s">
        <v>14</v>
      </c>
      <c r="D2920" s="10" t="s">
        <v>12</v>
      </c>
      <c r="E2920" s="4">
        <v>2</v>
      </c>
      <c r="F2920" s="4">
        <v>1026</v>
      </c>
      <c r="G2920" s="9">
        <v>64.510000000000005</v>
      </c>
    </row>
    <row r="2921" spans="1:7" ht="15.6" x14ac:dyDescent="0.3">
      <c r="A2921" s="16">
        <v>44703</v>
      </c>
      <c r="B2921" s="10" t="s">
        <v>7</v>
      </c>
      <c r="C2921" s="10" t="s">
        <v>8</v>
      </c>
      <c r="D2921" s="10" t="s">
        <v>15</v>
      </c>
      <c r="E2921" s="4">
        <v>1</v>
      </c>
      <c r="F2921" s="4">
        <v>1148</v>
      </c>
      <c r="G2921" s="9">
        <v>89.04</v>
      </c>
    </row>
    <row r="2922" spans="1:7" ht="15.6" x14ac:dyDescent="0.3">
      <c r="A2922" s="16">
        <v>44972</v>
      </c>
      <c r="B2922" s="10" t="s">
        <v>7</v>
      </c>
      <c r="C2922" s="10" t="s">
        <v>8</v>
      </c>
      <c r="D2922" s="10" t="s">
        <v>16</v>
      </c>
      <c r="E2922" s="4">
        <v>7</v>
      </c>
      <c r="F2922" s="4">
        <v>3185</v>
      </c>
      <c r="G2922" s="9">
        <v>765.41</v>
      </c>
    </row>
    <row r="2923" spans="1:7" ht="15.6" x14ac:dyDescent="0.3">
      <c r="A2923" s="16">
        <v>44623</v>
      </c>
      <c r="B2923" s="10" t="s">
        <v>21</v>
      </c>
      <c r="C2923" s="10" t="s">
        <v>14</v>
      </c>
      <c r="D2923" s="10" t="s">
        <v>12</v>
      </c>
      <c r="E2923" s="4">
        <v>7</v>
      </c>
      <c r="F2923" s="4">
        <v>5180</v>
      </c>
      <c r="G2923" s="9">
        <v>463.35</v>
      </c>
    </row>
    <row r="2924" spans="1:7" ht="15.6" x14ac:dyDescent="0.3">
      <c r="A2924" s="16">
        <v>44867</v>
      </c>
      <c r="B2924" s="10" t="s">
        <v>18</v>
      </c>
      <c r="C2924" s="10" t="s">
        <v>11</v>
      </c>
      <c r="D2924" s="10" t="s">
        <v>15</v>
      </c>
      <c r="E2924" s="4">
        <v>5</v>
      </c>
      <c r="F2924" s="4">
        <v>2025</v>
      </c>
      <c r="G2924" s="9">
        <v>295.13</v>
      </c>
    </row>
    <row r="2925" spans="1:7" ht="15.6" x14ac:dyDescent="0.3">
      <c r="A2925" s="16">
        <v>45650</v>
      </c>
      <c r="B2925" s="10" t="s">
        <v>13</v>
      </c>
      <c r="C2925" s="10" t="s">
        <v>14</v>
      </c>
      <c r="D2925" s="10" t="s">
        <v>9</v>
      </c>
      <c r="E2925" s="4">
        <v>9</v>
      </c>
      <c r="F2925" s="4">
        <v>1359</v>
      </c>
      <c r="G2925" s="9">
        <v>187.72</v>
      </c>
    </row>
    <row r="2926" spans="1:7" ht="15.6" x14ac:dyDescent="0.3">
      <c r="A2926" s="16">
        <v>45015</v>
      </c>
      <c r="B2926" s="10" t="s">
        <v>17</v>
      </c>
      <c r="C2926" s="10" t="s">
        <v>14</v>
      </c>
      <c r="D2926" s="10" t="s">
        <v>15</v>
      </c>
      <c r="E2926" s="4">
        <v>4</v>
      </c>
      <c r="F2926" s="4">
        <v>1836</v>
      </c>
      <c r="G2926" s="9">
        <v>462.52</v>
      </c>
    </row>
    <row r="2927" spans="1:7" ht="15.6" x14ac:dyDescent="0.3">
      <c r="A2927" s="16">
        <v>44898</v>
      </c>
      <c r="B2927" s="10" t="s">
        <v>13</v>
      </c>
      <c r="C2927" s="10" t="s">
        <v>14</v>
      </c>
      <c r="D2927" s="10" t="s">
        <v>16</v>
      </c>
      <c r="E2927" s="4">
        <v>2</v>
      </c>
      <c r="F2927" s="4">
        <v>702</v>
      </c>
      <c r="G2927" s="9">
        <v>112.04</v>
      </c>
    </row>
    <row r="2928" spans="1:7" ht="15.6" x14ac:dyDescent="0.3">
      <c r="A2928" s="16">
        <v>45633</v>
      </c>
      <c r="B2928" s="10" t="s">
        <v>21</v>
      </c>
      <c r="C2928" s="10" t="s">
        <v>14</v>
      </c>
      <c r="D2928" s="10" t="s">
        <v>16</v>
      </c>
      <c r="E2928" s="4">
        <v>8</v>
      </c>
      <c r="F2928" s="4">
        <v>6576</v>
      </c>
      <c r="G2928" s="9">
        <v>1337.38</v>
      </c>
    </row>
    <row r="2929" spans="1:7" ht="15.6" x14ac:dyDescent="0.3">
      <c r="A2929" s="16">
        <v>45358</v>
      </c>
      <c r="B2929" s="10" t="s">
        <v>19</v>
      </c>
      <c r="C2929" s="10" t="s">
        <v>14</v>
      </c>
      <c r="D2929" s="10" t="s">
        <v>16</v>
      </c>
      <c r="E2929" s="4">
        <v>2</v>
      </c>
      <c r="F2929" s="4">
        <v>1428</v>
      </c>
      <c r="G2929" s="9">
        <v>398.24</v>
      </c>
    </row>
    <row r="2930" spans="1:7" ht="15.6" x14ac:dyDescent="0.3">
      <c r="A2930" s="16">
        <v>44934</v>
      </c>
      <c r="B2930" s="10" t="s">
        <v>17</v>
      </c>
      <c r="C2930" s="10" t="s">
        <v>14</v>
      </c>
      <c r="D2930" s="10" t="s">
        <v>9</v>
      </c>
      <c r="E2930" s="4">
        <v>7</v>
      </c>
      <c r="F2930" s="4">
        <v>6853</v>
      </c>
      <c r="G2930" s="9">
        <v>1259.03</v>
      </c>
    </row>
    <row r="2931" spans="1:7" ht="15.6" x14ac:dyDescent="0.3">
      <c r="A2931" s="16">
        <v>44697</v>
      </c>
      <c r="B2931" s="10" t="s">
        <v>17</v>
      </c>
      <c r="C2931" s="10" t="s">
        <v>14</v>
      </c>
      <c r="D2931" s="10" t="s">
        <v>16</v>
      </c>
      <c r="E2931" s="4">
        <v>2</v>
      </c>
      <c r="F2931" s="4">
        <v>1492</v>
      </c>
      <c r="G2931" s="9">
        <v>276.56</v>
      </c>
    </row>
    <row r="2932" spans="1:7" ht="15.6" x14ac:dyDescent="0.3">
      <c r="A2932" s="16">
        <v>45411</v>
      </c>
      <c r="B2932" s="10" t="s">
        <v>7</v>
      </c>
      <c r="C2932" s="10" t="s">
        <v>8</v>
      </c>
      <c r="D2932" s="10" t="s">
        <v>9</v>
      </c>
      <c r="E2932" s="4">
        <v>6</v>
      </c>
      <c r="F2932" s="4">
        <v>1938</v>
      </c>
      <c r="G2932" s="9">
        <v>146.72999999999999</v>
      </c>
    </row>
    <row r="2933" spans="1:7" ht="15.6" x14ac:dyDescent="0.3">
      <c r="A2933" s="16">
        <v>44934</v>
      </c>
      <c r="B2933" s="10" t="s">
        <v>17</v>
      </c>
      <c r="C2933" s="10" t="s">
        <v>14</v>
      </c>
      <c r="D2933" s="10" t="s">
        <v>15</v>
      </c>
      <c r="E2933" s="4">
        <v>5</v>
      </c>
      <c r="F2933" s="4">
        <v>905</v>
      </c>
      <c r="G2933" s="9">
        <v>70.91</v>
      </c>
    </row>
    <row r="2934" spans="1:7" ht="15.6" x14ac:dyDescent="0.3">
      <c r="A2934" s="16">
        <v>44617</v>
      </c>
      <c r="B2934" s="10" t="s">
        <v>7</v>
      </c>
      <c r="C2934" s="10" t="s">
        <v>8</v>
      </c>
      <c r="D2934" s="10" t="s">
        <v>9</v>
      </c>
      <c r="E2934" s="4">
        <v>3</v>
      </c>
      <c r="F2934" s="4">
        <v>2571</v>
      </c>
      <c r="G2934" s="9">
        <v>510.01</v>
      </c>
    </row>
    <row r="2935" spans="1:7" ht="15.6" x14ac:dyDescent="0.3">
      <c r="A2935" s="16">
        <v>45390</v>
      </c>
      <c r="B2935" s="10" t="s">
        <v>13</v>
      </c>
      <c r="C2935" s="10" t="s">
        <v>14</v>
      </c>
      <c r="D2935" s="10" t="s">
        <v>16</v>
      </c>
      <c r="E2935" s="4">
        <v>4</v>
      </c>
      <c r="F2935" s="4">
        <v>1500</v>
      </c>
      <c r="G2935" s="9">
        <v>127.81</v>
      </c>
    </row>
    <row r="2936" spans="1:7" ht="15.6" x14ac:dyDescent="0.3">
      <c r="A2936" s="16">
        <v>45002</v>
      </c>
      <c r="B2936" s="10" t="s">
        <v>19</v>
      </c>
      <c r="C2936" s="10" t="s">
        <v>14</v>
      </c>
      <c r="D2936" s="10" t="s">
        <v>15</v>
      </c>
      <c r="E2936" s="4">
        <v>9</v>
      </c>
      <c r="F2936" s="4">
        <v>8712</v>
      </c>
      <c r="G2936" s="9">
        <v>1034.27</v>
      </c>
    </row>
    <row r="2937" spans="1:7" ht="15.6" x14ac:dyDescent="0.3">
      <c r="A2937" s="16">
        <v>45496</v>
      </c>
      <c r="B2937" s="10" t="s">
        <v>20</v>
      </c>
      <c r="C2937" s="10" t="s">
        <v>11</v>
      </c>
      <c r="D2937" s="10" t="s">
        <v>12</v>
      </c>
      <c r="E2937" s="4">
        <v>4</v>
      </c>
      <c r="F2937" s="4">
        <v>1308</v>
      </c>
      <c r="G2937" s="9">
        <v>368.28</v>
      </c>
    </row>
    <row r="2938" spans="1:7" ht="15.6" x14ac:dyDescent="0.3">
      <c r="A2938" s="16">
        <v>45357</v>
      </c>
      <c r="B2938" s="10" t="s">
        <v>21</v>
      </c>
      <c r="C2938" s="10" t="s">
        <v>14</v>
      </c>
      <c r="D2938" s="10" t="s">
        <v>15</v>
      </c>
      <c r="E2938" s="4">
        <v>4</v>
      </c>
      <c r="F2938" s="4">
        <v>2648</v>
      </c>
      <c r="G2938" s="9">
        <v>707.32</v>
      </c>
    </row>
    <row r="2939" spans="1:7" ht="15.6" x14ac:dyDescent="0.3">
      <c r="A2939" s="16">
        <v>44638</v>
      </c>
      <c r="B2939" s="10" t="s">
        <v>17</v>
      </c>
      <c r="C2939" s="10" t="s">
        <v>14</v>
      </c>
      <c r="D2939" s="10" t="s">
        <v>15</v>
      </c>
      <c r="E2939" s="4">
        <v>9</v>
      </c>
      <c r="F2939" s="4">
        <v>9810</v>
      </c>
      <c r="G2939" s="9">
        <v>1666.96</v>
      </c>
    </row>
    <row r="2940" spans="1:7" ht="15.6" x14ac:dyDescent="0.3">
      <c r="A2940" s="16">
        <v>45415</v>
      </c>
      <c r="B2940" s="10" t="s">
        <v>18</v>
      </c>
      <c r="C2940" s="10" t="s">
        <v>11</v>
      </c>
      <c r="D2940" s="10" t="s">
        <v>9</v>
      </c>
      <c r="E2940" s="4">
        <v>3</v>
      </c>
      <c r="F2940" s="4">
        <v>3291</v>
      </c>
      <c r="G2940" s="9">
        <v>274.10000000000002</v>
      </c>
    </row>
    <row r="2941" spans="1:7" ht="15.6" x14ac:dyDescent="0.3">
      <c r="A2941" s="16">
        <v>44826</v>
      </c>
      <c r="B2941" s="10" t="s">
        <v>19</v>
      </c>
      <c r="C2941" s="10" t="s">
        <v>14</v>
      </c>
      <c r="D2941" s="10" t="s">
        <v>9</v>
      </c>
      <c r="E2941" s="4">
        <v>1</v>
      </c>
      <c r="F2941" s="4">
        <v>758</v>
      </c>
      <c r="G2941" s="9">
        <v>96.44</v>
      </c>
    </row>
    <row r="2942" spans="1:7" ht="15.6" x14ac:dyDescent="0.3">
      <c r="A2942" s="16">
        <v>44833</v>
      </c>
      <c r="B2942" s="10" t="s">
        <v>22</v>
      </c>
      <c r="C2942" s="10" t="s">
        <v>11</v>
      </c>
      <c r="D2942" s="10" t="s">
        <v>12</v>
      </c>
      <c r="E2942" s="4">
        <v>7</v>
      </c>
      <c r="F2942" s="4">
        <v>2436</v>
      </c>
      <c r="G2942" s="9">
        <v>715.14</v>
      </c>
    </row>
    <row r="2943" spans="1:7" ht="15.6" x14ac:dyDescent="0.3">
      <c r="A2943" s="16">
        <v>45444</v>
      </c>
      <c r="B2943" s="10" t="s">
        <v>19</v>
      </c>
      <c r="C2943" s="10" t="s">
        <v>14</v>
      </c>
      <c r="D2943" s="10" t="s">
        <v>9</v>
      </c>
      <c r="E2943" s="4">
        <v>7</v>
      </c>
      <c r="F2943" s="4">
        <v>560</v>
      </c>
      <c r="G2943" s="9">
        <v>163.16</v>
      </c>
    </row>
    <row r="2944" spans="1:7" ht="15.6" x14ac:dyDescent="0.3">
      <c r="A2944" s="16">
        <v>44854</v>
      </c>
      <c r="B2944" s="10" t="s">
        <v>21</v>
      </c>
      <c r="C2944" s="10" t="s">
        <v>14</v>
      </c>
      <c r="D2944" s="10" t="s">
        <v>16</v>
      </c>
      <c r="E2944" s="4">
        <v>8</v>
      </c>
      <c r="F2944" s="4">
        <v>4240</v>
      </c>
      <c r="G2944" s="9">
        <v>519.72</v>
      </c>
    </row>
    <row r="2945" spans="1:7" ht="15.6" x14ac:dyDescent="0.3">
      <c r="A2945" s="16">
        <v>45540</v>
      </c>
      <c r="B2945" s="10" t="s">
        <v>20</v>
      </c>
      <c r="C2945" s="10" t="s">
        <v>11</v>
      </c>
      <c r="D2945" s="10" t="s">
        <v>12</v>
      </c>
      <c r="E2945" s="4">
        <v>8</v>
      </c>
      <c r="F2945" s="4">
        <v>5416</v>
      </c>
      <c r="G2945" s="9">
        <v>403.52</v>
      </c>
    </row>
    <row r="2946" spans="1:7" ht="15.6" x14ac:dyDescent="0.3">
      <c r="A2946" s="16">
        <v>45123</v>
      </c>
      <c r="B2946" s="10" t="s">
        <v>21</v>
      </c>
      <c r="C2946" s="10" t="s">
        <v>14</v>
      </c>
      <c r="D2946" s="10" t="s">
        <v>12</v>
      </c>
      <c r="E2946" s="4">
        <v>8</v>
      </c>
      <c r="F2946" s="4">
        <v>1728</v>
      </c>
      <c r="G2946" s="9">
        <v>477.7</v>
      </c>
    </row>
    <row r="2947" spans="1:7" ht="15.6" x14ac:dyDescent="0.3">
      <c r="A2947" s="16">
        <v>45122</v>
      </c>
      <c r="B2947" s="10" t="s">
        <v>22</v>
      </c>
      <c r="C2947" s="10" t="s">
        <v>11</v>
      </c>
      <c r="D2947" s="10" t="s">
        <v>16</v>
      </c>
      <c r="E2947" s="4">
        <v>9</v>
      </c>
      <c r="F2947" s="4">
        <v>6309</v>
      </c>
      <c r="G2947" s="9">
        <v>801.15</v>
      </c>
    </row>
    <row r="2948" spans="1:7" ht="15.6" x14ac:dyDescent="0.3">
      <c r="A2948" s="16">
        <v>45146</v>
      </c>
      <c r="B2948" s="10" t="s">
        <v>22</v>
      </c>
      <c r="C2948" s="10" t="s">
        <v>11</v>
      </c>
      <c r="D2948" s="10" t="s">
        <v>9</v>
      </c>
      <c r="E2948" s="4">
        <v>8</v>
      </c>
      <c r="F2948" s="4">
        <v>3400</v>
      </c>
      <c r="G2948" s="9">
        <v>758.57</v>
      </c>
    </row>
    <row r="2949" spans="1:7" ht="15.6" x14ac:dyDescent="0.3">
      <c r="A2949" s="16">
        <v>44680</v>
      </c>
      <c r="B2949" s="10" t="s">
        <v>23</v>
      </c>
      <c r="C2949" s="10" t="s">
        <v>14</v>
      </c>
      <c r="D2949" s="10" t="s">
        <v>12</v>
      </c>
      <c r="E2949" s="4">
        <v>1</v>
      </c>
      <c r="F2949" s="4">
        <v>403</v>
      </c>
      <c r="G2949" s="9">
        <v>72.45</v>
      </c>
    </row>
    <row r="2950" spans="1:7" ht="15.6" x14ac:dyDescent="0.3">
      <c r="A2950" s="16">
        <v>44912</v>
      </c>
      <c r="B2950" s="10" t="s">
        <v>22</v>
      </c>
      <c r="C2950" s="10" t="s">
        <v>11</v>
      </c>
      <c r="D2950" s="10" t="s">
        <v>15</v>
      </c>
      <c r="E2950" s="4">
        <v>4</v>
      </c>
      <c r="F2950" s="4">
        <v>2108</v>
      </c>
      <c r="G2950" s="9">
        <v>375.62</v>
      </c>
    </row>
    <row r="2951" spans="1:7" ht="15.6" x14ac:dyDescent="0.3">
      <c r="A2951" s="16">
        <v>44834</v>
      </c>
      <c r="B2951" s="10" t="s">
        <v>18</v>
      </c>
      <c r="C2951" s="10" t="s">
        <v>11</v>
      </c>
      <c r="D2951" s="10" t="s">
        <v>16</v>
      </c>
      <c r="E2951" s="4">
        <v>2</v>
      </c>
      <c r="F2951" s="4">
        <v>1090</v>
      </c>
      <c r="G2951" s="9">
        <v>296.12</v>
      </c>
    </row>
    <row r="2952" spans="1:7" ht="15.6" x14ac:dyDescent="0.3">
      <c r="A2952" s="16">
        <v>44871</v>
      </c>
      <c r="B2952" s="10" t="s">
        <v>22</v>
      </c>
      <c r="C2952" s="10" t="s">
        <v>11</v>
      </c>
      <c r="D2952" s="10" t="s">
        <v>9</v>
      </c>
      <c r="E2952" s="4">
        <v>7</v>
      </c>
      <c r="F2952" s="4">
        <v>1274</v>
      </c>
      <c r="G2952" s="9">
        <v>317.92</v>
      </c>
    </row>
    <row r="2953" spans="1:7" ht="15.6" x14ac:dyDescent="0.3">
      <c r="A2953" s="16">
        <v>45393</v>
      </c>
      <c r="B2953" s="10" t="s">
        <v>10</v>
      </c>
      <c r="C2953" s="10" t="s">
        <v>11</v>
      </c>
      <c r="D2953" s="10" t="s">
        <v>15</v>
      </c>
      <c r="E2953" s="4">
        <v>3</v>
      </c>
      <c r="F2953" s="4">
        <v>1056</v>
      </c>
      <c r="G2953" s="9">
        <v>70.540000000000006</v>
      </c>
    </row>
    <row r="2954" spans="1:7" ht="15.6" x14ac:dyDescent="0.3">
      <c r="A2954" s="16">
        <v>45078</v>
      </c>
      <c r="B2954" s="10" t="s">
        <v>10</v>
      </c>
      <c r="C2954" s="10" t="s">
        <v>11</v>
      </c>
      <c r="D2954" s="10" t="s">
        <v>9</v>
      </c>
      <c r="E2954" s="4">
        <v>9</v>
      </c>
      <c r="F2954" s="4">
        <v>5247</v>
      </c>
      <c r="G2954" s="9">
        <v>921.09</v>
      </c>
    </row>
    <row r="2955" spans="1:7" ht="15.6" x14ac:dyDescent="0.3">
      <c r="A2955" s="16">
        <v>45236</v>
      </c>
      <c r="B2955" s="10" t="s">
        <v>10</v>
      </c>
      <c r="C2955" s="10" t="s">
        <v>11</v>
      </c>
      <c r="D2955" s="10" t="s">
        <v>16</v>
      </c>
      <c r="E2955" s="4">
        <v>7</v>
      </c>
      <c r="F2955" s="4">
        <v>6006</v>
      </c>
      <c r="G2955" s="9">
        <v>1595.22</v>
      </c>
    </row>
    <row r="2956" spans="1:7" ht="15.6" x14ac:dyDescent="0.3">
      <c r="A2956" s="16">
        <v>45309</v>
      </c>
      <c r="B2956" s="10" t="s">
        <v>20</v>
      </c>
      <c r="C2956" s="10" t="s">
        <v>11</v>
      </c>
      <c r="D2956" s="10" t="s">
        <v>16</v>
      </c>
      <c r="E2956" s="4">
        <v>5</v>
      </c>
      <c r="F2956" s="4">
        <v>5415</v>
      </c>
      <c r="G2956" s="9">
        <v>1261.6500000000001</v>
      </c>
    </row>
    <row r="2957" spans="1:7" ht="15.6" x14ac:dyDescent="0.3">
      <c r="A2957" s="16">
        <v>44616</v>
      </c>
      <c r="B2957" s="10" t="s">
        <v>21</v>
      </c>
      <c r="C2957" s="10" t="s">
        <v>14</v>
      </c>
      <c r="D2957" s="10" t="s">
        <v>16</v>
      </c>
      <c r="E2957" s="4">
        <v>1</v>
      </c>
      <c r="F2957" s="4">
        <v>632</v>
      </c>
      <c r="G2957" s="9">
        <v>81.540000000000006</v>
      </c>
    </row>
    <row r="2958" spans="1:7" ht="15.6" x14ac:dyDescent="0.3">
      <c r="A2958" s="16">
        <v>45322</v>
      </c>
      <c r="B2958" s="10" t="s">
        <v>7</v>
      </c>
      <c r="C2958" s="10" t="s">
        <v>8</v>
      </c>
      <c r="D2958" s="10" t="s">
        <v>16</v>
      </c>
      <c r="E2958" s="4">
        <v>8</v>
      </c>
      <c r="F2958" s="4">
        <v>6160</v>
      </c>
      <c r="G2958" s="9">
        <v>947.96</v>
      </c>
    </row>
    <row r="2959" spans="1:7" ht="15.6" x14ac:dyDescent="0.3">
      <c r="A2959" s="16">
        <v>45072</v>
      </c>
      <c r="B2959" s="10" t="s">
        <v>7</v>
      </c>
      <c r="C2959" s="10" t="s">
        <v>8</v>
      </c>
      <c r="D2959" s="10" t="s">
        <v>15</v>
      </c>
      <c r="E2959" s="4">
        <v>1</v>
      </c>
      <c r="F2959" s="4">
        <v>857</v>
      </c>
      <c r="G2959" s="9">
        <v>172.91</v>
      </c>
    </row>
    <row r="2960" spans="1:7" ht="15.6" x14ac:dyDescent="0.3">
      <c r="A2960" s="16">
        <v>44954</v>
      </c>
      <c r="B2960" s="10" t="s">
        <v>13</v>
      </c>
      <c r="C2960" s="10" t="s">
        <v>14</v>
      </c>
      <c r="D2960" s="10" t="s">
        <v>12</v>
      </c>
      <c r="E2960" s="4">
        <v>1</v>
      </c>
      <c r="F2960" s="4">
        <v>169</v>
      </c>
      <c r="G2960" s="9">
        <v>22.99</v>
      </c>
    </row>
    <row r="2961" spans="1:7" ht="15.6" x14ac:dyDescent="0.3">
      <c r="A2961" s="16">
        <v>45200</v>
      </c>
      <c r="B2961" s="10" t="s">
        <v>13</v>
      </c>
      <c r="C2961" s="10" t="s">
        <v>14</v>
      </c>
      <c r="D2961" s="10" t="s">
        <v>16</v>
      </c>
      <c r="E2961" s="4">
        <v>7</v>
      </c>
      <c r="F2961" s="4">
        <v>1463</v>
      </c>
      <c r="G2961" s="9">
        <v>175.13</v>
      </c>
    </row>
    <row r="2962" spans="1:7" ht="15.6" x14ac:dyDescent="0.3">
      <c r="A2962" s="16">
        <v>44913</v>
      </c>
      <c r="B2962" s="10" t="s">
        <v>17</v>
      </c>
      <c r="C2962" s="10" t="s">
        <v>14</v>
      </c>
      <c r="D2962" s="10" t="s">
        <v>12</v>
      </c>
      <c r="E2962" s="4">
        <v>8</v>
      </c>
      <c r="F2962" s="4">
        <v>7528</v>
      </c>
      <c r="G2962" s="9">
        <v>1283.07</v>
      </c>
    </row>
    <row r="2963" spans="1:7" ht="15.6" x14ac:dyDescent="0.3">
      <c r="A2963" s="16">
        <v>44919</v>
      </c>
      <c r="B2963" s="10" t="s">
        <v>19</v>
      </c>
      <c r="C2963" s="10" t="s">
        <v>14</v>
      </c>
      <c r="D2963" s="10" t="s">
        <v>16</v>
      </c>
      <c r="E2963" s="4">
        <v>2</v>
      </c>
      <c r="F2963" s="4">
        <v>1158</v>
      </c>
      <c r="G2963" s="9">
        <v>227.61</v>
      </c>
    </row>
    <row r="2964" spans="1:7" ht="15.6" x14ac:dyDescent="0.3">
      <c r="A2964" s="16">
        <v>44729</v>
      </c>
      <c r="B2964" s="10" t="s">
        <v>20</v>
      </c>
      <c r="C2964" s="10" t="s">
        <v>11</v>
      </c>
      <c r="D2964" s="10" t="s">
        <v>16</v>
      </c>
      <c r="E2964" s="4">
        <v>4</v>
      </c>
      <c r="F2964" s="4">
        <v>200</v>
      </c>
      <c r="G2964" s="9">
        <v>20.25</v>
      </c>
    </row>
    <row r="2965" spans="1:7" ht="15.6" x14ac:dyDescent="0.3">
      <c r="A2965" s="16">
        <v>44927</v>
      </c>
      <c r="B2965" s="10" t="s">
        <v>21</v>
      </c>
      <c r="C2965" s="10" t="s">
        <v>14</v>
      </c>
      <c r="D2965" s="10" t="s">
        <v>16</v>
      </c>
      <c r="E2965" s="4">
        <v>2</v>
      </c>
      <c r="F2965" s="4">
        <v>1514</v>
      </c>
      <c r="G2965" s="9">
        <v>180.67</v>
      </c>
    </row>
    <row r="2966" spans="1:7" ht="15.6" x14ac:dyDescent="0.3">
      <c r="A2966" s="16">
        <v>45480</v>
      </c>
      <c r="B2966" s="10" t="s">
        <v>19</v>
      </c>
      <c r="C2966" s="10" t="s">
        <v>14</v>
      </c>
      <c r="D2966" s="10" t="s">
        <v>15</v>
      </c>
      <c r="E2966" s="4">
        <v>7</v>
      </c>
      <c r="F2966" s="4">
        <v>2632</v>
      </c>
      <c r="G2966" s="9">
        <v>738.93</v>
      </c>
    </row>
    <row r="2967" spans="1:7" ht="15.6" x14ac:dyDescent="0.3">
      <c r="A2967" s="16">
        <v>44773</v>
      </c>
      <c r="B2967" s="10" t="s">
        <v>22</v>
      </c>
      <c r="C2967" s="10" t="s">
        <v>11</v>
      </c>
      <c r="D2967" s="10" t="s">
        <v>9</v>
      </c>
      <c r="E2967" s="4">
        <v>1</v>
      </c>
      <c r="F2967" s="4">
        <v>358</v>
      </c>
      <c r="G2967" s="9">
        <v>77.84</v>
      </c>
    </row>
    <row r="2968" spans="1:7" ht="15.6" x14ac:dyDescent="0.3">
      <c r="A2968" s="16">
        <v>45081</v>
      </c>
      <c r="B2968" s="10" t="s">
        <v>17</v>
      </c>
      <c r="C2968" s="10" t="s">
        <v>14</v>
      </c>
      <c r="D2968" s="10" t="s">
        <v>12</v>
      </c>
      <c r="E2968" s="4">
        <v>8</v>
      </c>
      <c r="F2968" s="4">
        <v>2360</v>
      </c>
      <c r="G2968" s="9">
        <v>653.29999999999995</v>
      </c>
    </row>
    <row r="2969" spans="1:7" ht="15.6" x14ac:dyDescent="0.3">
      <c r="A2969" s="16">
        <v>45167</v>
      </c>
      <c r="B2969" s="10" t="s">
        <v>22</v>
      </c>
      <c r="C2969" s="10" t="s">
        <v>11</v>
      </c>
      <c r="D2969" s="10" t="s">
        <v>15</v>
      </c>
      <c r="E2969" s="4">
        <v>5</v>
      </c>
      <c r="F2969" s="4">
        <v>5275</v>
      </c>
      <c r="G2969" s="9">
        <v>594.29</v>
      </c>
    </row>
    <row r="2970" spans="1:7" ht="15.6" x14ac:dyDescent="0.3">
      <c r="A2970" s="16">
        <v>45022</v>
      </c>
      <c r="B2970" s="10" t="s">
        <v>20</v>
      </c>
      <c r="C2970" s="10" t="s">
        <v>11</v>
      </c>
      <c r="D2970" s="10" t="s">
        <v>12</v>
      </c>
      <c r="E2970" s="4">
        <v>9</v>
      </c>
      <c r="F2970" s="4">
        <v>1719</v>
      </c>
      <c r="G2970" s="9">
        <v>251.85</v>
      </c>
    </row>
    <row r="2971" spans="1:7" ht="15.6" x14ac:dyDescent="0.3">
      <c r="A2971" s="16">
        <v>44961</v>
      </c>
      <c r="B2971" s="10" t="s">
        <v>21</v>
      </c>
      <c r="C2971" s="10" t="s">
        <v>14</v>
      </c>
      <c r="D2971" s="10" t="s">
        <v>16</v>
      </c>
      <c r="E2971" s="4">
        <v>6</v>
      </c>
      <c r="F2971" s="4">
        <v>1956</v>
      </c>
      <c r="G2971" s="9">
        <v>434.03</v>
      </c>
    </row>
    <row r="2972" spans="1:7" ht="15.6" x14ac:dyDescent="0.3">
      <c r="A2972" s="16">
        <v>44800</v>
      </c>
      <c r="B2972" s="10" t="s">
        <v>22</v>
      </c>
      <c r="C2972" s="10" t="s">
        <v>11</v>
      </c>
      <c r="D2972" s="10" t="s">
        <v>16</v>
      </c>
      <c r="E2972" s="4">
        <v>3</v>
      </c>
      <c r="F2972" s="4">
        <v>1875</v>
      </c>
      <c r="G2972" s="9">
        <v>152.07</v>
      </c>
    </row>
    <row r="2973" spans="1:7" ht="15.6" x14ac:dyDescent="0.3">
      <c r="A2973" s="16">
        <v>44725</v>
      </c>
      <c r="B2973" s="10" t="s">
        <v>20</v>
      </c>
      <c r="C2973" s="10" t="s">
        <v>11</v>
      </c>
      <c r="D2973" s="10" t="s">
        <v>15</v>
      </c>
      <c r="E2973" s="4">
        <v>4</v>
      </c>
      <c r="F2973" s="4">
        <v>984</v>
      </c>
      <c r="G2973" s="9">
        <v>157.72</v>
      </c>
    </row>
    <row r="2974" spans="1:7" ht="15.6" x14ac:dyDescent="0.3">
      <c r="A2974" s="16">
        <v>45158</v>
      </c>
      <c r="B2974" s="10" t="s">
        <v>17</v>
      </c>
      <c r="C2974" s="10" t="s">
        <v>14</v>
      </c>
      <c r="D2974" s="10" t="s">
        <v>15</v>
      </c>
      <c r="E2974" s="4">
        <v>4</v>
      </c>
      <c r="F2974" s="4">
        <v>3616</v>
      </c>
      <c r="G2974" s="9">
        <v>789.63</v>
      </c>
    </row>
    <row r="2975" spans="1:7" ht="15.6" x14ac:dyDescent="0.3">
      <c r="A2975" s="16">
        <v>45583</v>
      </c>
      <c r="B2975" s="10" t="s">
        <v>13</v>
      </c>
      <c r="C2975" s="10" t="s">
        <v>14</v>
      </c>
      <c r="D2975" s="10" t="s">
        <v>16</v>
      </c>
      <c r="E2975" s="4">
        <v>5</v>
      </c>
      <c r="F2975" s="4">
        <v>4560</v>
      </c>
      <c r="G2975" s="9">
        <v>1180.8</v>
      </c>
    </row>
    <row r="2976" spans="1:7" ht="15.6" x14ac:dyDescent="0.3">
      <c r="A2976" s="16">
        <v>45549</v>
      </c>
      <c r="B2976" s="10" t="s">
        <v>21</v>
      </c>
      <c r="C2976" s="10" t="s">
        <v>14</v>
      </c>
      <c r="D2976" s="10" t="s">
        <v>16</v>
      </c>
      <c r="E2976" s="4">
        <v>8</v>
      </c>
      <c r="F2976" s="4">
        <v>7496</v>
      </c>
      <c r="G2976" s="9">
        <v>2019.32</v>
      </c>
    </row>
    <row r="2977" spans="1:7" ht="15.6" x14ac:dyDescent="0.3">
      <c r="A2977" s="16">
        <v>44790</v>
      </c>
      <c r="B2977" s="10" t="s">
        <v>17</v>
      </c>
      <c r="C2977" s="10" t="s">
        <v>14</v>
      </c>
      <c r="D2977" s="10" t="s">
        <v>9</v>
      </c>
      <c r="E2977" s="4">
        <v>5</v>
      </c>
      <c r="F2977" s="4">
        <v>5070</v>
      </c>
      <c r="G2977" s="9">
        <v>889.97</v>
      </c>
    </row>
    <row r="2978" spans="1:7" ht="15.6" x14ac:dyDescent="0.3">
      <c r="A2978" s="16">
        <v>44672</v>
      </c>
      <c r="B2978" s="10" t="s">
        <v>19</v>
      </c>
      <c r="C2978" s="10" t="s">
        <v>14</v>
      </c>
      <c r="D2978" s="10" t="s">
        <v>9</v>
      </c>
      <c r="E2978" s="4">
        <v>5</v>
      </c>
      <c r="F2978" s="4">
        <v>4505</v>
      </c>
      <c r="G2978" s="9">
        <v>1351.28</v>
      </c>
    </row>
    <row r="2979" spans="1:7" ht="15.6" x14ac:dyDescent="0.3">
      <c r="A2979" s="16">
        <v>44574</v>
      </c>
      <c r="B2979" s="10" t="s">
        <v>13</v>
      </c>
      <c r="C2979" s="10" t="s">
        <v>14</v>
      </c>
      <c r="D2979" s="10" t="s">
        <v>15</v>
      </c>
      <c r="E2979" s="4">
        <v>2</v>
      </c>
      <c r="F2979" s="4">
        <v>1916</v>
      </c>
      <c r="G2979" s="9">
        <v>503.83</v>
      </c>
    </row>
    <row r="2980" spans="1:7" ht="15.6" x14ac:dyDescent="0.3">
      <c r="A2980" s="16">
        <v>45532</v>
      </c>
      <c r="B2980" s="10" t="s">
        <v>17</v>
      </c>
      <c r="C2980" s="10" t="s">
        <v>14</v>
      </c>
      <c r="D2980" s="10" t="s">
        <v>16</v>
      </c>
      <c r="E2980" s="4">
        <v>7</v>
      </c>
      <c r="F2980" s="4">
        <v>8113</v>
      </c>
      <c r="G2980" s="9">
        <v>1103.57</v>
      </c>
    </row>
    <row r="2981" spans="1:7" ht="15.6" x14ac:dyDescent="0.3">
      <c r="A2981" s="16">
        <v>44786</v>
      </c>
      <c r="B2981" s="10" t="s">
        <v>23</v>
      </c>
      <c r="C2981" s="10" t="s">
        <v>14</v>
      </c>
      <c r="D2981" s="10" t="s">
        <v>9</v>
      </c>
      <c r="E2981" s="4">
        <v>9</v>
      </c>
      <c r="F2981" s="4">
        <v>1809</v>
      </c>
      <c r="G2981" s="9">
        <v>392.44</v>
      </c>
    </row>
    <row r="2982" spans="1:7" ht="15.6" x14ac:dyDescent="0.3">
      <c r="A2982" s="16">
        <v>45170</v>
      </c>
      <c r="B2982" s="10" t="s">
        <v>23</v>
      </c>
      <c r="C2982" s="10" t="s">
        <v>14</v>
      </c>
      <c r="D2982" s="10" t="s">
        <v>15</v>
      </c>
      <c r="E2982" s="4">
        <v>3</v>
      </c>
      <c r="F2982" s="4">
        <v>1227</v>
      </c>
      <c r="G2982" s="9">
        <v>229.75</v>
      </c>
    </row>
    <row r="2983" spans="1:7" ht="15.6" x14ac:dyDescent="0.3">
      <c r="A2983" s="16">
        <v>45127</v>
      </c>
      <c r="B2983" s="10" t="s">
        <v>23</v>
      </c>
      <c r="C2983" s="10" t="s">
        <v>14</v>
      </c>
      <c r="D2983" s="10" t="s">
        <v>15</v>
      </c>
      <c r="E2983" s="4">
        <v>6</v>
      </c>
      <c r="F2983" s="4">
        <v>2040</v>
      </c>
      <c r="G2983" s="9">
        <v>124.65</v>
      </c>
    </row>
    <row r="2984" spans="1:7" ht="15.6" x14ac:dyDescent="0.3">
      <c r="A2984" s="16">
        <v>44917</v>
      </c>
      <c r="B2984" s="10" t="s">
        <v>13</v>
      </c>
      <c r="C2984" s="10" t="s">
        <v>14</v>
      </c>
      <c r="D2984" s="10" t="s">
        <v>16</v>
      </c>
      <c r="E2984" s="4">
        <v>6</v>
      </c>
      <c r="F2984" s="4">
        <v>6324</v>
      </c>
      <c r="G2984" s="9">
        <v>629.20000000000005</v>
      </c>
    </row>
    <row r="2985" spans="1:7" ht="15.6" x14ac:dyDescent="0.3">
      <c r="A2985" s="16">
        <v>45010</v>
      </c>
      <c r="B2985" s="10" t="s">
        <v>7</v>
      </c>
      <c r="C2985" s="10" t="s">
        <v>8</v>
      </c>
      <c r="D2985" s="10" t="s">
        <v>9</v>
      </c>
      <c r="E2985" s="4">
        <v>3</v>
      </c>
      <c r="F2985" s="4">
        <v>2724</v>
      </c>
      <c r="G2985" s="9">
        <v>521.24</v>
      </c>
    </row>
    <row r="2986" spans="1:7" ht="15.6" x14ac:dyDescent="0.3">
      <c r="A2986" s="16">
        <v>45060</v>
      </c>
      <c r="B2986" s="10" t="s">
        <v>23</v>
      </c>
      <c r="C2986" s="10" t="s">
        <v>14</v>
      </c>
      <c r="D2986" s="10" t="s">
        <v>15</v>
      </c>
      <c r="E2986" s="4">
        <v>1</v>
      </c>
      <c r="F2986" s="4">
        <v>1188</v>
      </c>
      <c r="G2986" s="9">
        <v>110.32</v>
      </c>
    </row>
    <row r="2987" spans="1:7" ht="15.6" x14ac:dyDescent="0.3">
      <c r="A2987" s="16">
        <v>45314</v>
      </c>
      <c r="B2987" s="10" t="s">
        <v>22</v>
      </c>
      <c r="C2987" s="10" t="s">
        <v>11</v>
      </c>
      <c r="D2987" s="10" t="s">
        <v>12</v>
      </c>
      <c r="E2987" s="4">
        <v>8</v>
      </c>
      <c r="F2987" s="4">
        <v>8776</v>
      </c>
      <c r="G2987" s="9">
        <v>1561.07</v>
      </c>
    </row>
    <row r="2988" spans="1:7" ht="15.6" x14ac:dyDescent="0.3">
      <c r="A2988" s="16">
        <v>45010</v>
      </c>
      <c r="B2988" s="10" t="s">
        <v>23</v>
      </c>
      <c r="C2988" s="10" t="s">
        <v>14</v>
      </c>
      <c r="D2988" s="10" t="s">
        <v>15</v>
      </c>
      <c r="E2988" s="4">
        <v>9</v>
      </c>
      <c r="F2988" s="4">
        <v>5553</v>
      </c>
      <c r="G2988" s="9">
        <v>1432.76</v>
      </c>
    </row>
    <row r="2989" spans="1:7" ht="15.6" x14ac:dyDescent="0.3">
      <c r="A2989" s="16">
        <v>44800</v>
      </c>
      <c r="B2989" s="10" t="s">
        <v>21</v>
      </c>
      <c r="C2989" s="10" t="s">
        <v>14</v>
      </c>
      <c r="D2989" s="10" t="s">
        <v>15</v>
      </c>
      <c r="E2989" s="4">
        <v>2</v>
      </c>
      <c r="F2989" s="4">
        <v>970</v>
      </c>
      <c r="G2989" s="9">
        <v>262.19</v>
      </c>
    </row>
    <row r="2990" spans="1:7" ht="15.6" x14ac:dyDescent="0.3">
      <c r="A2990" s="16">
        <v>44757</v>
      </c>
      <c r="B2990" s="10" t="s">
        <v>22</v>
      </c>
      <c r="C2990" s="10" t="s">
        <v>11</v>
      </c>
      <c r="D2990" s="10" t="s">
        <v>15</v>
      </c>
      <c r="E2990" s="4">
        <v>5</v>
      </c>
      <c r="F2990" s="4">
        <v>940</v>
      </c>
      <c r="G2990" s="9">
        <v>56.7</v>
      </c>
    </row>
    <row r="2991" spans="1:7" ht="15.6" x14ac:dyDescent="0.3">
      <c r="A2991" s="16">
        <v>45481</v>
      </c>
      <c r="B2991" s="10" t="s">
        <v>7</v>
      </c>
      <c r="C2991" s="10" t="s">
        <v>8</v>
      </c>
      <c r="D2991" s="10" t="s">
        <v>12</v>
      </c>
      <c r="E2991" s="4">
        <v>1</v>
      </c>
      <c r="F2991" s="4">
        <v>1175</v>
      </c>
      <c r="G2991" s="9">
        <v>171.51</v>
      </c>
    </row>
    <row r="2992" spans="1:7" ht="15.6" x14ac:dyDescent="0.3">
      <c r="A2992" s="16">
        <v>44872</v>
      </c>
      <c r="B2992" s="10" t="s">
        <v>23</v>
      </c>
      <c r="C2992" s="10" t="s">
        <v>14</v>
      </c>
      <c r="D2992" s="10" t="s">
        <v>12</v>
      </c>
      <c r="E2992" s="4">
        <v>9</v>
      </c>
      <c r="F2992" s="4">
        <v>4860</v>
      </c>
      <c r="G2992" s="9">
        <v>1425.54</v>
      </c>
    </row>
    <row r="2993" spans="1:7" ht="15.6" x14ac:dyDescent="0.3">
      <c r="A2993" s="16">
        <v>44852</v>
      </c>
      <c r="B2993" s="10" t="s">
        <v>18</v>
      </c>
      <c r="C2993" s="10" t="s">
        <v>11</v>
      </c>
      <c r="D2993" s="10" t="s">
        <v>9</v>
      </c>
      <c r="E2993" s="4">
        <v>1</v>
      </c>
      <c r="F2993" s="4">
        <v>987</v>
      </c>
      <c r="G2993" s="9">
        <v>207.69</v>
      </c>
    </row>
    <row r="2994" spans="1:7" ht="15.6" x14ac:dyDescent="0.3">
      <c r="A2994" s="16">
        <v>45429</v>
      </c>
      <c r="B2994" s="10" t="s">
        <v>17</v>
      </c>
      <c r="C2994" s="10" t="s">
        <v>14</v>
      </c>
      <c r="D2994" s="10" t="s">
        <v>12</v>
      </c>
      <c r="E2994" s="4">
        <v>7</v>
      </c>
      <c r="F2994" s="4">
        <v>2968</v>
      </c>
      <c r="G2994" s="9">
        <v>485.13</v>
      </c>
    </row>
    <row r="2995" spans="1:7" ht="15.6" x14ac:dyDescent="0.3">
      <c r="A2995" s="16">
        <v>44629</v>
      </c>
      <c r="B2995" s="10" t="s">
        <v>10</v>
      </c>
      <c r="C2995" s="10" t="s">
        <v>11</v>
      </c>
      <c r="D2995" s="10" t="s">
        <v>12</v>
      </c>
      <c r="E2995" s="4">
        <v>3</v>
      </c>
      <c r="F2995" s="4">
        <v>2172</v>
      </c>
      <c r="G2995" s="9">
        <v>364.77</v>
      </c>
    </row>
    <row r="2996" spans="1:7" ht="15.6" x14ac:dyDescent="0.3">
      <c r="A2996" s="16">
        <v>44562</v>
      </c>
      <c r="B2996" s="10" t="s">
        <v>18</v>
      </c>
      <c r="C2996" s="10" t="s">
        <v>11</v>
      </c>
      <c r="D2996" s="10" t="s">
        <v>15</v>
      </c>
      <c r="E2996" s="4">
        <v>7</v>
      </c>
      <c r="F2996" s="4">
        <v>3941</v>
      </c>
      <c r="G2996" s="9">
        <v>628.96</v>
      </c>
    </row>
    <row r="2997" spans="1:7" ht="15.6" x14ac:dyDescent="0.3">
      <c r="A2997" s="16">
        <v>44734</v>
      </c>
      <c r="B2997" s="10" t="s">
        <v>18</v>
      </c>
      <c r="C2997" s="10" t="s">
        <v>11</v>
      </c>
      <c r="D2997" s="10" t="s">
        <v>9</v>
      </c>
      <c r="E2997" s="4">
        <v>7</v>
      </c>
      <c r="F2997" s="4">
        <v>2261</v>
      </c>
      <c r="G2997" s="9">
        <v>566.36</v>
      </c>
    </row>
    <row r="2998" spans="1:7" ht="15.6" x14ac:dyDescent="0.3">
      <c r="A2998" s="16">
        <v>44757</v>
      </c>
      <c r="B2998" s="10" t="s">
        <v>19</v>
      </c>
      <c r="C2998" s="10" t="s">
        <v>14</v>
      </c>
      <c r="D2998" s="10" t="s">
        <v>16</v>
      </c>
      <c r="E2998" s="4">
        <v>9</v>
      </c>
      <c r="F2998" s="4">
        <v>8802</v>
      </c>
      <c r="G2998" s="9">
        <v>2519.9299999999998</v>
      </c>
    </row>
    <row r="2999" spans="1:7" ht="15.6" x14ac:dyDescent="0.3">
      <c r="A2999" s="16">
        <v>45000</v>
      </c>
      <c r="B2999" s="10" t="s">
        <v>7</v>
      </c>
      <c r="C2999" s="10" t="s">
        <v>8</v>
      </c>
      <c r="D2999" s="10" t="s">
        <v>15</v>
      </c>
      <c r="E2999" s="4">
        <v>5</v>
      </c>
      <c r="F2999" s="4">
        <v>3025</v>
      </c>
      <c r="G2999" s="9">
        <v>172.43</v>
      </c>
    </row>
    <row r="3000" spans="1:7" ht="15.6" x14ac:dyDescent="0.3">
      <c r="A3000" s="16">
        <v>44577</v>
      </c>
      <c r="B3000" s="10" t="s">
        <v>7</v>
      </c>
      <c r="C3000" s="10" t="s">
        <v>8</v>
      </c>
      <c r="D3000" s="10" t="s">
        <v>9</v>
      </c>
      <c r="E3000" s="4">
        <v>4</v>
      </c>
      <c r="F3000" s="4">
        <v>4428</v>
      </c>
      <c r="G3000" s="9">
        <v>600.54999999999995</v>
      </c>
    </row>
    <row r="3001" spans="1:7" ht="15.6" x14ac:dyDescent="0.3">
      <c r="A3001" s="16">
        <v>45593</v>
      </c>
      <c r="B3001" s="10" t="s">
        <v>10</v>
      </c>
      <c r="C3001" s="10" t="s">
        <v>11</v>
      </c>
      <c r="D3001" s="10" t="s">
        <v>16</v>
      </c>
      <c r="E3001" s="4">
        <v>9</v>
      </c>
      <c r="F3001" s="4">
        <v>7344</v>
      </c>
      <c r="G3001" s="9">
        <v>1417.84</v>
      </c>
    </row>
    <row r="3002" spans="1:7" ht="15.6" x14ac:dyDescent="0.3">
      <c r="A3002" s="16">
        <v>45527</v>
      </c>
      <c r="B3002" s="10" t="s">
        <v>22</v>
      </c>
      <c r="C3002" s="10" t="s">
        <v>11</v>
      </c>
      <c r="D3002" s="10" t="s">
        <v>12</v>
      </c>
      <c r="E3002" s="4">
        <v>4</v>
      </c>
      <c r="F3002" s="4">
        <v>2236</v>
      </c>
      <c r="G3002" s="9">
        <v>167.78</v>
      </c>
    </row>
    <row r="3003" spans="1:7" ht="15.6" x14ac:dyDescent="0.3">
      <c r="A3003" s="16">
        <v>45620</v>
      </c>
      <c r="B3003" s="10" t="s">
        <v>21</v>
      </c>
      <c r="C3003" s="10" t="s">
        <v>14</v>
      </c>
      <c r="D3003" s="10" t="s">
        <v>15</v>
      </c>
      <c r="E3003" s="4">
        <v>8</v>
      </c>
      <c r="F3003" s="4">
        <v>536</v>
      </c>
      <c r="G3003" s="9">
        <v>57.08</v>
      </c>
    </row>
    <row r="3004" spans="1:7" ht="15.6" x14ac:dyDescent="0.3">
      <c r="A3004" s="16">
        <v>45585</v>
      </c>
      <c r="B3004" s="10" t="s">
        <v>20</v>
      </c>
      <c r="C3004" s="10" t="s">
        <v>11</v>
      </c>
      <c r="D3004" s="10" t="s">
        <v>9</v>
      </c>
      <c r="E3004" s="4">
        <v>5</v>
      </c>
      <c r="F3004" s="4">
        <v>1980</v>
      </c>
      <c r="G3004" s="9">
        <v>249.22</v>
      </c>
    </row>
    <row r="3005" spans="1:7" ht="15.6" x14ac:dyDescent="0.3">
      <c r="A3005" s="16">
        <v>44587</v>
      </c>
      <c r="B3005" s="10" t="s">
        <v>7</v>
      </c>
      <c r="C3005" s="10" t="s">
        <v>8</v>
      </c>
      <c r="D3005" s="10" t="s">
        <v>12</v>
      </c>
      <c r="E3005" s="4">
        <v>6</v>
      </c>
      <c r="F3005" s="4">
        <v>2100</v>
      </c>
      <c r="G3005" s="9">
        <v>202.86</v>
      </c>
    </row>
    <row r="3006" spans="1:7" ht="15.6" x14ac:dyDescent="0.3">
      <c r="A3006" s="16">
        <v>45032</v>
      </c>
      <c r="B3006" s="10" t="s">
        <v>19</v>
      </c>
      <c r="C3006" s="10" t="s">
        <v>14</v>
      </c>
      <c r="D3006" s="10" t="s">
        <v>16</v>
      </c>
      <c r="E3006" s="4">
        <v>3</v>
      </c>
      <c r="F3006" s="4">
        <v>1497</v>
      </c>
      <c r="G3006" s="9">
        <v>122.76</v>
      </c>
    </row>
    <row r="3007" spans="1:7" ht="15.6" x14ac:dyDescent="0.3">
      <c r="A3007" s="16">
        <v>45491</v>
      </c>
      <c r="B3007" s="10" t="s">
        <v>23</v>
      </c>
      <c r="C3007" s="10" t="s">
        <v>14</v>
      </c>
      <c r="D3007" s="10" t="s">
        <v>9</v>
      </c>
      <c r="E3007" s="4">
        <v>6</v>
      </c>
      <c r="F3007" s="4">
        <v>4200</v>
      </c>
      <c r="G3007" s="9">
        <v>1013.7</v>
      </c>
    </row>
    <row r="3008" spans="1:7" ht="15.6" x14ac:dyDescent="0.3">
      <c r="A3008" s="16">
        <v>44886</v>
      </c>
      <c r="B3008" s="10" t="s">
        <v>18</v>
      </c>
      <c r="C3008" s="10" t="s">
        <v>11</v>
      </c>
      <c r="D3008" s="10" t="s">
        <v>15</v>
      </c>
      <c r="E3008" s="4">
        <v>2</v>
      </c>
      <c r="F3008" s="4">
        <v>1242</v>
      </c>
      <c r="G3008" s="9">
        <v>191.82</v>
      </c>
    </row>
    <row r="3009" spans="1:7" ht="15.6" x14ac:dyDescent="0.3">
      <c r="A3009" s="16">
        <v>44894</v>
      </c>
      <c r="B3009" s="10" t="s">
        <v>19</v>
      </c>
      <c r="C3009" s="10" t="s">
        <v>14</v>
      </c>
      <c r="D3009" s="10" t="s">
        <v>15</v>
      </c>
      <c r="E3009" s="4">
        <v>5</v>
      </c>
      <c r="F3009" s="4">
        <v>1570</v>
      </c>
      <c r="G3009" s="9">
        <v>312.81</v>
      </c>
    </row>
    <row r="3010" spans="1:7" ht="15.6" x14ac:dyDescent="0.3">
      <c r="A3010" s="16">
        <v>45108</v>
      </c>
      <c r="B3010" s="10" t="s">
        <v>20</v>
      </c>
      <c r="C3010" s="10" t="s">
        <v>11</v>
      </c>
      <c r="D3010" s="10" t="s">
        <v>12</v>
      </c>
      <c r="E3010" s="4">
        <v>4</v>
      </c>
      <c r="F3010" s="4">
        <v>428</v>
      </c>
      <c r="G3010" s="9">
        <v>86.62</v>
      </c>
    </row>
    <row r="3011" spans="1:7" ht="15.6" x14ac:dyDescent="0.3">
      <c r="A3011" s="16">
        <v>44959</v>
      </c>
      <c r="B3011" s="10" t="s">
        <v>7</v>
      </c>
      <c r="C3011" s="10" t="s">
        <v>8</v>
      </c>
      <c r="D3011" s="10" t="s">
        <v>15</v>
      </c>
      <c r="E3011" s="4">
        <v>1</v>
      </c>
      <c r="F3011" s="4">
        <v>914</v>
      </c>
      <c r="G3011" s="9">
        <v>270.74</v>
      </c>
    </row>
    <row r="3012" spans="1:7" ht="15.6" x14ac:dyDescent="0.3">
      <c r="A3012" s="16">
        <v>45639</v>
      </c>
      <c r="B3012" s="10" t="s">
        <v>13</v>
      </c>
      <c r="C3012" s="10" t="s">
        <v>14</v>
      </c>
      <c r="D3012" s="10" t="s">
        <v>9</v>
      </c>
      <c r="E3012" s="4">
        <v>3</v>
      </c>
      <c r="F3012" s="4">
        <v>465</v>
      </c>
      <c r="G3012" s="9">
        <v>98.93</v>
      </c>
    </row>
    <row r="3013" spans="1:7" ht="15.6" x14ac:dyDescent="0.3">
      <c r="A3013" s="16">
        <v>44800</v>
      </c>
      <c r="B3013" s="10" t="s">
        <v>19</v>
      </c>
      <c r="C3013" s="10" t="s">
        <v>14</v>
      </c>
      <c r="D3013" s="10" t="s">
        <v>9</v>
      </c>
      <c r="E3013" s="4">
        <v>2</v>
      </c>
      <c r="F3013" s="4">
        <v>1062</v>
      </c>
      <c r="G3013" s="9">
        <v>83.49</v>
      </c>
    </row>
    <row r="3014" spans="1:7" ht="15.6" x14ac:dyDescent="0.3">
      <c r="A3014" s="16">
        <v>44707</v>
      </c>
      <c r="B3014" s="10" t="s">
        <v>17</v>
      </c>
      <c r="C3014" s="10" t="s">
        <v>14</v>
      </c>
      <c r="D3014" s="10" t="s">
        <v>15</v>
      </c>
      <c r="E3014" s="4">
        <v>8</v>
      </c>
      <c r="F3014" s="4">
        <v>8720</v>
      </c>
      <c r="G3014" s="9">
        <v>1984.11</v>
      </c>
    </row>
    <row r="3015" spans="1:7" ht="15.6" x14ac:dyDescent="0.3">
      <c r="A3015" s="16">
        <v>45326</v>
      </c>
      <c r="B3015" s="10" t="s">
        <v>10</v>
      </c>
      <c r="C3015" s="10" t="s">
        <v>11</v>
      </c>
      <c r="D3015" s="10" t="s">
        <v>15</v>
      </c>
      <c r="E3015" s="4">
        <v>6</v>
      </c>
      <c r="F3015" s="4">
        <v>1308</v>
      </c>
      <c r="G3015" s="9">
        <v>343.61</v>
      </c>
    </row>
    <row r="3016" spans="1:7" ht="15.6" x14ac:dyDescent="0.3">
      <c r="A3016" s="16">
        <v>45638</v>
      </c>
      <c r="B3016" s="10" t="s">
        <v>18</v>
      </c>
      <c r="C3016" s="10" t="s">
        <v>11</v>
      </c>
      <c r="D3016" s="10" t="s">
        <v>15</v>
      </c>
      <c r="E3016" s="4">
        <v>9</v>
      </c>
      <c r="F3016" s="4">
        <v>8514</v>
      </c>
      <c r="G3016" s="9">
        <v>1291.97</v>
      </c>
    </row>
    <row r="3017" spans="1:7" ht="15.6" x14ac:dyDescent="0.3">
      <c r="A3017" s="16">
        <v>44964</v>
      </c>
      <c r="B3017" s="10" t="s">
        <v>13</v>
      </c>
      <c r="C3017" s="10" t="s">
        <v>14</v>
      </c>
      <c r="D3017" s="10" t="s">
        <v>9</v>
      </c>
      <c r="E3017" s="4">
        <v>2</v>
      </c>
      <c r="F3017" s="4">
        <v>1212</v>
      </c>
      <c r="G3017" s="9">
        <v>151.07</v>
      </c>
    </row>
    <row r="3018" spans="1:7" ht="15.6" x14ac:dyDescent="0.3">
      <c r="A3018" s="16">
        <v>45040</v>
      </c>
      <c r="B3018" s="10" t="s">
        <v>18</v>
      </c>
      <c r="C3018" s="10" t="s">
        <v>11</v>
      </c>
      <c r="D3018" s="10" t="s">
        <v>16</v>
      </c>
      <c r="E3018" s="4">
        <v>4</v>
      </c>
      <c r="F3018" s="4">
        <v>2576</v>
      </c>
      <c r="G3018" s="9">
        <v>503.57</v>
      </c>
    </row>
    <row r="3019" spans="1:7" ht="15.6" x14ac:dyDescent="0.3">
      <c r="A3019" s="16">
        <v>45195</v>
      </c>
      <c r="B3019" s="10" t="s">
        <v>22</v>
      </c>
      <c r="C3019" s="10" t="s">
        <v>11</v>
      </c>
      <c r="D3019" s="10" t="s">
        <v>12</v>
      </c>
      <c r="E3019" s="4">
        <v>8</v>
      </c>
      <c r="F3019" s="4">
        <v>4800</v>
      </c>
      <c r="G3019" s="9">
        <v>606.19000000000005</v>
      </c>
    </row>
    <row r="3020" spans="1:7" ht="15.6" x14ac:dyDescent="0.3">
      <c r="A3020" s="16">
        <v>44836</v>
      </c>
      <c r="B3020" s="10" t="s">
        <v>19</v>
      </c>
      <c r="C3020" s="10" t="s">
        <v>14</v>
      </c>
      <c r="D3020" s="10" t="s">
        <v>12</v>
      </c>
      <c r="E3020" s="4">
        <v>5</v>
      </c>
      <c r="F3020" s="4">
        <v>1440</v>
      </c>
      <c r="G3020" s="9">
        <v>274.54000000000002</v>
      </c>
    </row>
    <row r="3021" spans="1:7" ht="15.6" x14ac:dyDescent="0.3">
      <c r="A3021" s="16">
        <v>44816</v>
      </c>
      <c r="B3021" s="10" t="s">
        <v>19</v>
      </c>
      <c r="C3021" s="10" t="s">
        <v>14</v>
      </c>
      <c r="D3021" s="10" t="s">
        <v>9</v>
      </c>
      <c r="E3021" s="4">
        <v>9</v>
      </c>
      <c r="F3021" s="4">
        <v>10251</v>
      </c>
      <c r="G3021" s="9">
        <v>737.45</v>
      </c>
    </row>
    <row r="3022" spans="1:7" ht="15.6" x14ac:dyDescent="0.3">
      <c r="A3022" s="16">
        <v>44944</v>
      </c>
      <c r="B3022" s="10" t="s">
        <v>21</v>
      </c>
      <c r="C3022" s="10" t="s">
        <v>14</v>
      </c>
      <c r="D3022" s="10" t="s">
        <v>9</v>
      </c>
      <c r="E3022" s="4">
        <v>7</v>
      </c>
      <c r="F3022" s="4">
        <v>3038</v>
      </c>
      <c r="G3022" s="9">
        <v>570.98</v>
      </c>
    </row>
    <row r="3023" spans="1:7" ht="15.6" x14ac:dyDescent="0.3">
      <c r="A3023" s="16">
        <v>44889</v>
      </c>
      <c r="B3023" s="10" t="s">
        <v>20</v>
      </c>
      <c r="C3023" s="10" t="s">
        <v>11</v>
      </c>
      <c r="D3023" s="10" t="s">
        <v>16</v>
      </c>
      <c r="E3023" s="4">
        <v>9</v>
      </c>
      <c r="F3023" s="4">
        <v>6993</v>
      </c>
      <c r="G3023" s="9">
        <v>1945.56</v>
      </c>
    </row>
    <row r="3024" spans="1:7" ht="15.6" x14ac:dyDescent="0.3">
      <c r="A3024" s="16">
        <v>45358</v>
      </c>
      <c r="B3024" s="10" t="s">
        <v>20</v>
      </c>
      <c r="C3024" s="10" t="s">
        <v>11</v>
      </c>
      <c r="D3024" s="10" t="s">
        <v>12</v>
      </c>
      <c r="E3024" s="4">
        <v>4</v>
      </c>
      <c r="F3024" s="4">
        <v>1632</v>
      </c>
      <c r="G3024" s="9">
        <v>247.88</v>
      </c>
    </row>
    <row r="3025" spans="1:7" ht="15.6" x14ac:dyDescent="0.3">
      <c r="A3025" s="16">
        <v>45572</v>
      </c>
      <c r="B3025" s="10" t="s">
        <v>22</v>
      </c>
      <c r="C3025" s="10" t="s">
        <v>11</v>
      </c>
      <c r="D3025" s="10" t="s">
        <v>12</v>
      </c>
      <c r="E3025" s="4">
        <v>9</v>
      </c>
      <c r="F3025" s="4">
        <v>5706</v>
      </c>
      <c r="G3025" s="9">
        <v>1704.8</v>
      </c>
    </row>
    <row r="3026" spans="1:7" ht="15.6" x14ac:dyDescent="0.3">
      <c r="A3026" s="16">
        <v>44802</v>
      </c>
      <c r="B3026" s="10" t="s">
        <v>17</v>
      </c>
      <c r="C3026" s="10" t="s">
        <v>14</v>
      </c>
      <c r="D3026" s="10" t="s">
        <v>9</v>
      </c>
      <c r="E3026" s="4">
        <v>9</v>
      </c>
      <c r="F3026" s="4">
        <v>9657</v>
      </c>
      <c r="G3026" s="9">
        <v>1187.22</v>
      </c>
    </row>
    <row r="3027" spans="1:7" ht="15.6" x14ac:dyDescent="0.3">
      <c r="A3027" s="16">
        <v>44592</v>
      </c>
      <c r="B3027" s="10" t="s">
        <v>19</v>
      </c>
      <c r="C3027" s="10" t="s">
        <v>14</v>
      </c>
      <c r="D3027" s="10" t="s">
        <v>12</v>
      </c>
      <c r="E3027" s="4">
        <v>5</v>
      </c>
      <c r="F3027" s="4">
        <v>4405</v>
      </c>
      <c r="G3027" s="9">
        <v>450.83</v>
      </c>
    </row>
    <row r="3028" spans="1:7" ht="15.6" x14ac:dyDescent="0.3">
      <c r="A3028" s="16">
        <v>45274</v>
      </c>
      <c r="B3028" s="10" t="s">
        <v>22</v>
      </c>
      <c r="C3028" s="10" t="s">
        <v>11</v>
      </c>
      <c r="D3028" s="10" t="s">
        <v>12</v>
      </c>
      <c r="E3028" s="4">
        <v>4</v>
      </c>
      <c r="F3028" s="4">
        <v>1720</v>
      </c>
      <c r="G3028" s="9">
        <v>360.78</v>
      </c>
    </row>
    <row r="3029" spans="1:7" ht="15.6" x14ac:dyDescent="0.3">
      <c r="A3029" s="16">
        <v>45151</v>
      </c>
      <c r="B3029" s="10" t="s">
        <v>17</v>
      </c>
      <c r="C3029" s="10" t="s">
        <v>14</v>
      </c>
      <c r="D3029" s="10" t="s">
        <v>15</v>
      </c>
      <c r="E3029" s="4">
        <v>7</v>
      </c>
      <c r="F3029" s="4">
        <v>4557</v>
      </c>
      <c r="G3029" s="9">
        <v>234.62</v>
      </c>
    </row>
    <row r="3030" spans="1:7" ht="15.6" x14ac:dyDescent="0.3">
      <c r="A3030" s="16">
        <v>45638</v>
      </c>
      <c r="B3030" s="10" t="s">
        <v>18</v>
      </c>
      <c r="C3030" s="10" t="s">
        <v>11</v>
      </c>
      <c r="D3030" s="10" t="s">
        <v>16</v>
      </c>
      <c r="E3030" s="4">
        <v>7</v>
      </c>
      <c r="F3030" s="4">
        <v>2380</v>
      </c>
      <c r="G3030" s="9">
        <v>431.43</v>
      </c>
    </row>
    <row r="3031" spans="1:7" ht="15.6" x14ac:dyDescent="0.3">
      <c r="A3031" s="16">
        <v>44603</v>
      </c>
      <c r="B3031" s="10" t="s">
        <v>18</v>
      </c>
      <c r="C3031" s="10" t="s">
        <v>11</v>
      </c>
      <c r="D3031" s="10" t="s">
        <v>9</v>
      </c>
      <c r="E3031" s="4">
        <v>8</v>
      </c>
      <c r="F3031" s="4">
        <v>456</v>
      </c>
      <c r="G3031" s="9">
        <v>74.989999999999995</v>
      </c>
    </row>
    <row r="3032" spans="1:7" ht="15.6" x14ac:dyDescent="0.3">
      <c r="A3032" s="16">
        <v>45246</v>
      </c>
      <c r="B3032" s="10" t="s">
        <v>17</v>
      </c>
      <c r="C3032" s="10" t="s">
        <v>14</v>
      </c>
      <c r="D3032" s="10" t="s">
        <v>12</v>
      </c>
      <c r="E3032" s="4">
        <v>6</v>
      </c>
      <c r="F3032" s="4">
        <v>6534</v>
      </c>
      <c r="G3032" s="9">
        <v>355.03</v>
      </c>
    </row>
    <row r="3033" spans="1:7" ht="15.6" x14ac:dyDescent="0.3">
      <c r="A3033" s="16">
        <v>44624</v>
      </c>
      <c r="B3033" s="10" t="s">
        <v>21</v>
      </c>
      <c r="C3033" s="10" t="s">
        <v>14</v>
      </c>
      <c r="D3033" s="10" t="s">
        <v>9</v>
      </c>
      <c r="E3033" s="4">
        <v>6</v>
      </c>
      <c r="F3033" s="4">
        <v>3456</v>
      </c>
      <c r="G3033" s="9">
        <v>307.45999999999998</v>
      </c>
    </row>
    <row r="3034" spans="1:7" ht="15.6" x14ac:dyDescent="0.3">
      <c r="A3034" s="16">
        <v>44741</v>
      </c>
      <c r="B3034" s="10" t="s">
        <v>22</v>
      </c>
      <c r="C3034" s="10" t="s">
        <v>11</v>
      </c>
      <c r="D3034" s="10" t="s">
        <v>16</v>
      </c>
      <c r="E3034" s="4">
        <v>9</v>
      </c>
      <c r="F3034" s="4">
        <v>8163</v>
      </c>
      <c r="G3034" s="9">
        <v>2352.46</v>
      </c>
    </row>
    <row r="3035" spans="1:7" ht="15.6" x14ac:dyDescent="0.3">
      <c r="A3035" s="16">
        <v>45166</v>
      </c>
      <c r="B3035" s="10" t="s">
        <v>18</v>
      </c>
      <c r="C3035" s="10" t="s">
        <v>11</v>
      </c>
      <c r="D3035" s="10" t="s">
        <v>9</v>
      </c>
      <c r="E3035" s="4">
        <v>6</v>
      </c>
      <c r="F3035" s="4">
        <v>4656</v>
      </c>
      <c r="G3035" s="9">
        <v>601.71</v>
      </c>
    </row>
    <row r="3036" spans="1:7" ht="15.6" x14ac:dyDescent="0.3">
      <c r="A3036" s="16">
        <v>44820</v>
      </c>
      <c r="B3036" s="10" t="s">
        <v>21</v>
      </c>
      <c r="C3036" s="10" t="s">
        <v>14</v>
      </c>
      <c r="D3036" s="10" t="s">
        <v>16</v>
      </c>
      <c r="E3036" s="4">
        <v>2</v>
      </c>
      <c r="F3036" s="4">
        <v>966</v>
      </c>
      <c r="G3036" s="9">
        <v>241.54</v>
      </c>
    </row>
    <row r="3037" spans="1:7" ht="15.6" x14ac:dyDescent="0.3">
      <c r="A3037" s="16">
        <v>44897</v>
      </c>
      <c r="B3037" s="10" t="s">
        <v>10</v>
      </c>
      <c r="C3037" s="10" t="s">
        <v>11</v>
      </c>
      <c r="D3037" s="10" t="s">
        <v>12</v>
      </c>
      <c r="E3037" s="4">
        <v>4</v>
      </c>
      <c r="F3037" s="4">
        <v>2580</v>
      </c>
      <c r="G3037" s="9">
        <v>669.67</v>
      </c>
    </row>
    <row r="3038" spans="1:7" ht="15.6" x14ac:dyDescent="0.3">
      <c r="A3038" s="16">
        <v>44836</v>
      </c>
      <c r="B3038" s="10" t="s">
        <v>17</v>
      </c>
      <c r="C3038" s="10" t="s">
        <v>14</v>
      </c>
      <c r="D3038" s="10" t="s">
        <v>15</v>
      </c>
      <c r="E3038" s="4">
        <v>9</v>
      </c>
      <c r="F3038" s="4">
        <v>8127</v>
      </c>
      <c r="G3038" s="9">
        <v>1906.5</v>
      </c>
    </row>
    <row r="3039" spans="1:7" ht="15.6" x14ac:dyDescent="0.3">
      <c r="A3039" s="16">
        <v>44700</v>
      </c>
      <c r="B3039" s="10" t="s">
        <v>19</v>
      </c>
      <c r="C3039" s="10" t="s">
        <v>14</v>
      </c>
      <c r="D3039" s="10" t="s">
        <v>15</v>
      </c>
      <c r="E3039" s="4">
        <v>4</v>
      </c>
      <c r="F3039" s="4">
        <v>2128</v>
      </c>
      <c r="G3039" s="9">
        <v>614.04999999999995</v>
      </c>
    </row>
    <row r="3040" spans="1:7" ht="15.6" x14ac:dyDescent="0.3">
      <c r="A3040" s="16">
        <v>44717</v>
      </c>
      <c r="B3040" s="10" t="s">
        <v>21</v>
      </c>
      <c r="C3040" s="10" t="s">
        <v>14</v>
      </c>
      <c r="D3040" s="10" t="s">
        <v>15</v>
      </c>
      <c r="E3040" s="4">
        <v>9</v>
      </c>
      <c r="F3040" s="4">
        <v>6417</v>
      </c>
      <c r="G3040" s="9">
        <v>1100.52</v>
      </c>
    </row>
    <row r="3041" spans="1:7" ht="15.6" x14ac:dyDescent="0.3">
      <c r="A3041" s="16">
        <v>44723</v>
      </c>
      <c r="B3041" s="10" t="s">
        <v>22</v>
      </c>
      <c r="C3041" s="10" t="s">
        <v>11</v>
      </c>
      <c r="D3041" s="10" t="s">
        <v>12</v>
      </c>
      <c r="E3041" s="4">
        <v>7</v>
      </c>
      <c r="F3041" s="4">
        <v>3997</v>
      </c>
      <c r="G3041" s="9">
        <v>494.78</v>
      </c>
    </row>
    <row r="3042" spans="1:7" ht="15.6" x14ac:dyDescent="0.3">
      <c r="A3042" s="16">
        <v>44999</v>
      </c>
      <c r="B3042" s="10" t="s">
        <v>23</v>
      </c>
      <c r="C3042" s="10" t="s">
        <v>14</v>
      </c>
      <c r="D3042" s="10" t="s">
        <v>16</v>
      </c>
      <c r="E3042" s="4">
        <v>1</v>
      </c>
      <c r="F3042" s="4">
        <v>879</v>
      </c>
      <c r="G3042" s="9">
        <v>149.52000000000001</v>
      </c>
    </row>
    <row r="3043" spans="1:7" ht="15.6" x14ac:dyDescent="0.3">
      <c r="A3043" s="16">
        <v>45247</v>
      </c>
      <c r="B3043" s="10" t="s">
        <v>23</v>
      </c>
      <c r="C3043" s="10" t="s">
        <v>14</v>
      </c>
      <c r="D3043" s="10" t="s">
        <v>9</v>
      </c>
      <c r="E3043" s="4">
        <v>3</v>
      </c>
      <c r="F3043" s="4">
        <v>2415</v>
      </c>
      <c r="G3043" s="9">
        <v>538.39</v>
      </c>
    </row>
    <row r="3044" spans="1:7" ht="15.6" x14ac:dyDescent="0.3">
      <c r="A3044" s="16">
        <v>45562</v>
      </c>
      <c r="B3044" s="10" t="s">
        <v>17</v>
      </c>
      <c r="C3044" s="10" t="s">
        <v>14</v>
      </c>
      <c r="D3044" s="10" t="s">
        <v>16</v>
      </c>
      <c r="E3044" s="4">
        <v>4</v>
      </c>
      <c r="F3044" s="4">
        <v>1064</v>
      </c>
      <c r="G3044" s="9">
        <v>314.83999999999997</v>
      </c>
    </row>
    <row r="3045" spans="1:7" ht="15.6" x14ac:dyDescent="0.3">
      <c r="A3045" s="16">
        <v>44609</v>
      </c>
      <c r="B3045" s="10" t="s">
        <v>10</v>
      </c>
      <c r="C3045" s="10" t="s">
        <v>11</v>
      </c>
      <c r="D3045" s="10" t="s">
        <v>15</v>
      </c>
      <c r="E3045" s="4">
        <v>4</v>
      </c>
      <c r="F3045" s="4">
        <v>1156</v>
      </c>
      <c r="G3045" s="9">
        <v>326.92</v>
      </c>
    </row>
    <row r="3046" spans="1:7" ht="15.6" x14ac:dyDescent="0.3">
      <c r="A3046" s="16">
        <v>44693</v>
      </c>
      <c r="B3046" s="10" t="s">
        <v>21</v>
      </c>
      <c r="C3046" s="10" t="s">
        <v>14</v>
      </c>
      <c r="D3046" s="10" t="s">
        <v>9</v>
      </c>
      <c r="E3046" s="4">
        <v>1</v>
      </c>
      <c r="F3046" s="4">
        <v>1184</v>
      </c>
      <c r="G3046" s="9">
        <v>218.27</v>
      </c>
    </row>
    <row r="3047" spans="1:7" ht="15.6" x14ac:dyDescent="0.3">
      <c r="A3047" s="16">
        <v>44597</v>
      </c>
      <c r="B3047" s="10" t="s">
        <v>22</v>
      </c>
      <c r="C3047" s="10" t="s">
        <v>11</v>
      </c>
      <c r="D3047" s="10" t="s">
        <v>15</v>
      </c>
      <c r="E3047" s="4">
        <v>3</v>
      </c>
      <c r="F3047" s="4">
        <v>1950</v>
      </c>
      <c r="G3047" s="9">
        <v>211.16</v>
      </c>
    </row>
    <row r="3048" spans="1:7" ht="15.6" x14ac:dyDescent="0.3">
      <c r="A3048" s="16">
        <v>44802</v>
      </c>
      <c r="B3048" s="10" t="s">
        <v>23</v>
      </c>
      <c r="C3048" s="10" t="s">
        <v>14</v>
      </c>
      <c r="D3048" s="10" t="s">
        <v>15</v>
      </c>
      <c r="E3048" s="4">
        <v>4</v>
      </c>
      <c r="F3048" s="4">
        <v>1088</v>
      </c>
      <c r="G3048" s="9">
        <v>295.08999999999997</v>
      </c>
    </row>
    <row r="3049" spans="1:7" ht="15.6" x14ac:dyDescent="0.3">
      <c r="A3049" s="16">
        <v>45264</v>
      </c>
      <c r="B3049" s="10" t="s">
        <v>7</v>
      </c>
      <c r="C3049" s="10" t="s">
        <v>8</v>
      </c>
      <c r="D3049" s="10" t="s">
        <v>15</v>
      </c>
      <c r="E3049" s="4">
        <v>6</v>
      </c>
      <c r="F3049" s="4">
        <v>4380</v>
      </c>
      <c r="G3049" s="9">
        <v>522.29999999999995</v>
      </c>
    </row>
    <row r="3050" spans="1:7" ht="15.6" x14ac:dyDescent="0.3">
      <c r="A3050" s="16">
        <v>45402</v>
      </c>
      <c r="B3050" s="10" t="s">
        <v>17</v>
      </c>
      <c r="C3050" s="10" t="s">
        <v>14</v>
      </c>
      <c r="D3050" s="10" t="s">
        <v>15</v>
      </c>
      <c r="E3050" s="4">
        <v>1</v>
      </c>
      <c r="F3050" s="4">
        <v>998</v>
      </c>
      <c r="G3050" s="9">
        <v>196.17</v>
      </c>
    </row>
    <row r="3051" spans="1:7" ht="15.6" x14ac:dyDescent="0.3">
      <c r="A3051" s="16">
        <v>45437</v>
      </c>
      <c r="B3051" s="10" t="s">
        <v>21</v>
      </c>
      <c r="C3051" s="10" t="s">
        <v>14</v>
      </c>
      <c r="D3051" s="10" t="s">
        <v>12</v>
      </c>
      <c r="E3051" s="4">
        <v>6</v>
      </c>
      <c r="F3051" s="4">
        <v>5766</v>
      </c>
      <c r="G3051" s="9">
        <v>675.17</v>
      </c>
    </row>
    <row r="3052" spans="1:7" ht="15.6" x14ac:dyDescent="0.3">
      <c r="A3052" s="16">
        <v>45574</v>
      </c>
      <c r="B3052" s="10" t="s">
        <v>13</v>
      </c>
      <c r="C3052" s="10" t="s">
        <v>14</v>
      </c>
      <c r="D3052" s="10" t="s">
        <v>16</v>
      </c>
      <c r="E3052" s="4">
        <v>6</v>
      </c>
      <c r="F3052" s="4">
        <v>3120</v>
      </c>
      <c r="G3052" s="9">
        <v>274.64999999999998</v>
      </c>
    </row>
    <row r="3053" spans="1:7" ht="15.6" x14ac:dyDescent="0.3">
      <c r="A3053" s="16">
        <v>44627</v>
      </c>
      <c r="B3053" s="10" t="s">
        <v>7</v>
      </c>
      <c r="C3053" s="10" t="s">
        <v>8</v>
      </c>
      <c r="D3053" s="10" t="s">
        <v>12</v>
      </c>
      <c r="E3053" s="4">
        <v>7</v>
      </c>
      <c r="F3053" s="4">
        <v>637</v>
      </c>
      <c r="G3053" s="9">
        <v>68.11</v>
      </c>
    </row>
    <row r="3054" spans="1:7" ht="15.6" x14ac:dyDescent="0.3">
      <c r="A3054" s="16">
        <v>45225</v>
      </c>
      <c r="B3054" s="10" t="s">
        <v>23</v>
      </c>
      <c r="C3054" s="10" t="s">
        <v>14</v>
      </c>
      <c r="D3054" s="10" t="s">
        <v>16</v>
      </c>
      <c r="E3054" s="4">
        <v>6</v>
      </c>
      <c r="F3054" s="4">
        <v>3306</v>
      </c>
      <c r="G3054" s="9">
        <v>697.74</v>
      </c>
    </row>
    <row r="3055" spans="1:7" ht="15.6" x14ac:dyDescent="0.3">
      <c r="A3055" s="16">
        <v>44712</v>
      </c>
      <c r="B3055" s="10" t="s">
        <v>20</v>
      </c>
      <c r="C3055" s="10" t="s">
        <v>11</v>
      </c>
      <c r="D3055" s="10" t="s">
        <v>15</v>
      </c>
      <c r="E3055" s="4">
        <v>6</v>
      </c>
      <c r="F3055" s="4">
        <v>7020</v>
      </c>
      <c r="G3055" s="9">
        <v>726.72</v>
      </c>
    </row>
    <row r="3056" spans="1:7" ht="15.6" x14ac:dyDescent="0.3">
      <c r="A3056" s="16">
        <v>44820</v>
      </c>
      <c r="B3056" s="10" t="s">
        <v>17</v>
      </c>
      <c r="C3056" s="10" t="s">
        <v>14</v>
      </c>
      <c r="D3056" s="10" t="s">
        <v>15</v>
      </c>
      <c r="E3056" s="4">
        <v>7</v>
      </c>
      <c r="F3056" s="4">
        <v>5971</v>
      </c>
      <c r="G3056" s="9">
        <v>502.14</v>
      </c>
    </row>
    <row r="3057" spans="1:7" ht="15.6" x14ac:dyDescent="0.3">
      <c r="A3057" s="16">
        <v>45252</v>
      </c>
      <c r="B3057" s="10" t="s">
        <v>23</v>
      </c>
      <c r="C3057" s="10" t="s">
        <v>14</v>
      </c>
      <c r="D3057" s="10" t="s">
        <v>9</v>
      </c>
      <c r="E3057" s="4">
        <v>2</v>
      </c>
      <c r="F3057" s="4">
        <v>750</v>
      </c>
      <c r="G3057" s="9">
        <v>77.680000000000007</v>
      </c>
    </row>
    <row r="3058" spans="1:7" ht="15.6" x14ac:dyDescent="0.3">
      <c r="A3058" s="16">
        <v>45408</v>
      </c>
      <c r="B3058" s="10" t="s">
        <v>13</v>
      </c>
      <c r="C3058" s="10" t="s">
        <v>14</v>
      </c>
      <c r="D3058" s="10" t="s">
        <v>9</v>
      </c>
      <c r="E3058" s="4">
        <v>3</v>
      </c>
      <c r="F3058" s="4">
        <v>2379</v>
      </c>
      <c r="G3058" s="9">
        <v>523</v>
      </c>
    </row>
    <row r="3059" spans="1:7" ht="15.6" x14ac:dyDescent="0.3">
      <c r="A3059" s="16">
        <v>44794</v>
      </c>
      <c r="B3059" s="10" t="s">
        <v>17</v>
      </c>
      <c r="C3059" s="10" t="s">
        <v>14</v>
      </c>
      <c r="D3059" s="10" t="s">
        <v>9</v>
      </c>
      <c r="E3059" s="4">
        <v>1</v>
      </c>
      <c r="F3059" s="4">
        <v>699</v>
      </c>
      <c r="G3059" s="9">
        <v>108.94</v>
      </c>
    </row>
    <row r="3060" spans="1:7" ht="15.6" x14ac:dyDescent="0.3">
      <c r="A3060" s="16">
        <v>44942</v>
      </c>
      <c r="B3060" s="10" t="s">
        <v>17</v>
      </c>
      <c r="C3060" s="10" t="s">
        <v>14</v>
      </c>
      <c r="D3060" s="10" t="s">
        <v>16</v>
      </c>
      <c r="E3060" s="4">
        <v>9</v>
      </c>
      <c r="F3060" s="4">
        <v>6876</v>
      </c>
      <c r="G3060" s="9">
        <v>1895.24</v>
      </c>
    </row>
    <row r="3061" spans="1:7" ht="15.6" x14ac:dyDescent="0.3">
      <c r="A3061" s="16">
        <v>44594</v>
      </c>
      <c r="B3061" s="10" t="s">
        <v>20</v>
      </c>
      <c r="C3061" s="10" t="s">
        <v>11</v>
      </c>
      <c r="D3061" s="10" t="s">
        <v>9</v>
      </c>
      <c r="E3061" s="4">
        <v>8</v>
      </c>
      <c r="F3061" s="4">
        <v>1800</v>
      </c>
      <c r="G3061" s="9">
        <v>494.02</v>
      </c>
    </row>
    <row r="3062" spans="1:7" ht="15.6" x14ac:dyDescent="0.3">
      <c r="A3062" s="16">
        <v>45484</v>
      </c>
      <c r="B3062" s="10" t="s">
        <v>13</v>
      </c>
      <c r="C3062" s="10" t="s">
        <v>14</v>
      </c>
      <c r="D3062" s="10" t="s">
        <v>15</v>
      </c>
      <c r="E3062" s="4">
        <v>5</v>
      </c>
      <c r="F3062" s="4">
        <v>1255</v>
      </c>
      <c r="G3062" s="9">
        <v>236.25</v>
      </c>
    </row>
    <row r="3063" spans="1:7" ht="15.6" x14ac:dyDescent="0.3">
      <c r="A3063" s="16">
        <v>44716</v>
      </c>
      <c r="B3063" s="10" t="s">
        <v>19</v>
      </c>
      <c r="C3063" s="10" t="s">
        <v>14</v>
      </c>
      <c r="D3063" s="10" t="s">
        <v>12</v>
      </c>
      <c r="E3063" s="4">
        <v>9</v>
      </c>
      <c r="F3063" s="4">
        <v>1998</v>
      </c>
      <c r="G3063" s="9">
        <v>343.58</v>
      </c>
    </row>
    <row r="3064" spans="1:7" ht="15.6" x14ac:dyDescent="0.3">
      <c r="A3064" s="16">
        <v>44891</v>
      </c>
      <c r="B3064" s="10" t="s">
        <v>18</v>
      </c>
      <c r="C3064" s="10" t="s">
        <v>11</v>
      </c>
      <c r="D3064" s="10" t="s">
        <v>12</v>
      </c>
      <c r="E3064" s="4">
        <v>1</v>
      </c>
      <c r="F3064" s="4">
        <v>307</v>
      </c>
      <c r="G3064" s="9">
        <v>80.19</v>
      </c>
    </row>
    <row r="3065" spans="1:7" ht="15.6" x14ac:dyDescent="0.3">
      <c r="A3065" s="16">
        <v>45468</v>
      </c>
      <c r="B3065" s="10" t="s">
        <v>7</v>
      </c>
      <c r="C3065" s="10" t="s">
        <v>8</v>
      </c>
      <c r="D3065" s="10" t="s">
        <v>16</v>
      </c>
      <c r="E3065" s="4">
        <v>1</v>
      </c>
      <c r="F3065" s="4">
        <v>235</v>
      </c>
      <c r="G3065" s="9">
        <v>54.87</v>
      </c>
    </row>
    <row r="3066" spans="1:7" ht="15.6" x14ac:dyDescent="0.3">
      <c r="A3066" s="16">
        <v>45231</v>
      </c>
      <c r="B3066" s="10" t="s">
        <v>20</v>
      </c>
      <c r="C3066" s="10" t="s">
        <v>11</v>
      </c>
      <c r="D3066" s="10" t="s">
        <v>15</v>
      </c>
      <c r="E3066" s="4">
        <v>6</v>
      </c>
      <c r="F3066" s="4">
        <v>1506</v>
      </c>
      <c r="G3066" s="9">
        <v>407.73</v>
      </c>
    </row>
    <row r="3067" spans="1:7" ht="15.6" x14ac:dyDescent="0.3">
      <c r="A3067" s="16">
        <v>45591</v>
      </c>
      <c r="B3067" s="10" t="s">
        <v>13</v>
      </c>
      <c r="C3067" s="10" t="s">
        <v>14</v>
      </c>
      <c r="D3067" s="10" t="s">
        <v>9</v>
      </c>
      <c r="E3067" s="4">
        <v>8</v>
      </c>
      <c r="F3067" s="4">
        <v>2464</v>
      </c>
      <c r="G3067" s="9">
        <v>216.51</v>
      </c>
    </row>
    <row r="3068" spans="1:7" ht="15.6" x14ac:dyDescent="0.3">
      <c r="A3068" s="16">
        <v>45058</v>
      </c>
      <c r="B3068" s="10" t="s">
        <v>19</v>
      </c>
      <c r="C3068" s="10" t="s">
        <v>14</v>
      </c>
      <c r="D3068" s="10" t="s">
        <v>15</v>
      </c>
      <c r="E3068" s="4">
        <v>2</v>
      </c>
      <c r="F3068" s="4">
        <v>322</v>
      </c>
      <c r="G3068" s="9">
        <v>42.03</v>
      </c>
    </row>
    <row r="3069" spans="1:7" ht="15.6" x14ac:dyDescent="0.3">
      <c r="A3069" s="16">
        <v>44989</v>
      </c>
      <c r="B3069" s="10" t="s">
        <v>7</v>
      </c>
      <c r="C3069" s="10" t="s">
        <v>8</v>
      </c>
      <c r="D3069" s="10" t="s">
        <v>16</v>
      </c>
      <c r="E3069" s="4">
        <v>4</v>
      </c>
      <c r="F3069" s="4">
        <v>1100</v>
      </c>
      <c r="G3069" s="9">
        <v>100.02</v>
      </c>
    </row>
    <row r="3070" spans="1:7" ht="15.6" x14ac:dyDescent="0.3">
      <c r="A3070" s="16">
        <v>44628</v>
      </c>
      <c r="B3070" s="10" t="s">
        <v>22</v>
      </c>
      <c r="C3070" s="10" t="s">
        <v>11</v>
      </c>
      <c r="D3070" s="10" t="s">
        <v>15</v>
      </c>
      <c r="E3070" s="4">
        <v>4</v>
      </c>
      <c r="F3070" s="4">
        <v>2188</v>
      </c>
      <c r="G3070" s="9">
        <v>265.54000000000002</v>
      </c>
    </row>
    <row r="3071" spans="1:7" ht="15.6" x14ac:dyDescent="0.3">
      <c r="A3071" s="16">
        <v>45282</v>
      </c>
      <c r="B3071" s="10" t="s">
        <v>7</v>
      </c>
      <c r="C3071" s="10" t="s">
        <v>8</v>
      </c>
      <c r="D3071" s="10" t="s">
        <v>16</v>
      </c>
      <c r="E3071" s="4">
        <v>9</v>
      </c>
      <c r="F3071" s="4">
        <v>2934</v>
      </c>
      <c r="G3071" s="9">
        <v>473.34</v>
      </c>
    </row>
    <row r="3072" spans="1:7" ht="15.6" x14ac:dyDescent="0.3">
      <c r="A3072" s="16">
        <v>44869</v>
      </c>
      <c r="B3072" s="10" t="s">
        <v>18</v>
      </c>
      <c r="C3072" s="10" t="s">
        <v>11</v>
      </c>
      <c r="D3072" s="10" t="s">
        <v>15</v>
      </c>
      <c r="E3072" s="4">
        <v>8</v>
      </c>
      <c r="F3072" s="4">
        <v>9224</v>
      </c>
      <c r="G3072" s="9">
        <v>514.05999999999995</v>
      </c>
    </row>
    <row r="3073" spans="1:7" ht="15.6" x14ac:dyDescent="0.3">
      <c r="A3073" s="16">
        <v>44910</v>
      </c>
      <c r="B3073" s="10" t="s">
        <v>20</v>
      </c>
      <c r="C3073" s="10" t="s">
        <v>11</v>
      </c>
      <c r="D3073" s="10" t="s">
        <v>12</v>
      </c>
      <c r="E3073" s="4">
        <v>4</v>
      </c>
      <c r="F3073" s="4">
        <v>2436</v>
      </c>
      <c r="G3073" s="9">
        <v>142.81</v>
      </c>
    </row>
    <row r="3074" spans="1:7" ht="15.6" x14ac:dyDescent="0.3">
      <c r="A3074" s="16">
        <v>44827</v>
      </c>
      <c r="B3074" s="10" t="s">
        <v>19</v>
      </c>
      <c r="C3074" s="10" t="s">
        <v>14</v>
      </c>
      <c r="D3074" s="10" t="s">
        <v>16</v>
      </c>
      <c r="E3074" s="4">
        <v>4</v>
      </c>
      <c r="F3074" s="4">
        <v>972</v>
      </c>
      <c r="G3074" s="9">
        <v>97.55</v>
      </c>
    </row>
    <row r="3075" spans="1:7" ht="15.6" x14ac:dyDescent="0.3">
      <c r="A3075" s="16">
        <v>45568</v>
      </c>
      <c r="B3075" s="10" t="s">
        <v>23</v>
      </c>
      <c r="C3075" s="10" t="s">
        <v>14</v>
      </c>
      <c r="D3075" s="10" t="s">
        <v>15</v>
      </c>
      <c r="E3075" s="4">
        <v>6</v>
      </c>
      <c r="F3075" s="4">
        <v>5484</v>
      </c>
      <c r="G3075" s="9">
        <v>540.4</v>
      </c>
    </row>
    <row r="3076" spans="1:7" ht="15.6" x14ac:dyDescent="0.3">
      <c r="A3076" s="16">
        <v>45582</v>
      </c>
      <c r="B3076" s="10" t="s">
        <v>17</v>
      </c>
      <c r="C3076" s="10" t="s">
        <v>14</v>
      </c>
      <c r="D3076" s="10" t="s">
        <v>16</v>
      </c>
      <c r="E3076" s="4">
        <v>8</v>
      </c>
      <c r="F3076" s="4">
        <v>3152</v>
      </c>
      <c r="G3076" s="9">
        <v>337.36</v>
      </c>
    </row>
    <row r="3077" spans="1:7" ht="15.6" x14ac:dyDescent="0.3">
      <c r="A3077" s="16">
        <v>45373</v>
      </c>
      <c r="B3077" s="10" t="s">
        <v>22</v>
      </c>
      <c r="C3077" s="10" t="s">
        <v>11</v>
      </c>
      <c r="D3077" s="10" t="s">
        <v>12</v>
      </c>
      <c r="E3077" s="4">
        <v>8</v>
      </c>
      <c r="F3077" s="4">
        <v>6032</v>
      </c>
      <c r="G3077" s="9">
        <v>870.17</v>
      </c>
    </row>
    <row r="3078" spans="1:7" ht="15.6" x14ac:dyDescent="0.3">
      <c r="A3078" s="16">
        <v>45026</v>
      </c>
      <c r="B3078" s="10" t="s">
        <v>17</v>
      </c>
      <c r="C3078" s="10" t="s">
        <v>14</v>
      </c>
      <c r="D3078" s="10" t="s">
        <v>16</v>
      </c>
      <c r="E3078" s="4">
        <v>7</v>
      </c>
      <c r="F3078" s="4">
        <v>6384</v>
      </c>
      <c r="G3078" s="9">
        <v>1324.49</v>
      </c>
    </row>
    <row r="3079" spans="1:7" ht="15.6" x14ac:dyDescent="0.3">
      <c r="A3079" s="16">
        <v>45117</v>
      </c>
      <c r="B3079" s="10" t="s">
        <v>7</v>
      </c>
      <c r="C3079" s="10" t="s">
        <v>8</v>
      </c>
      <c r="D3079" s="10" t="s">
        <v>12</v>
      </c>
      <c r="E3079" s="4">
        <v>5</v>
      </c>
      <c r="F3079" s="4">
        <v>3705</v>
      </c>
      <c r="G3079" s="9">
        <v>707.08</v>
      </c>
    </row>
    <row r="3080" spans="1:7" ht="15.6" x14ac:dyDescent="0.3">
      <c r="A3080" s="16">
        <v>44869</v>
      </c>
      <c r="B3080" s="10" t="s">
        <v>19</v>
      </c>
      <c r="C3080" s="10" t="s">
        <v>14</v>
      </c>
      <c r="D3080" s="10" t="s">
        <v>15</v>
      </c>
      <c r="E3080" s="4">
        <v>6</v>
      </c>
      <c r="F3080" s="4">
        <v>5580</v>
      </c>
      <c r="G3080" s="9">
        <v>394.03</v>
      </c>
    </row>
    <row r="3081" spans="1:7" ht="15.6" x14ac:dyDescent="0.3">
      <c r="A3081" s="16">
        <v>44667</v>
      </c>
      <c r="B3081" s="10" t="s">
        <v>17</v>
      </c>
      <c r="C3081" s="10" t="s">
        <v>14</v>
      </c>
      <c r="D3081" s="10" t="s">
        <v>12</v>
      </c>
      <c r="E3081" s="4">
        <v>2</v>
      </c>
      <c r="F3081" s="4">
        <v>1236</v>
      </c>
      <c r="G3081" s="9">
        <v>120.74</v>
      </c>
    </row>
    <row r="3082" spans="1:7" ht="15.6" x14ac:dyDescent="0.3">
      <c r="A3082" s="16">
        <v>45018</v>
      </c>
      <c r="B3082" s="10" t="s">
        <v>17</v>
      </c>
      <c r="C3082" s="10" t="s">
        <v>14</v>
      </c>
      <c r="D3082" s="10" t="s">
        <v>9</v>
      </c>
      <c r="E3082" s="4">
        <v>8</v>
      </c>
      <c r="F3082" s="4">
        <v>7040</v>
      </c>
      <c r="G3082" s="9">
        <v>1969.93</v>
      </c>
    </row>
    <row r="3083" spans="1:7" ht="15.6" x14ac:dyDescent="0.3">
      <c r="A3083" s="16">
        <v>45454</v>
      </c>
      <c r="B3083" s="10" t="s">
        <v>17</v>
      </c>
      <c r="C3083" s="10" t="s">
        <v>14</v>
      </c>
      <c r="D3083" s="10" t="s">
        <v>12</v>
      </c>
      <c r="E3083" s="4">
        <v>9</v>
      </c>
      <c r="F3083" s="4">
        <v>909</v>
      </c>
      <c r="G3083" s="9">
        <v>138.04</v>
      </c>
    </row>
    <row r="3084" spans="1:7" ht="15.6" x14ac:dyDescent="0.3">
      <c r="A3084" s="16">
        <v>45652</v>
      </c>
      <c r="B3084" s="10" t="s">
        <v>10</v>
      </c>
      <c r="C3084" s="10" t="s">
        <v>11</v>
      </c>
      <c r="D3084" s="10" t="s">
        <v>15</v>
      </c>
      <c r="E3084" s="4">
        <v>1</v>
      </c>
      <c r="F3084" s="4">
        <v>106</v>
      </c>
      <c r="G3084" s="9">
        <v>7.24</v>
      </c>
    </row>
    <row r="3085" spans="1:7" ht="15.6" x14ac:dyDescent="0.3">
      <c r="A3085" s="16">
        <v>45608</v>
      </c>
      <c r="B3085" s="10" t="s">
        <v>19</v>
      </c>
      <c r="C3085" s="10" t="s">
        <v>14</v>
      </c>
      <c r="D3085" s="10" t="s">
        <v>15</v>
      </c>
      <c r="E3085" s="4">
        <v>1</v>
      </c>
      <c r="F3085" s="4">
        <v>281</v>
      </c>
      <c r="G3085" s="9">
        <v>67.849999999999994</v>
      </c>
    </row>
    <row r="3086" spans="1:7" ht="15.6" x14ac:dyDescent="0.3">
      <c r="A3086" s="16">
        <v>44829</v>
      </c>
      <c r="B3086" s="10" t="s">
        <v>17</v>
      </c>
      <c r="C3086" s="10" t="s">
        <v>14</v>
      </c>
      <c r="D3086" s="10" t="s">
        <v>12</v>
      </c>
      <c r="E3086" s="4">
        <v>6</v>
      </c>
      <c r="F3086" s="4">
        <v>6768</v>
      </c>
      <c r="G3086" s="9">
        <v>1851.01</v>
      </c>
    </row>
    <row r="3087" spans="1:7" ht="15.6" x14ac:dyDescent="0.3">
      <c r="A3087" s="16">
        <v>44992</v>
      </c>
      <c r="B3087" s="10" t="s">
        <v>23</v>
      </c>
      <c r="C3087" s="10" t="s">
        <v>14</v>
      </c>
      <c r="D3087" s="10" t="s">
        <v>16</v>
      </c>
      <c r="E3087" s="4">
        <v>6</v>
      </c>
      <c r="F3087" s="4">
        <v>4302</v>
      </c>
      <c r="G3087" s="9">
        <v>276.35000000000002</v>
      </c>
    </row>
    <row r="3088" spans="1:7" ht="15.6" x14ac:dyDescent="0.3">
      <c r="A3088" s="16">
        <v>44884</v>
      </c>
      <c r="B3088" s="10" t="s">
        <v>21</v>
      </c>
      <c r="C3088" s="10" t="s">
        <v>14</v>
      </c>
      <c r="D3088" s="10" t="s">
        <v>9</v>
      </c>
      <c r="E3088" s="4">
        <v>9</v>
      </c>
      <c r="F3088" s="4">
        <v>7146</v>
      </c>
      <c r="G3088" s="9">
        <v>2125.44</v>
      </c>
    </row>
    <row r="3089" spans="1:7" ht="15.6" x14ac:dyDescent="0.3">
      <c r="A3089" s="16">
        <v>44973</v>
      </c>
      <c r="B3089" s="10" t="s">
        <v>21</v>
      </c>
      <c r="C3089" s="10" t="s">
        <v>14</v>
      </c>
      <c r="D3089" s="10" t="s">
        <v>15</v>
      </c>
      <c r="E3089" s="4">
        <v>3</v>
      </c>
      <c r="F3089" s="4">
        <v>582</v>
      </c>
      <c r="G3089" s="9">
        <v>48.08</v>
      </c>
    </row>
    <row r="3090" spans="1:7" ht="15.6" x14ac:dyDescent="0.3">
      <c r="A3090" s="16">
        <v>45505</v>
      </c>
      <c r="B3090" s="10" t="s">
        <v>18</v>
      </c>
      <c r="C3090" s="10" t="s">
        <v>11</v>
      </c>
      <c r="D3090" s="10" t="s">
        <v>9</v>
      </c>
      <c r="E3090" s="4">
        <v>6</v>
      </c>
      <c r="F3090" s="4">
        <v>576</v>
      </c>
      <c r="G3090" s="9">
        <v>162.75</v>
      </c>
    </row>
    <row r="3091" spans="1:7" ht="15.6" x14ac:dyDescent="0.3">
      <c r="A3091" s="16">
        <v>45193</v>
      </c>
      <c r="B3091" s="10" t="s">
        <v>22</v>
      </c>
      <c r="C3091" s="10" t="s">
        <v>11</v>
      </c>
      <c r="D3091" s="10" t="s">
        <v>15</v>
      </c>
      <c r="E3091" s="4">
        <v>5</v>
      </c>
      <c r="F3091" s="4">
        <v>4265</v>
      </c>
      <c r="G3091" s="9">
        <v>796.12</v>
      </c>
    </row>
    <row r="3092" spans="1:7" ht="15.6" x14ac:dyDescent="0.3">
      <c r="A3092" s="16">
        <v>45101</v>
      </c>
      <c r="B3092" s="10" t="s">
        <v>19</v>
      </c>
      <c r="C3092" s="10" t="s">
        <v>14</v>
      </c>
      <c r="D3092" s="10" t="s">
        <v>12</v>
      </c>
      <c r="E3092" s="4">
        <v>8</v>
      </c>
      <c r="F3092" s="4">
        <v>5368</v>
      </c>
      <c r="G3092" s="9">
        <v>333.53</v>
      </c>
    </row>
    <row r="3093" spans="1:7" ht="15.6" x14ac:dyDescent="0.3">
      <c r="A3093" s="16">
        <v>45264</v>
      </c>
      <c r="B3093" s="10" t="s">
        <v>18</v>
      </c>
      <c r="C3093" s="10" t="s">
        <v>11</v>
      </c>
      <c r="D3093" s="10" t="s">
        <v>15</v>
      </c>
      <c r="E3093" s="4">
        <v>1</v>
      </c>
      <c r="F3093" s="4">
        <v>314</v>
      </c>
      <c r="G3093" s="9">
        <v>66.23</v>
      </c>
    </row>
    <row r="3094" spans="1:7" ht="15.6" x14ac:dyDescent="0.3">
      <c r="A3094" s="16">
        <v>45650</v>
      </c>
      <c r="B3094" s="10" t="s">
        <v>13</v>
      </c>
      <c r="C3094" s="10" t="s">
        <v>14</v>
      </c>
      <c r="D3094" s="10" t="s">
        <v>16</v>
      </c>
      <c r="E3094" s="4">
        <v>6</v>
      </c>
      <c r="F3094" s="4">
        <v>2676</v>
      </c>
      <c r="G3094" s="9">
        <v>646.70000000000005</v>
      </c>
    </row>
    <row r="3095" spans="1:7" ht="15.6" x14ac:dyDescent="0.3">
      <c r="A3095" s="16">
        <v>44605</v>
      </c>
      <c r="B3095" s="10" t="s">
        <v>23</v>
      </c>
      <c r="C3095" s="10" t="s">
        <v>14</v>
      </c>
      <c r="D3095" s="10" t="s">
        <v>9</v>
      </c>
      <c r="E3095" s="4">
        <v>4</v>
      </c>
      <c r="F3095" s="4">
        <v>3384</v>
      </c>
      <c r="G3095" s="9">
        <v>947.52</v>
      </c>
    </row>
    <row r="3096" spans="1:7" ht="15.6" x14ac:dyDescent="0.3">
      <c r="A3096" s="16">
        <v>45127</v>
      </c>
      <c r="B3096" s="10" t="s">
        <v>10</v>
      </c>
      <c r="C3096" s="10" t="s">
        <v>11</v>
      </c>
      <c r="D3096" s="10" t="s">
        <v>16</v>
      </c>
      <c r="E3096" s="4">
        <v>6</v>
      </c>
      <c r="F3096" s="4">
        <v>3186</v>
      </c>
      <c r="G3096" s="9">
        <v>794.94</v>
      </c>
    </row>
    <row r="3097" spans="1:7" ht="15.6" x14ac:dyDescent="0.3">
      <c r="A3097" s="16">
        <v>45646</v>
      </c>
      <c r="B3097" s="10" t="s">
        <v>19</v>
      </c>
      <c r="C3097" s="10" t="s">
        <v>14</v>
      </c>
      <c r="D3097" s="10" t="s">
        <v>15</v>
      </c>
      <c r="E3097" s="4">
        <v>4</v>
      </c>
      <c r="F3097" s="4">
        <v>1832</v>
      </c>
      <c r="G3097" s="9">
        <v>528.69000000000005</v>
      </c>
    </row>
    <row r="3098" spans="1:7" ht="15.6" x14ac:dyDescent="0.3">
      <c r="A3098" s="16">
        <v>45598</v>
      </c>
      <c r="B3098" s="10" t="s">
        <v>7</v>
      </c>
      <c r="C3098" s="10" t="s">
        <v>8</v>
      </c>
      <c r="D3098" s="10" t="s">
        <v>15</v>
      </c>
      <c r="E3098" s="4">
        <v>8</v>
      </c>
      <c r="F3098" s="4">
        <v>4784</v>
      </c>
      <c r="G3098" s="9">
        <v>769.91</v>
      </c>
    </row>
    <row r="3099" spans="1:7" ht="15.6" x14ac:dyDescent="0.3">
      <c r="A3099" s="16">
        <v>45338</v>
      </c>
      <c r="B3099" s="10" t="s">
        <v>13</v>
      </c>
      <c r="C3099" s="10" t="s">
        <v>14</v>
      </c>
      <c r="D3099" s="10" t="s">
        <v>16</v>
      </c>
      <c r="E3099" s="4">
        <v>1</v>
      </c>
      <c r="F3099" s="4">
        <v>381</v>
      </c>
      <c r="G3099" s="9">
        <v>63.18</v>
      </c>
    </row>
    <row r="3100" spans="1:7" ht="15.6" x14ac:dyDescent="0.3">
      <c r="A3100" s="16">
        <v>44894</v>
      </c>
      <c r="B3100" s="10" t="s">
        <v>21</v>
      </c>
      <c r="C3100" s="10" t="s">
        <v>14</v>
      </c>
      <c r="D3100" s="10" t="s">
        <v>15</v>
      </c>
      <c r="E3100" s="4">
        <v>9</v>
      </c>
      <c r="F3100" s="4">
        <v>4527</v>
      </c>
      <c r="G3100" s="9">
        <v>677.34</v>
      </c>
    </row>
    <row r="3101" spans="1:7" ht="15.6" x14ac:dyDescent="0.3">
      <c r="A3101" s="16">
        <v>44706</v>
      </c>
      <c r="B3101" s="10" t="s">
        <v>7</v>
      </c>
      <c r="C3101" s="10" t="s">
        <v>8</v>
      </c>
      <c r="D3101" s="10" t="s">
        <v>15</v>
      </c>
      <c r="E3101" s="4">
        <v>4</v>
      </c>
      <c r="F3101" s="4">
        <v>1612</v>
      </c>
      <c r="G3101" s="9">
        <v>240.42</v>
      </c>
    </row>
    <row r="3102" spans="1:7" ht="15.6" x14ac:dyDescent="0.3">
      <c r="A3102" s="16">
        <v>45203</v>
      </c>
      <c r="B3102" s="10" t="s">
        <v>7</v>
      </c>
      <c r="C3102" s="10" t="s">
        <v>8</v>
      </c>
      <c r="D3102" s="10" t="s">
        <v>12</v>
      </c>
      <c r="E3102" s="4">
        <v>2</v>
      </c>
      <c r="F3102" s="4">
        <v>1918</v>
      </c>
      <c r="G3102" s="9">
        <v>435.56</v>
      </c>
    </row>
    <row r="3103" spans="1:7" ht="15.6" x14ac:dyDescent="0.3">
      <c r="A3103" s="16">
        <v>45295</v>
      </c>
      <c r="B3103" s="10" t="s">
        <v>17</v>
      </c>
      <c r="C3103" s="10" t="s">
        <v>14</v>
      </c>
      <c r="D3103" s="10" t="s">
        <v>12</v>
      </c>
      <c r="E3103" s="4">
        <v>1</v>
      </c>
      <c r="F3103" s="4">
        <v>179</v>
      </c>
      <c r="G3103" s="9">
        <v>42.37</v>
      </c>
    </row>
    <row r="3104" spans="1:7" ht="15.6" x14ac:dyDescent="0.3">
      <c r="A3104" s="16">
        <v>45443</v>
      </c>
      <c r="B3104" s="10" t="s">
        <v>19</v>
      </c>
      <c r="C3104" s="10" t="s">
        <v>14</v>
      </c>
      <c r="D3104" s="10" t="s">
        <v>16</v>
      </c>
      <c r="E3104" s="4">
        <v>3</v>
      </c>
      <c r="F3104" s="4">
        <v>3153</v>
      </c>
      <c r="G3104" s="9">
        <v>224.29</v>
      </c>
    </row>
    <row r="3105" spans="1:7" ht="15.6" x14ac:dyDescent="0.3">
      <c r="A3105" s="16">
        <v>45034</v>
      </c>
      <c r="B3105" s="10" t="s">
        <v>13</v>
      </c>
      <c r="C3105" s="10" t="s">
        <v>14</v>
      </c>
      <c r="D3105" s="10" t="s">
        <v>12</v>
      </c>
      <c r="E3105" s="4">
        <v>8</v>
      </c>
      <c r="F3105" s="4">
        <v>3864</v>
      </c>
      <c r="G3105" s="9">
        <v>855.75</v>
      </c>
    </row>
    <row r="3106" spans="1:7" ht="15.6" x14ac:dyDescent="0.3">
      <c r="A3106" s="16">
        <v>45059</v>
      </c>
      <c r="B3106" s="10" t="s">
        <v>7</v>
      </c>
      <c r="C3106" s="10" t="s">
        <v>8</v>
      </c>
      <c r="D3106" s="10" t="s">
        <v>15</v>
      </c>
      <c r="E3106" s="4">
        <v>5</v>
      </c>
      <c r="F3106" s="4">
        <v>2440</v>
      </c>
      <c r="G3106" s="9">
        <v>570.78</v>
      </c>
    </row>
    <row r="3107" spans="1:7" ht="15.6" x14ac:dyDescent="0.3">
      <c r="A3107" s="16">
        <v>45016</v>
      </c>
      <c r="B3107" s="10" t="s">
        <v>17</v>
      </c>
      <c r="C3107" s="10" t="s">
        <v>14</v>
      </c>
      <c r="D3107" s="10" t="s">
        <v>15</v>
      </c>
      <c r="E3107" s="4">
        <v>6</v>
      </c>
      <c r="F3107" s="4">
        <v>3660</v>
      </c>
      <c r="G3107" s="9">
        <v>675.38</v>
      </c>
    </row>
    <row r="3108" spans="1:7" ht="15.6" x14ac:dyDescent="0.3">
      <c r="A3108" s="16">
        <v>45507</v>
      </c>
      <c r="B3108" s="10" t="s">
        <v>19</v>
      </c>
      <c r="C3108" s="10" t="s">
        <v>14</v>
      </c>
      <c r="D3108" s="10" t="s">
        <v>12</v>
      </c>
      <c r="E3108" s="4">
        <v>3</v>
      </c>
      <c r="F3108" s="4">
        <v>318</v>
      </c>
      <c r="G3108" s="9">
        <v>49.93</v>
      </c>
    </row>
    <row r="3109" spans="1:7" ht="15.6" x14ac:dyDescent="0.3">
      <c r="A3109" s="16">
        <v>45276</v>
      </c>
      <c r="B3109" s="10" t="s">
        <v>10</v>
      </c>
      <c r="C3109" s="10" t="s">
        <v>11</v>
      </c>
      <c r="D3109" s="10" t="s">
        <v>15</v>
      </c>
      <c r="E3109" s="4">
        <v>3</v>
      </c>
      <c r="F3109" s="4">
        <v>483</v>
      </c>
      <c r="G3109" s="9">
        <v>63.27</v>
      </c>
    </row>
    <row r="3110" spans="1:7" ht="15.6" x14ac:dyDescent="0.3">
      <c r="A3110" s="16">
        <v>45525</v>
      </c>
      <c r="B3110" s="10" t="s">
        <v>18</v>
      </c>
      <c r="C3110" s="10" t="s">
        <v>11</v>
      </c>
      <c r="D3110" s="10" t="s">
        <v>9</v>
      </c>
      <c r="E3110" s="4">
        <v>6</v>
      </c>
      <c r="F3110" s="4">
        <v>6774</v>
      </c>
      <c r="G3110" s="9">
        <v>960.41</v>
      </c>
    </row>
    <row r="3111" spans="1:7" ht="15.6" x14ac:dyDescent="0.3">
      <c r="A3111" s="16">
        <v>45293</v>
      </c>
      <c r="B3111" s="10" t="s">
        <v>20</v>
      </c>
      <c r="C3111" s="10" t="s">
        <v>11</v>
      </c>
      <c r="D3111" s="10" t="s">
        <v>16</v>
      </c>
      <c r="E3111" s="4">
        <v>5</v>
      </c>
      <c r="F3111" s="4">
        <v>5310</v>
      </c>
      <c r="G3111" s="9">
        <v>806.12</v>
      </c>
    </row>
    <row r="3112" spans="1:7" ht="15.6" x14ac:dyDescent="0.3">
      <c r="A3112" s="16">
        <v>45357</v>
      </c>
      <c r="B3112" s="10" t="s">
        <v>22</v>
      </c>
      <c r="C3112" s="10" t="s">
        <v>11</v>
      </c>
      <c r="D3112" s="10" t="s">
        <v>16</v>
      </c>
      <c r="E3112" s="4">
        <v>6</v>
      </c>
      <c r="F3112" s="4">
        <v>5154</v>
      </c>
      <c r="G3112" s="9">
        <v>779.43</v>
      </c>
    </row>
    <row r="3113" spans="1:7" ht="15.6" x14ac:dyDescent="0.3">
      <c r="A3113" s="16">
        <v>45188</v>
      </c>
      <c r="B3113" s="10" t="s">
        <v>22</v>
      </c>
      <c r="C3113" s="10" t="s">
        <v>11</v>
      </c>
      <c r="D3113" s="10" t="s">
        <v>12</v>
      </c>
      <c r="E3113" s="4">
        <v>9</v>
      </c>
      <c r="F3113" s="4">
        <v>6741</v>
      </c>
      <c r="G3113" s="9">
        <v>823.17</v>
      </c>
    </row>
    <row r="3114" spans="1:7" ht="15.6" x14ac:dyDescent="0.3">
      <c r="A3114" s="16">
        <v>44694</v>
      </c>
      <c r="B3114" s="10" t="s">
        <v>17</v>
      </c>
      <c r="C3114" s="10" t="s">
        <v>14</v>
      </c>
      <c r="D3114" s="10" t="s">
        <v>9</v>
      </c>
      <c r="E3114" s="4">
        <v>2</v>
      </c>
      <c r="F3114" s="4">
        <v>520</v>
      </c>
      <c r="G3114" s="9">
        <v>61.33</v>
      </c>
    </row>
    <row r="3115" spans="1:7" ht="15.6" x14ac:dyDescent="0.3">
      <c r="A3115" s="16">
        <v>45462</v>
      </c>
      <c r="B3115" s="10" t="s">
        <v>13</v>
      </c>
      <c r="C3115" s="10" t="s">
        <v>14</v>
      </c>
      <c r="D3115" s="10" t="s">
        <v>12</v>
      </c>
      <c r="E3115" s="4">
        <v>7</v>
      </c>
      <c r="F3115" s="4">
        <v>1120</v>
      </c>
      <c r="G3115" s="9">
        <v>111.79</v>
      </c>
    </row>
    <row r="3116" spans="1:7" ht="15.6" x14ac:dyDescent="0.3">
      <c r="A3116" s="16">
        <v>44754</v>
      </c>
      <c r="B3116" s="10" t="s">
        <v>22</v>
      </c>
      <c r="C3116" s="10" t="s">
        <v>11</v>
      </c>
      <c r="D3116" s="10" t="s">
        <v>12</v>
      </c>
      <c r="E3116" s="4">
        <v>1</v>
      </c>
      <c r="F3116" s="4">
        <v>911</v>
      </c>
      <c r="G3116" s="9">
        <v>155.30000000000001</v>
      </c>
    </row>
    <row r="3117" spans="1:7" ht="15.6" x14ac:dyDescent="0.3">
      <c r="A3117" s="16">
        <v>44641</v>
      </c>
      <c r="B3117" s="10" t="s">
        <v>20</v>
      </c>
      <c r="C3117" s="10" t="s">
        <v>11</v>
      </c>
      <c r="D3117" s="10" t="s">
        <v>15</v>
      </c>
      <c r="E3117" s="4">
        <v>8</v>
      </c>
      <c r="F3117" s="4">
        <v>1064</v>
      </c>
      <c r="G3117" s="9">
        <v>190.73</v>
      </c>
    </row>
    <row r="3118" spans="1:7" ht="15.6" x14ac:dyDescent="0.3">
      <c r="A3118" s="16">
        <v>45410</v>
      </c>
      <c r="B3118" s="10" t="s">
        <v>23</v>
      </c>
      <c r="C3118" s="10" t="s">
        <v>14</v>
      </c>
      <c r="D3118" s="10" t="s">
        <v>9</v>
      </c>
      <c r="E3118" s="4">
        <v>7</v>
      </c>
      <c r="F3118" s="4">
        <v>1981</v>
      </c>
      <c r="G3118" s="9">
        <v>404.3</v>
      </c>
    </row>
    <row r="3119" spans="1:7" ht="15.6" x14ac:dyDescent="0.3">
      <c r="A3119" s="16">
        <v>44671</v>
      </c>
      <c r="B3119" s="10" t="s">
        <v>17</v>
      </c>
      <c r="C3119" s="10" t="s">
        <v>14</v>
      </c>
      <c r="D3119" s="10" t="s">
        <v>15</v>
      </c>
      <c r="E3119" s="4">
        <v>5</v>
      </c>
      <c r="F3119" s="4">
        <v>4280</v>
      </c>
      <c r="G3119" s="9">
        <v>540.47</v>
      </c>
    </row>
    <row r="3120" spans="1:7" ht="15.6" x14ac:dyDescent="0.3">
      <c r="A3120" s="16">
        <v>45468</v>
      </c>
      <c r="B3120" s="10" t="s">
        <v>19</v>
      </c>
      <c r="C3120" s="10" t="s">
        <v>14</v>
      </c>
      <c r="D3120" s="10" t="s">
        <v>15</v>
      </c>
      <c r="E3120" s="4">
        <v>5</v>
      </c>
      <c r="F3120" s="4">
        <v>5125</v>
      </c>
      <c r="G3120" s="9">
        <v>268.39</v>
      </c>
    </row>
    <row r="3121" spans="1:7" ht="15.6" x14ac:dyDescent="0.3">
      <c r="A3121" s="16">
        <v>45652</v>
      </c>
      <c r="B3121" s="10" t="s">
        <v>20</v>
      </c>
      <c r="C3121" s="10" t="s">
        <v>11</v>
      </c>
      <c r="D3121" s="10" t="s">
        <v>16</v>
      </c>
      <c r="E3121" s="4">
        <v>7</v>
      </c>
      <c r="F3121" s="4">
        <v>1575</v>
      </c>
      <c r="G3121" s="9">
        <v>313.95999999999998</v>
      </c>
    </row>
    <row r="3122" spans="1:7" ht="15.6" x14ac:dyDescent="0.3">
      <c r="A3122" s="16">
        <v>45410</v>
      </c>
      <c r="B3122" s="10" t="s">
        <v>13</v>
      </c>
      <c r="C3122" s="10" t="s">
        <v>14</v>
      </c>
      <c r="D3122" s="10" t="s">
        <v>12</v>
      </c>
      <c r="E3122" s="4">
        <v>9</v>
      </c>
      <c r="F3122" s="4">
        <v>9972</v>
      </c>
      <c r="G3122" s="9">
        <v>1868.64</v>
      </c>
    </row>
    <row r="3123" spans="1:7" ht="15.6" x14ac:dyDescent="0.3">
      <c r="A3123" s="16">
        <v>44835</v>
      </c>
      <c r="B3123" s="10" t="s">
        <v>21</v>
      </c>
      <c r="C3123" s="10" t="s">
        <v>14</v>
      </c>
      <c r="D3123" s="10" t="s">
        <v>12</v>
      </c>
      <c r="E3123" s="4">
        <v>8</v>
      </c>
      <c r="F3123" s="4">
        <v>4576</v>
      </c>
      <c r="G3123" s="9">
        <v>900.04</v>
      </c>
    </row>
    <row r="3124" spans="1:7" ht="15.6" x14ac:dyDescent="0.3">
      <c r="A3124" s="16">
        <v>45444</v>
      </c>
      <c r="B3124" s="10" t="s">
        <v>20</v>
      </c>
      <c r="C3124" s="10" t="s">
        <v>11</v>
      </c>
      <c r="D3124" s="10" t="s">
        <v>15</v>
      </c>
      <c r="E3124" s="4">
        <v>7</v>
      </c>
      <c r="F3124" s="4">
        <v>6559</v>
      </c>
      <c r="G3124" s="9">
        <v>1141.32</v>
      </c>
    </row>
    <row r="3125" spans="1:7" ht="15.6" x14ac:dyDescent="0.3">
      <c r="A3125" s="16">
        <v>45127</v>
      </c>
      <c r="B3125" s="10" t="s">
        <v>13</v>
      </c>
      <c r="C3125" s="10" t="s">
        <v>14</v>
      </c>
      <c r="D3125" s="10" t="s">
        <v>15</v>
      </c>
      <c r="E3125" s="4">
        <v>1</v>
      </c>
      <c r="F3125" s="4">
        <v>619</v>
      </c>
      <c r="G3125" s="9">
        <v>35.36</v>
      </c>
    </row>
    <row r="3126" spans="1:7" ht="15.6" x14ac:dyDescent="0.3">
      <c r="A3126" s="16">
        <v>45452</v>
      </c>
      <c r="B3126" s="10" t="s">
        <v>18</v>
      </c>
      <c r="C3126" s="10" t="s">
        <v>11</v>
      </c>
      <c r="D3126" s="10" t="s">
        <v>16</v>
      </c>
      <c r="E3126" s="4">
        <v>8</v>
      </c>
      <c r="F3126" s="4">
        <v>2488</v>
      </c>
      <c r="G3126" s="9">
        <v>151.94999999999999</v>
      </c>
    </row>
    <row r="3127" spans="1:7" ht="15.6" x14ac:dyDescent="0.3">
      <c r="A3127" s="16">
        <v>44863</v>
      </c>
      <c r="B3127" s="10" t="s">
        <v>10</v>
      </c>
      <c r="C3127" s="10" t="s">
        <v>11</v>
      </c>
      <c r="D3127" s="10" t="s">
        <v>16</v>
      </c>
      <c r="E3127" s="4">
        <v>4</v>
      </c>
      <c r="F3127" s="4">
        <v>2536</v>
      </c>
      <c r="G3127" s="9">
        <v>148.85</v>
      </c>
    </row>
    <row r="3128" spans="1:7" ht="15.6" x14ac:dyDescent="0.3">
      <c r="A3128" s="16">
        <v>44595</v>
      </c>
      <c r="B3128" s="10" t="s">
        <v>13</v>
      </c>
      <c r="C3128" s="10" t="s">
        <v>14</v>
      </c>
      <c r="D3128" s="10" t="s">
        <v>16</v>
      </c>
      <c r="E3128" s="4">
        <v>8</v>
      </c>
      <c r="F3128" s="4">
        <v>5416</v>
      </c>
      <c r="G3128" s="9">
        <v>297.5</v>
      </c>
    </row>
    <row r="3129" spans="1:7" ht="15.6" x14ac:dyDescent="0.3">
      <c r="A3129" s="16">
        <v>44970</v>
      </c>
      <c r="B3129" s="10" t="s">
        <v>19</v>
      </c>
      <c r="C3129" s="10" t="s">
        <v>14</v>
      </c>
      <c r="D3129" s="10" t="s">
        <v>12</v>
      </c>
      <c r="E3129" s="4">
        <v>2</v>
      </c>
      <c r="F3129" s="4">
        <v>2334</v>
      </c>
      <c r="G3129" s="9">
        <v>158.07</v>
      </c>
    </row>
    <row r="3130" spans="1:7" ht="15.6" x14ac:dyDescent="0.3">
      <c r="A3130" s="16">
        <v>44770</v>
      </c>
      <c r="B3130" s="10" t="s">
        <v>17</v>
      </c>
      <c r="C3130" s="10" t="s">
        <v>14</v>
      </c>
      <c r="D3130" s="10" t="s">
        <v>12</v>
      </c>
      <c r="E3130" s="4">
        <v>9</v>
      </c>
      <c r="F3130" s="4">
        <v>1080</v>
      </c>
      <c r="G3130" s="9">
        <v>183.42</v>
      </c>
    </row>
    <row r="3131" spans="1:7" ht="15.6" x14ac:dyDescent="0.3">
      <c r="A3131" s="16">
        <v>45420</v>
      </c>
      <c r="B3131" s="10" t="s">
        <v>13</v>
      </c>
      <c r="C3131" s="10" t="s">
        <v>14</v>
      </c>
      <c r="D3131" s="10" t="s">
        <v>15</v>
      </c>
      <c r="E3131" s="4">
        <v>4</v>
      </c>
      <c r="F3131" s="4">
        <v>1324</v>
      </c>
      <c r="G3131" s="9">
        <v>127.07</v>
      </c>
    </row>
    <row r="3132" spans="1:7" ht="15.6" x14ac:dyDescent="0.3">
      <c r="A3132" s="16">
        <v>45123</v>
      </c>
      <c r="B3132" s="10" t="s">
        <v>17</v>
      </c>
      <c r="C3132" s="10" t="s">
        <v>14</v>
      </c>
      <c r="D3132" s="10" t="s">
        <v>16</v>
      </c>
      <c r="E3132" s="4">
        <v>2</v>
      </c>
      <c r="F3132" s="4">
        <v>2304</v>
      </c>
      <c r="G3132" s="9">
        <v>444.08</v>
      </c>
    </row>
    <row r="3133" spans="1:7" ht="15.6" x14ac:dyDescent="0.3">
      <c r="A3133" s="16">
        <v>45343</v>
      </c>
      <c r="B3133" s="10" t="s">
        <v>21</v>
      </c>
      <c r="C3133" s="10" t="s">
        <v>14</v>
      </c>
      <c r="D3133" s="10" t="s">
        <v>12</v>
      </c>
      <c r="E3133" s="4">
        <v>4</v>
      </c>
      <c r="F3133" s="4">
        <v>4736</v>
      </c>
      <c r="G3133" s="9">
        <v>1026.24</v>
      </c>
    </row>
    <row r="3134" spans="1:7" ht="15.6" x14ac:dyDescent="0.3">
      <c r="A3134" s="16">
        <v>45152</v>
      </c>
      <c r="B3134" s="10" t="s">
        <v>10</v>
      </c>
      <c r="C3134" s="10" t="s">
        <v>11</v>
      </c>
      <c r="D3134" s="10" t="s">
        <v>16</v>
      </c>
      <c r="E3134" s="4">
        <v>9</v>
      </c>
      <c r="F3134" s="4">
        <v>2925</v>
      </c>
      <c r="G3134" s="9">
        <v>457.49</v>
      </c>
    </row>
    <row r="3135" spans="1:7" ht="15.6" x14ac:dyDescent="0.3">
      <c r="A3135" s="16">
        <v>44953</v>
      </c>
      <c r="B3135" s="10" t="s">
        <v>23</v>
      </c>
      <c r="C3135" s="10" t="s">
        <v>14</v>
      </c>
      <c r="D3135" s="10" t="s">
        <v>12</v>
      </c>
      <c r="E3135" s="4">
        <v>9</v>
      </c>
      <c r="F3135" s="4">
        <v>6345</v>
      </c>
      <c r="G3135" s="9">
        <v>1627.26</v>
      </c>
    </row>
    <row r="3136" spans="1:7" ht="15.6" x14ac:dyDescent="0.3">
      <c r="A3136" s="16">
        <v>44725</v>
      </c>
      <c r="B3136" s="10" t="s">
        <v>18</v>
      </c>
      <c r="C3136" s="10" t="s">
        <v>11</v>
      </c>
      <c r="D3136" s="10" t="s">
        <v>12</v>
      </c>
      <c r="E3136" s="4">
        <v>9</v>
      </c>
      <c r="F3136" s="4">
        <v>4221</v>
      </c>
      <c r="G3136" s="9">
        <v>912.84</v>
      </c>
    </row>
    <row r="3137" spans="1:7" ht="15.6" x14ac:dyDescent="0.3">
      <c r="A3137" s="16">
        <v>44901</v>
      </c>
      <c r="B3137" s="10" t="s">
        <v>18</v>
      </c>
      <c r="C3137" s="10" t="s">
        <v>11</v>
      </c>
      <c r="D3137" s="10" t="s">
        <v>15</v>
      </c>
      <c r="E3137" s="4">
        <v>7</v>
      </c>
      <c r="F3137" s="4">
        <v>462</v>
      </c>
      <c r="G3137" s="9">
        <v>56.89</v>
      </c>
    </row>
    <row r="3138" spans="1:7" ht="15.6" x14ac:dyDescent="0.3">
      <c r="A3138" s="16">
        <v>44694</v>
      </c>
      <c r="B3138" s="10" t="s">
        <v>20</v>
      </c>
      <c r="C3138" s="10" t="s">
        <v>11</v>
      </c>
      <c r="D3138" s="10" t="s">
        <v>9</v>
      </c>
      <c r="E3138" s="4">
        <v>7</v>
      </c>
      <c r="F3138" s="4">
        <v>7588</v>
      </c>
      <c r="G3138" s="9">
        <v>1625.55</v>
      </c>
    </row>
    <row r="3139" spans="1:7" ht="15.6" x14ac:dyDescent="0.3">
      <c r="A3139" s="16">
        <v>44907</v>
      </c>
      <c r="B3139" s="10" t="s">
        <v>22</v>
      </c>
      <c r="C3139" s="10" t="s">
        <v>11</v>
      </c>
      <c r="D3139" s="10" t="s">
        <v>9</v>
      </c>
      <c r="E3139" s="4">
        <v>6</v>
      </c>
      <c r="F3139" s="4">
        <v>5232</v>
      </c>
      <c r="G3139" s="9">
        <v>1270.6400000000001</v>
      </c>
    </row>
    <row r="3140" spans="1:7" ht="15.6" x14ac:dyDescent="0.3">
      <c r="A3140" s="16">
        <v>45505</v>
      </c>
      <c r="B3140" s="10" t="s">
        <v>17</v>
      </c>
      <c r="C3140" s="10" t="s">
        <v>14</v>
      </c>
      <c r="D3140" s="10" t="s">
        <v>12</v>
      </c>
      <c r="E3140" s="4">
        <v>8</v>
      </c>
      <c r="F3140" s="4">
        <v>1440</v>
      </c>
      <c r="G3140" s="9">
        <v>402.06</v>
      </c>
    </row>
    <row r="3141" spans="1:7" ht="15.6" x14ac:dyDescent="0.3">
      <c r="A3141" s="16">
        <v>45016</v>
      </c>
      <c r="B3141" s="10" t="s">
        <v>20</v>
      </c>
      <c r="C3141" s="10" t="s">
        <v>11</v>
      </c>
      <c r="D3141" s="10" t="s">
        <v>9</v>
      </c>
      <c r="E3141" s="4">
        <v>2</v>
      </c>
      <c r="F3141" s="4">
        <v>1026</v>
      </c>
      <c r="G3141" s="9">
        <v>226.4</v>
      </c>
    </row>
    <row r="3142" spans="1:7" ht="15.6" x14ac:dyDescent="0.3">
      <c r="A3142" s="16">
        <v>45556</v>
      </c>
      <c r="B3142" s="10" t="s">
        <v>17</v>
      </c>
      <c r="C3142" s="10" t="s">
        <v>14</v>
      </c>
      <c r="D3142" s="10" t="s">
        <v>9</v>
      </c>
      <c r="E3142" s="4">
        <v>7</v>
      </c>
      <c r="F3142" s="4">
        <v>7455</v>
      </c>
      <c r="G3142" s="9">
        <v>1008.42</v>
      </c>
    </row>
    <row r="3143" spans="1:7" ht="15.6" x14ac:dyDescent="0.3">
      <c r="A3143" s="16">
        <v>45259</v>
      </c>
      <c r="B3143" s="10" t="s">
        <v>7</v>
      </c>
      <c r="C3143" s="10" t="s">
        <v>8</v>
      </c>
      <c r="D3143" s="10" t="s">
        <v>12</v>
      </c>
      <c r="E3143" s="4">
        <v>8</v>
      </c>
      <c r="F3143" s="4">
        <v>2456</v>
      </c>
      <c r="G3143" s="9">
        <v>404.35</v>
      </c>
    </row>
    <row r="3144" spans="1:7" ht="15.6" x14ac:dyDescent="0.3">
      <c r="A3144" s="16">
        <v>44866</v>
      </c>
      <c r="B3144" s="10" t="s">
        <v>17</v>
      </c>
      <c r="C3144" s="10" t="s">
        <v>14</v>
      </c>
      <c r="D3144" s="10" t="s">
        <v>9</v>
      </c>
      <c r="E3144" s="4">
        <v>3</v>
      </c>
      <c r="F3144" s="4">
        <v>2859</v>
      </c>
      <c r="G3144" s="9">
        <v>404.56</v>
      </c>
    </row>
    <row r="3145" spans="1:7" ht="15.6" x14ac:dyDescent="0.3">
      <c r="A3145" s="16">
        <v>45299</v>
      </c>
      <c r="B3145" s="10" t="s">
        <v>22</v>
      </c>
      <c r="C3145" s="10" t="s">
        <v>11</v>
      </c>
      <c r="D3145" s="10" t="s">
        <v>12</v>
      </c>
      <c r="E3145" s="4">
        <v>1</v>
      </c>
      <c r="F3145" s="4">
        <v>311</v>
      </c>
      <c r="G3145" s="9">
        <v>50.66</v>
      </c>
    </row>
    <row r="3146" spans="1:7" ht="15.6" x14ac:dyDescent="0.3">
      <c r="A3146" s="16">
        <v>44862</v>
      </c>
      <c r="B3146" s="10" t="s">
        <v>7</v>
      </c>
      <c r="C3146" s="10" t="s">
        <v>8</v>
      </c>
      <c r="D3146" s="10" t="s">
        <v>12</v>
      </c>
      <c r="E3146" s="4">
        <v>9</v>
      </c>
      <c r="F3146" s="4">
        <v>1260</v>
      </c>
      <c r="G3146" s="9">
        <v>246.6</v>
      </c>
    </row>
    <row r="3147" spans="1:7" ht="15.6" x14ac:dyDescent="0.3">
      <c r="A3147" s="16">
        <v>44579</v>
      </c>
      <c r="B3147" s="10" t="s">
        <v>22</v>
      </c>
      <c r="C3147" s="10" t="s">
        <v>11</v>
      </c>
      <c r="D3147" s="10" t="s">
        <v>15</v>
      </c>
      <c r="E3147" s="4">
        <v>1</v>
      </c>
      <c r="F3147" s="4">
        <v>466</v>
      </c>
      <c r="G3147" s="9">
        <v>102.48</v>
      </c>
    </row>
    <row r="3148" spans="1:7" ht="15.6" x14ac:dyDescent="0.3">
      <c r="A3148" s="16">
        <v>44979</v>
      </c>
      <c r="B3148" s="10" t="s">
        <v>23</v>
      </c>
      <c r="C3148" s="10" t="s">
        <v>14</v>
      </c>
      <c r="D3148" s="10" t="s">
        <v>16</v>
      </c>
      <c r="E3148" s="4">
        <v>3</v>
      </c>
      <c r="F3148" s="4">
        <v>867</v>
      </c>
      <c r="G3148" s="9">
        <v>58.2</v>
      </c>
    </row>
    <row r="3149" spans="1:7" ht="15.6" x14ac:dyDescent="0.3">
      <c r="A3149" s="16">
        <v>44981</v>
      </c>
      <c r="B3149" s="10" t="s">
        <v>20</v>
      </c>
      <c r="C3149" s="10" t="s">
        <v>11</v>
      </c>
      <c r="D3149" s="10" t="s">
        <v>15</v>
      </c>
      <c r="E3149" s="4">
        <v>6</v>
      </c>
      <c r="F3149" s="4">
        <v>3888</v>
      </c>
      <c r="G3149" s="9">
        <v>275.72000000000003</v>
      </c>
    </row>
    <row r="3150" spans="1:7" ht="15.6" x14ac:dyDescent="0.3">
      <c r="A3150" s="16">
        <v>45394</v>
      </c>
      <c r="B3150" s="10" t="s">
        <v>13</v>
      </c>
      <c r="C3150" s="10" t="s">
        <v>14</v>
      </c>
      <c r="D3150" s="10" t="s">
        <v>9</v>
      </c>
      <c r="E3150" s="4">
        <v>4</v>
      </c>
      <c r="F3150" s="4">
        <v>3032</v>
      </c>
      <c r="G3150" s="9">
        <v>347.2</v>
      </c>
    </row>
    <row r="3151" spans="1:7" ht="15.6" x14ac:dyDescent="0.3">
      <c r="A3151" s="16">
        <v>45282</v>
      </c>
      <c r="B3151" s="10" t="s">
        <v>13</v>
      </c>
      <c r="C3151" s="10" t="s">
        <v>14</v>
      </c>
      <c r="D3151" s="10" t="s">
        <v>9</v>
      </c>
      <c r="E3151" s="4">
        <v>7</v>
      </c>
      <c r="F3151" s="4">
        <v>4704</v>
      </c>
      <c r="G3151" s="9">
        <v>978.81</v>
      </c>
    </row>
    <row r="3152" spans="1:7" ht="15.6" x14ac:dyDescent="0.3">
      <c r="A3152" s="16">
        <v>44861</v>
      </c>
      <c r="B3152" s="10" t="s">
        <v>7</v>
      </c>
      <c r="C3152" s="10" t="s">
        <v>8</v>
      </c>
      <c r="D3152" s="10" t="s">
        <v>16</v>
      </c>
      <c r="E3152" s="4">
        <v>3</v>
      </c>
      <c r="F3152" s="4">
        <v>3186</v>
      </c>
      <c r="G3152" s="9">
        <v>527.75</v>
      </c>
    </row>
    <row r="3153" spans="1:7" ht="15.6" x14ac:dyDescent="0.3">
      <c r="A3153" s="16">
        <v>45522</v>
      </c>
      <c r="B3153" s="10" t="s">
        <v>7</v>
      </c>
      <c r="C3153" s="10" t="s">
        <v>8</v>
      </c>
      <c r="D3153" s="10" t="s">
        <v>9</v>
      </c>
      <c r="E3153" s="4">
        <v>9</v>
      </c>
      <c r="F3153" s="4">
        <v>6183</v>
      </c>
      <c r="G3153" s="9">
        <v>359.54</v>
      </c>
    </row>
    <row r="3154" spans="1:7" ht="15.6" x14ac:dyDescent="0.3">
      <c r="A3154" s="16">
        <v>44848</v>
      </c>
      <c r="B3154" s="10" t="s">
        <v>19</v>
      </c>
      <c r="C3154" s="10" t="s">
        <v>14</v>
      </c>
      <c r="D3154" s="10" t="s">
        <v>16</v>
      </c>
      <c r="E3154" s="4">
        <v>1</v>
      </c>
      <c r="F3154" s="4">
        <v>243</v>
      </c>
      <c r="G3154" s="9">
        <v>21.75</v>
      </c>
    </row>
    <row r="3155" spans="1:7" ht="15.6" x14ac:dyDescent="0.3">
      <c r="A3155" s="16">
        <v>45097</v>
      </c>
      <c r="B3155" s="10" t="s">
        <v>21</v>
      </c>
      <c r="C3155" s="10" t="s">
        <v>14</v>
      </c>
      <c r="D3155" s="10" t="s">
        <v>9</v>
      </c>
      <c r="E3155" s="4">
        <v>3</v>
      </c>
      <c r="F3155" s="4">
        <v>897</v>
      </c>
      <c r="G3155" s="9">
        <v>235.67</v>
      </c>
    </row>
    <row r="3156" spans="1:7" ht="15.6" x14ac:dyDescent="0.3">
      <c r="A3156" s="16">
        <v>45279</v>
      </c>
      <c r="B3156" s="10" t="s">
        <v>18</v>
      </c>
      <c r="C3156" s="10" t="s">
        <v>11</v>
      </c>
      <c r="D3156" s="10" t="s">
        <v>16</v>
      </c>
      <c r="E3156" s="4">
        <v>9</v>
      </c>
      <c r="F3156" s="4">
        <v>4563</v>
      </c>
      <c r="G3156" s="9">
        <v>675.62</v>
      </c>
    </row>
    <row r="3157" spans="1:7" ht="15.6" x14ac:dyDescent="0.3">
      <c r="A3157" s="16">
        <v>44822</v>
      </c>
      <c r="B3157" s="10" t="s">
        <v>23</v>
      </c>
      <c r="C3157" s="10" t="s">
        <v>14</v>
      </c>
      <c r="D3157" s="10" t="s">
        <v>15</v>
      </c>
      <c r="E3157" s="4">
        <v>4</v>
      </c>
      <c r="F3157" s="4">
        <v>628</v>
      </c>
      <c r="G3157" s="9">
        <v>156.97999999999999</v>
      </c>
    </row>
    <row r="3158" spans="1:7" ht="15.6" x14ac:dyDescent="0.3">
      <c r="A3158" s="16">
        <v>45647</v>
      </c>
      <c r="B3158" s="10" t="s">
        <v>20</v>
      </c>
      <c r="C3158" s="10" t="s">
        <v>11</v>
      </c>
      <c r="D3158" s="10" t="s">
        <v>12</v>
      </c>
      <c r="E3158" s="4">
        <v>6</v>
      </c>
      <c r="F3158" s="4">
        <v>1050</v>
      </c>
      <c r="G3158" s="9">
        <v>172.83</v>
      </c>
    </row>
    <row r="3159" spans="1:7" ht="15.6" x14ac:dyDescent="0.3">
      <c r="A3159" s="16">
        <v>44697</v>
      </c>
      <c r="B3159" s="10" t="s">
        <v>20</v>
      </c>
      <c r="C3159" s="10" t="s">
        <v>11</v>
      </c>
      <c r="D3159" s="10" t="s">
        <v>9</v>
      </c>
      <c r="E3159" s="4">
        <v>8</v>
      </c>
      <c r="F3159" s="4">
        <v>3032</v>
      </c>
      <c r="G3159" s="9">
        <v>278.85000000000002</v>
      </c>
    </row>
    <row r="3160" spans="1:7" ht="15.6" x14ac:dyDescent="0.3">
      <c r="A3160" s="16">
        <v>45196</v>
      </c>
      <c r="B3160" s="10" t="s">
        <v>22</v>
      </c>
      <c r="C3160" s="10" t="s">
        <v>11</v>
      </c>
      <c r="D3160" s="10" t="s">
        <v>16</v>
      </c>
      <c r="E3160" s="4">
        <v>1</v>
      </c>
      <c r="F3160" s="4">
        <v>920</v>
      </c>
      <c r="G3160" s="9">
        <v>118.24</v>
      </c>
    </row>
    <row r="3161" spans="1:7" ht="15.6" x14ac:dyDescent="0.3">
      <c r="A3161" s="16">
        <v>45353</v>
      </c>
      <c r="B3161" s="10" t="s">
        <v>23</v>
      </c>
      <c r="C3161" s="10" t="s">
        <v>14</v>
      </c>
      <c r="D3161" s="10" t="s">
        <v>15</v>
      </c>
      <c r="E3161" s="4">
        <v>2</v>
      </c>
      <c r="F3161" s="4">
        <v>668</v>
      </c>
      <c r="G3161" s="9">
        <v>90.67</v>
      </c>
    </row>
    <row r="3162" spans="1:7" ht="15.6" x14ac:dyDescent="0.3">
      <c r="A3162" s="16">
        <v>45443</v>
      </c>
      <c r="B3162" s="10" t="s">
        <v>10</v>
      </c>
      <c r="C3162" s="10" t="s">
        <v>11</v>
      </c>
      <c r="D3162" s="10" t="s">
        <v>12</v>
      </c>
      <c r="E3162" s="4">
        <v>5</v>
      </c>
      <c r="F3162" s="4">
        <v>5990</v>
      </c>
      <c r="G3162" s="9">
        <v>1403.53</v>
      </c>
    </row>
    <row r="3163" spans="1:7" ht="15.6" x14ac:dyDescent="0.3">
      <c r="A3163" s="16">
        <v>45355</v>
      </c>
      <c r="B3163" s="10" t="s">
        <v>13</v>
      </c>
      <c r="C3163" s="10" t="s">
        <v>14</v>
      </c>
      <c r="D3163" s="10" t="s">
        <v>15</v>
      </c>
      <c r="E3163" s="4">
        <v>9</v>
      </c>
      <c r="F3163" s="4">
        <v>9324</v>
      </c>
      <c r="G3163" s="9">
        <v>1223.9000000000001</v>
      </c>
    </row>
    <row r="3164" spans="1:7" ht="15.6" x14ac:dyDescent="0.3">
      <c r="A3164" s="16">
        <v>45027</v>
      </c>
      <c r="B3164" s="10" t="s">
        <v>22</v>
      </c>
      <c r="C3164" s="10" t="s">
        <v>11</v>
      </c>
      <c r="D3164" s="10" t="s">
        <v>12</v>
      </c>
      <c r="E3164" s="4">
        <v>8</v>
      </c>
      <c r="F3164" s="4">
        <v>5768</v>
      </c>
      <c r="G3164" s="9">
        <v>368.49</v>
      </c>
    </row>
    <row r="3165" spans="1:7" ht="15.6" x14ac:dyDescent="0.3">
      <c r="A3165" s="16">
        <v>45413</v>
      </c>
      <c r="B3165" s="10" t="s">
        <v>23</v>
      </c>
      <c r="C3165" s="10" t="s">
        <v>14</v>
      </c>
      <c r="D3165" s="10" t="s">
        <v>9</v>
      </c>
      <c r="E3165" s="4">
        <v>1</v>
      </c>
      <c r="F3165" s="4">
        <v>1123</v>
      </c>
      <c r="G3165" s="9">
        <v>318.08999999999997</v>
      </c>
    </row>
    <row r="3166" spans="1:7" ht="15.6" x14ac:dyDescent="0.3">
      <c r="A3166" s="16">
        <v>45646</v>
      </c>
      <c r="B3166" s="10" t="s">
        <v>22</v>
      </c>
      <c r="C3166" s="10" t="s">
        <v>11</v>
      </c>
      <c r="D3166" s="10" t="s">
        <v>16</v>
      </c>
      <c r="E3166" s="4">
        <v>4</v>
      </c>
      <c r="F3166" s="4">
        <v>2336</v>
      </c>
      <c r="G3166" s="9">
        <v>453.04</v>
      </c>
    </row>
    <row r="3167" spans="1:7" ht="15.6" x14ac:dyDescent="0.3">
      <c r="A3167" s="16">
        <v>45252</v>
      </c>
      <c r="B3167" s="10" t="s">
        <v>23</v>
      </c>
      <c r="C3167" s="10" t="s">
        <v>14</v>
      </c>
      <c r="D3167" s="10" t="s">
        <v>16</v>
      </c>
      <c r="E3167" s="4">
        <v>6</v>
      </c>
      <c r="F3167" s="4">
        <v>438</v>
      </c>
      <c r="G3167" s="9">
        <v>26.03</v>
      </c>
    </row>
    <row r="3168" spans="1:7" ht="15.6" x14ac:dyDescent="0.3">
      <c r="A3168" s="16">
        <v>44918</v>
      </c>
      <c r="B3168" s="10" t="s">
        <v>13</v>
      </c>
      <c r="C3168" s="10" t="s">
        <v>14</v>
      </c>
      <c r="D3168" s="10" t="s">
        <v>9</v>
      </c>
      <c r="E3168" s="4">
        <v>6</v>
      </c>
      <c r="F3168" s="4">
        <v>5940</v>
      </c>
      <c r="G3168" s="9">
        <v>318.72000000000003</v>
      </c>
    </row>
    <row r="3169" spans="1:7" ht="15.6" x14ac:dyDescent="0.3">
      <c r="A3169" s="16">
        <v>44734</v>
      </c>
      <c r="B3169" s="10" t="s">
        <v>17</v>
      </c>
      <c r="C3169" s="10" t="s">
        <v>14</v>
      </c>
      <c r="D3169" s="10" t="s">
        <v>16</v>
      </c>
      <c r="E3169" s="4">
        <v>3</v>
      </c>
      <c r="F3169" s="4">
        <v>1848</v>
      </c>
      <c r="G3169" s="9">
        <v>549.34</v>
      </c>
    </row>
    <row r="3170" spans="1:7" ht="15.6" x14ac:dyDescent="0.3">
      <c r="A3170" s="16">
        <v>45002</v>
      </c>
      <c r="B3170" s="10" t="s">
        <v>22</v>
      </c>
      <c r="C3170" s="10" t="s">
        <v>11</v>
      </c>
      <c r="D3170" s="10" t="s">
        <v>9</v>
      </c>
      <c r="E3170" s="4">
        <v>3</v>
      </c>
      <c r="F3170" s="4">
        <v>2118</v>
      </c>
      <c r="G3170" s="9">
        <v>321.05</v>
      </c>
    </row>
    <row r="3171" spans="1:7" ht="15.6" x14ac:dyDescent="0.3">
      <c r="A3171" s="16">
        <v>44577</v>
      </c>
      <c r="B3171" s="10" t="s">
        <v>21</v>
      </c>
      <c r="C3171" s="10" t="s">
        <v>14</v>
      </c>
      <c r="D3171" s="10" t="s">
        <v>9</v>
      </c>
      <c r="E3171" s="4">
        <v>3</v>
      </c>
      <c r="F3171" s="4">
        <v>231</v>
      </c>
      <c r="G3171" s="9">
        <v>36.729999999999997</v>
      </c>
    </row>
    <row r="3172" spans="1:7" ht="15.6" x14ac:dyDescent="0.3">
      <c r="A3172" s="16">
        <v>45303</v>
      </c>
      <c r="B3172" s="10" t="s">
        <v>18</v>
      </c>
      <c r="C3172" s="10" t="s">
        <v>11</v>
      </c>
      <c r="D3172" s="10" t="s">
        <v>15</v>
      </c>
      <c r="E3172" s="4">
        <v>6</v>
      </c>
      <c r="F3172" s="4">
        <v>978</v>
      </c>
      <c r="G3172" s="9">
        <v>182.46</v>
      </c>
    </row>
    <row r="3173" spans="1:7" ht="15.6" x14ac:dyDescent="0.3">
      <c r="A3173" s="16">
        <v>45068</v>
      </c>
      <c r="B3173" s="10" t="s">
        <v>20</v>
      </c>
      <c r="C3173" s="10" t="s">
        <v>11</v>
      </c>
      <c r="D3173" s="10" t="s">
        <v>9</v>
      </c>
      <c r="E3173" s="4">
        <v>5</v>
      </c>
      <c r="F3173" s="4">
        <v>4960</v>
      </c>
      <c r="G3173" s="9">
        <v>420.98</v>
      </c>
    </row>
    <row r="3174" spans="1:7" ht="15.6" x14ac:dyDescent="0.3">
      <c r="A3174" s="16">
        <v>44629</v>
      </c>
      <c r="B3174" s="10" t="s">
        <v>17</v>
      </c>
      <c r="C3174" s="10" t="s">
        <v>14</v>
      </c>
      <c r="D3174" s="10" t="s">
        <v>15</v>
      </c>
      <c r="E3174" s="4">
        <v>3</v>
      </c>
      <c r="F3174" s="4">
        <v>1377</v>
      </c>
      <c r="G3174" s="9">
        <v>330.44</v>
      </c>
    </row>
    <row r="3175" spans="1:7" ht="15.6" x14ac:dyDescent="0.3">
      <c r="A3175" s="16">
        <v>44966</v>
      </c>
      <c r="B3175" s="10" t="s">
        <v>17</v>
      </c>
      <c r="C3175" s="10" t="s">
        <v>14</v>
      </c>
      <c r="D3175" s="10" t="s">
        <v>16</v>
      </c>
      <c r="E3175" s="4">
        <v>2</v>
      </c>
      <c r="F3175" s="4">
        <v>1958</v>
      </c>
      <c r="G3175" s="9">
        <v>227.77</v>
      </c>
    </row>
    <row r="3176" spans="1:7" ht="15.6" x14ac:dyDescent="0.3">
      <c r="A3176" s="16">
        <v>45089</v>
      </c>
      <c r="B3176" s="10" t="s">
        <v>10</v>
      </c>
      <c r="C3176" s="10" t="s">
        <v>11</v>
      </c>
      <c r="D3176" s="10" t="s">
        <v>16</v>
      </c>
      <c r="E3176" s="4">
        <v>7</v>
      </c>
      <c r="F3176" s="4">
        <v>5607</v>
      </c>
      <c r="G3176" s="9">
        <v>1288.04</v>
      </c>
    </row>
    <row r="3177" spans="1:7" ht="15.6" x14ac:dyDescent="0.3">
      <c r="A3177" s="16">
        <v>44889</v>
      </c>
      <c r="B3177" s="10" t="s">
        <v>19</v>
      </c>
      <c r="C3177" s="10" t="s">
        <v>14</v>
      </c>
      <c r="D3177" s="10" t="s">
        <v>15</v>
      </c>
      <c r="E3177" s="4">
        <v>6</v>
      </c>
      <c r="F3177" s="4">
        <v>3504</v>
      </c>
      <c r="G3177" s="9">
        <v>980.7</v>
      </c>
    </row>
    <row r="3178" spans="1:7" ht="15.6" x14ac:dyDescent="0.3">
      <c r="A3178" s="16">
        <v>45617</v>
      </c>
      <c r="B3178" s="10" t="s">
        <v>10</v>
      </c>
      <c r="C3178" s="10" t="s">
        <v>11</v>
      </c>
      <c r="D3178" s="10" t="s">
        <v>9</v>
      </c>
      <c r="E3178" s="4">
        <v>4</v>
      </c>
      <c r="F3178" s="4">
        <v>796</v>
      </c>
      <c r="G3178" s="9">
        <v>75.150000000000006</v>
      </c>
    </row>
    <row r="3179" spans="1:7" ht="15.6" x14ac:dyDescent="0.3">
      <c r="A3179" s="16">
        <v>45518</v>
      </c>
      <c r="B3179" s="10" t="s">
        <v>20</v>
      </c>
      <c r="C3179" s="10" t="s">
        <v>11</v>
      </c>
      <c r="D3179" s="10" t="s">
        <v>9</v>
      </c>
      <c r="E3179" s="4">
        <v>1</v>
      </c>
      <c r="F3179" s="4">
        <v>342</v>
      </c>
      <c r="G3179" s="9">
        <v>37.64</v>
      </c>
    </row>
    <row r="3180" spans="1:7" ht="15.6" x14ac:dyDescent="0.3">
      <c r="A3180" s="16">
        <v>45518</v>
      </c>
      <c r="B3180" s="10" t="s">
        <v>20</v>
      </c>
      <c r="C3180" s="10" t="s">
        <v>11</v>
      </c>
      <c r="D3180" s="10" t="s">
        <v>15</v>
      </c>
      <c r="E3180" s="4">
        <v>7</v>
      </c>
      <c r="F3180" s="4">
        <v>6769</v>
      </c>
      <c r="G3180" s="9">
        <v>1549.67</v>
      </c>
    </row>
    <row r="3181" spans="1:7" ht="15.6" x14ac:dyDescent="0.3">
      <c r="A3181" s="16">
        <v>45167</v>
      </c>
      <c r="B3181" s="10" t="s">
        <v>18</v>
      </c>
      <c r="C3181" s="10" t="s">
        <v>11</v>
      </c>
      <c r="D3181" s="10" t="s">
        <v>15</v>
      </c>
      <c r="E3181" s="4">
        <v>9</v>
      </c>
      <c r="F3181" s="4">
        <v>10080</v>
      </c>
      <c r="G3181" s="9">
        <v>1794.73</v>
      </c>
    </row>
    <row r="3182" spans="1:7" ht="15.6" x14ac:dyDescent="0.3">
      <c r="A3182" s="16">
        <v>45302</v>
      </c>
      <c r="B3182" s="10" t="s">
        <v>19</v>
      </c>
      <c r="C3182" s="10" t="s">
        <v>14</v>
      </c>
      <c r="D3182" s="10" t="s">
        <v>12</v>
      </c>
      <c r="E3182" s="4">
        <v>7</v>
      </c>
      <c r="F3182" s="4">
        <v>3948</v>
      </c>
      <c r="G3182" s="9">
        <v>758.36</v>
      </c>
    </row>
    <row r="3183" spans="1:7" ht="15.6" x14ac:dyDescent="0.3">
      <c r="A3183" s="16">
        <v>45104</v>
      </c>
      <c r="B3183" s="10" t="s">
        <v>18</v>
      </c>
      <c r="C3183" s="10" t="s">
        <v>11</v>
      </c>
      <c r="D3183" s="10" t="s">
        <v>15</v>
      </c>
      <c r="E3183" s="4">
        <v>4</v>
      </c>
      <c r="F3183" s="4">
        <v>1488</v>
      </c>
      <c r="G3183" s="9">
        <v>74.52</v>
      </c>
    </row>
    <row r="3184" spans="1:7" ht="15.6" x14ac:dyDescent="0.3">
      <c r="A3184" s="16">
        <v>45308</v>
      </c>
      <c r="B3184" s="10" t="s">
        <v>10</v>
      </c>
      <c r="C3184" s="10" t="s">
        <v>11</v>
      </c>
      <c r="D3184" s="10" t="s">
        <v>15</v>
      </c>
      <c r="E3184" s="4">
        <v>5</v>
      </c>
      <c r="F3184" s="4">
        <v>1200</v>
      </c>
      <c r="G3184" s="9">
        <v>201.8</v>
      </c>
    </row>
    <row r="3185" spans="1:7" ht="15.6" x14ac:dyDescent="0.3">
      <c r="A3185" s="16">
        <v>44936</v>
      </c>
      <c r="B3185" s="10" t="s">
        <v>19</v>
      </c>
      <c r="C3185" s="10" t="s">
        <v>14</v>
      </c>
      <c r="D3185" s="10" t="s">
        <v>9</v>
      </c>
      <c r="E3185" s="4">
        <v>4</v>
      </c>
      <c r="F3185" s="4">
        <v>4476</v>
      </c>
      <c r="G3185" s="9">
        <v>977.6</v>
      </c>
    </row>
    <row r="3186" spans="1:7" ht="15.6" x14ac:dyDescent="0.3">
      <c r="A3186" s="16">
        <v>45139</v>
      </c>
      <c r="B3186" s="10" t="s">
        <v>20</v>
      </c>
      <c r="C3186" s="10" t="s">
        <v>11</v>
      </c>
      <c r="D3186" s="10" t="s">
        <v>16</v>
      </c>
      <c r="E3186" s="4">
        <v>1</v>
      </c>
      <c r="F3186" s="4">
        <v>1178</v>
      </c>
      <c r="G3186" s="9">
        <v>292.14999999999998</v>
      </c>
    </row>
    <row r="3187" spans="1:7" ht="15.6" x14ac:dyDescent="0.3">
      <c r="A3187" s="16">
        <v>45652</v>
      </c>
      <c r="B3187" s="10" t="s">
        <v>19</v>
      </c>
      <c r="C3187" s="10" t="s">
        <v>14</v>
      </c>
      <c r="D3187" s="10" t="s">
        <v>15</v>
      </c>
      <c r="E3187" s="4">
        <v>8</v>
      </c>
      <c r="F3187" s="4">
        <v>2888</v>
      </c>
      <c r="G3187" s="9">
        <v>149.91999999999999</v>
      </c>
    </row>
    <row r="3188" spans="1:7" ht="15.6" x14ac:dyDescent="0.3">
      <c r="A3188" s="16">
        <v>45639</v>
      </c>
      <c r="B3188" s="10" t="s">
        <v>21</v>
      </c>
      <c r="C3188" s="10" t="s">
        <v>14</v>
      </c>
      <c r="D3188" s="10" t="s">
        <v>15</v>
      </c>
      <c r="E3188" s="4">
        <v>6</v>
      </c>
      <c r="F3188" s="4">
        <v>1704</v>
      </c>
      <c r="G3188" s="9">
        <v>193.18</v>
      </c>
    </row>
    <row r="3189" spans="1:7" ht="15.6" x14ac:dyDescent="0.3">
      <c r="A3189" s="16">
        <v>44851</v>
      </c>
      <c r="B3189" s="10" t="s">
        <v>7</v>
      </c>
      <c r="C3189" s="10" t="s">
        <v>8</v>
      </c>
      <c r="D3189" s="10" t="s">
        <v>16</v>
      </c>
      <c r="E3189" s="4">
        <v>8</v>
      </c>
      <c r="F3189" s="4">
        <v>4200</v>
      </c>
      <c r="G3189" s="9">
        <v>1017.94</v>
      </c>
    </row>
    <row r="3190" spans="1:7" ht="15.6" x14ac:dyDescent="0.3">
      <c r="A3190" s="16">
        <v>45363</v>
      </c>
      <c r="B3190" s="10" t="s">
        <v>22</v>
      </c>
      <c r="C3190" s="10" t="s">
        <v>11</v>
      </c>
      <c r="D3190" s="10" t="s">
        <v>12</v>
      </c>
      <c r="E3190" s="4">
        <v>7</v>
      </c>
      <c r="F3190" s="4">
        <v>4417</v>
      </c>
      <c r="G3190" s="9">
        <v>562.79</v>
      </c>
    </row>
    <row r="3191" spans="1:7" ht="15.6" x14ac:dyDescent="0.3">
      <c r="A3191" s="16">
        <v>45432</v>
      </c>
      <c r="B3191" s="10" t="s">
        <v>17</v>
      </c>
      <c r="C3191" s="10" t="s">
        <v>14</v>
      </c>
      <c r="D3191" s="10" t="s">
        <v>16</v>
      </c>
      <c r="E3191" s="4">
        <v>4</v>
      </c>
      <c r="F3191" s="4">
        <v>764</v>
      </c>
      <c r="G3191" s="9">
        <v>178.83</v>
      </c>
    </row>
    <row r="3192" spans="1:7" ht="15.6" x14ac:dyDescent="0.3">
      <c r="A3192" s="16">
        <v>45471</v>
      </c>
      <c r="B3192" s="10" t="s">
        <v>18</v>
      </c>
      <c r="C3192" s="10" t="s">
        <v>11</v>
      </c>
      <c r="D3192" s="10" t="s">
        <v>15</v>
      </c>
      <c r="E3192" s="4">
        <v>4</v>
      </c>
      <c r="F3192" s="4">
        <v>4000</v>
      </c>
      <c r="G3192" s="9">
        <v>964.43</v>
      </c>
    </row>
    <row r="3193" spans="1:7" ht="15.6" x14ac:dyDescent="0.3">
      <c r="A3193" s="16">
        <v>45586</v>
      </c>
      <c r="B3193" s="10" t="s">
        <v>20</v>
      </c>
      <c r="C3193" s="10" t="s">
        <v>11</v>
      </c>
      <c r="D3193" s="10" t="s">
        <v>12</v>
      </c>
      <c r="E3193" s="4">
        <v>9</v>
      </c>
      <c r="F3193" s="4">
        <v>2331</v>
      </c>
      <c r="G3193" s="9">
        <v>558</v>
      </c>
    </row>
    <row r="3194" spans="1:7" ht="15.6" x14ac:dyDescent="0.3">
      <c r="A3194" s="16">
        <v>44957</v>
      </c>
      <c r="B3194" s="10" t="s">
        <v>10</v>
      </c>
      <c r="C3194" s="10" t="s">
        <v>11</v>
      </c>
      <c r="D3194" s="10" t="s">
        <v>16</v>
      </c>
      <c r="E3194" s="4">
        <v>9</v>
      </c>
      <c r="F3194" s="4">
        <v>8172</v>
      </c>
      <c r="G3194" s="9">
        <v>1296.29</v>
      </c>
    </row>
    <row r="3195" spans="1:7" ht="15.6" x14ac:dyDescent="0.3">
      <c r="A3195" s="16">
        <v>45646</v>
      </c>
      <c r="B3195" s="10" t="s">
        <v>23</v>
      </c>
      <c r="C3195" s="10" t="s">
        <v>14</v>
      </c>
      <c r="D3195" s="10" t="s">
        <v>9</v>
      </c>
      <c r="E3195" s="4">
        <v>1</v>
      </c>
      <c r="F3195" s="4">
        <v>761</v>
      </c>
      <c r="G3195" s="9">
        <v>61.15</v>
      </c>
    </row>
    <row r="3196" spans="1:7" ht="15.6" x14ac:dyDescent="0.3">
      <c r="A3196" s="16">
        <v>45255</v>
      </c>
      <c r="B3196" s="10" t="s">
        <v>17</v>
      </c>
      <c r="C3196" s="10" t="s">
        <v>14</v>
      </c>
      <c r="D3196" s="10" t="s">
        <v>12</v>
      </c>
      <c r="E3196" s="4">
        <v>2</v>
      </c>
      <c r="F3196" s="4">
        <v>494</v>
      </c>
      <c r="G3196" s="9">
        <v>56.41</v>
      </c>
    </row>
    <row r="3197" spans="1:7" ht="15.6" x14ac:dyDescent="0.3">
      <c r="A3197" s="16">
        <v>45174</v>
      </c>
      <c r="B3197" s="10" t="s">
        <v>18</v>
      </c>
      <c r="C3197" s="10" t="s">
        <v>11</v>
      </c>
      <c r="D3197" s="10" t="s">
        <v>12</v>
      </c>
      <c r="E3197" s="4">
        <v>2</v>
      </c>
      <c r="F3197" s="4">
        <v>194</v>
      </c>
      <c r="G3197" s="9">
        <v>52.16</v>
      </c>
    </row>
    <row r="3198" spans="1:7" ht="15.6" x14ac:dyDescent="0.3">
      <c r="A3198" s="16">
        <v>45371</v>
      </c>
      <c r="B3198" s="10" t="s">
        <v>13</v>
      </c>
      <c r="C3198" s="10" t="s">
        <v>14</v>
      </c>
      <c r="D3198" s="10" t="s">
        <v>16</v>
      </c>
      <c r="E3198" s="4">
        <v>6</v>
      </c>
      <c r="F3198" s="4">
        <v>5820</v>
      </c>
      <c r="G3198" s="9">
        <v>1423.67</v>
      </c>
    </row>
    <row r="3199" spans="1:7" ht="15.6" x14ac:dyDescent="0.3">
      <c r="A3199" s="16">
        <v>44662</v>
      </c>
      <c r="B3199" s="10" t="s">
        <v>17</v>
      </c>
      <c r="C3199" s="10" t="s">
        <v>14</v>
      </c>
      <c r="D3199" s="10" t="s">
        <v>9</v>
      </c>
      <c r="E3199" s="4">
        <v>5</v>
      </c>
      <c r="F3199" s="4">
        <v>410</v>
      </c>
      <c r="G3199" s="9">
        <v>121.77</v>
      </c>
    </row>
    <row r="3200" spans="1:7" ht="15.6" x14ac:dyDescent="0.3">
      <c r="A3200" s="16">
        <v>45632</v>
      </c>
      <c r="B3200" s="10" t="s">
        <v>21</v>
      </c>
      <c r="C3200" s="10" t="s">
        <v>14</v>
      </c>
      <c r="D3200" s="10" t="s">
        <v>12</v>
      </c>
      <c r="E3200" s="4">
        <v>6</v>
      </c>
      <c r="F3200" s="4">
        <v>1254</v>
      </c>
      <c r="G3200" s="9">
        <v>360.87</v>
      </c>
    </row>
    <row r="3201" spans="1:7" ht="15.6" x14ac:dyDescent="0.3">
      <c r="A3201" s="16">
        <v>44716</v>
      </c>
      <c r="B3201" s="10" t="s">
        <v>13</v>
      </c>
      <c r="C3201" s="10" t="s">
        <v>14</v>
      </c>
      <c r="D3201" s="10" t="s">
        <v>12</v>
      </c>
      <c r="E3201" s="4">
        <v>6</v>
      </c>
      <c r="F3201" s="4">
        <v>3432</v>
      </c>
      <c r="G3201" s="9">
        <v>452.4</v>
      </c>
    </row>
    <row r="3202" spans="1:7" ht="15.6" x14ac:dyDescent="0.3">
      <c r="A3202" s="16">
        <v>45373</v>
      </c>
      <c r="B3202" s="10" t="s">
        <v>17</v>
      </c>
      <c r="C3202" s="10" t="s">
        <v>14</v>
      </c>
      <c r="D3202" s="10" t="s">
        <v>9</v>
      </c>
      <c r="E3202" s="4">
        <v>4</v>
      </c>
      <c r="F3202" s="4">
        <v>3792</v>
      </c>
      <c r="G3202" s="9">
        <v>997.99</v>
      </c>
    </row>
    <row r="3203" spans="1:7" ht="15.6" x14ac:dyDescent="0.3">
      <c r="A3203" s="16">
        <v>45615</v>
      </c>
      <c r="B3203" s="10" t="s">
        <v>13</v>
      </c>
      <c r="C3203" s="10" t="s">
        <v>14</v>
      </c>
      <c r="D3203" s="10" t="s">
        <v>16</v>
      </c>
      <c r="E3203" s="4">
        <v>7</v>
      </c>
      <c r="F3203" s="4">
        <v>546</v>
      </c>
      <c r="G3203" s="9">
        <v>117.9</v>
      </c>
    </row>
    <row r="3204" spans="1:7" ht="15.6" x14ac:dyDescent="0.3">
      <c r="A3204" s="16">
        <v>44616</v>
      </c>
      <c r="B3204" s="10" t="s">
        <v>19</v>
      </c>
      <c r="C3204" s="10" t="s">
        <v>14</v>
      </c>
      <c r="D3204" s="10" t="s">
        <v>12</v>
      </c>
      <c r="E3204" s="4">
        <v>3</v>
      </c>
      <c r="F3204" s="4">
        <v>1452</v>
      </c>
      <c r="G3204" s="9">
        <v>217.06</v>
      </c>
    </row>
    <row r="3205" spans="1:7" ht="15.6" x14ac:dyDescent="0.3">
      <c r="A3205" s="16">
        <v>44879</v>
      </c>
      <c r="B3205" s="10" t="s">
        <v>22</v>
      </c>
      <c r="C3205" s="10" t="s">
        <v>11</v>
      </c>
      <c r="D3205" s="10" t="s">
        <v>16</v>
      </c>
      <c r="E3205" s="4">
        <v>8</v>
      </c>
      <c r="F3205" s="4">
        <v>9296</v>
      </c>
      <c r="G3205" s="9">
        <v>1556.05</v>
      </c>
    </row>
    <row r="3206" spans="1:7" ht="15.6" x14ac:dyDescent="0.3">
      <c r="A3206" s="16">
        <v>45261</v>
      </c>
      <c r="B3206" s="10" t="s">
        <v>10</v>
      </c>
      <c r="C3206" s="10" t="s">
        <v>11</v>
      </c>
      <c r="D3206" s="10" t="s">
        <v>9</v>
      </c>
      <c r="E3206" s="4">
        <v>1</v>
      </c>
      <c r="F3206" s="4">
        <v>1160</v>
      </c>
      <c r="G3206" s="9">
        <v>149.81</v>
      </c>
    </row>
    <row r="3207" spans="1:7" ht="15.6" x14ac:dyDescent="0.3">
      <c r="A3207" s="16">
        <v>45305</v>
      </c>
      <c r="B3207" s="10" t="s">
        <v>23</v>
      </c>
      <c r="C3207" s="10" t="s">
        <v>14</v>
      </c>
      <c r="D3207" s="10" t="s">
        <v>16</v>
      </c>
      <c r="E3207" s="4">
        <v>6</v>
      </c>
      <c r="F3207" s="4">
        <v>4728</v>
      </c>
      <c r="G3207" s="9">
        <v>682.01</v>
      </c>
    </row>
    <row r="3208" spans="1:7" ht="15.6" x14ac:dyDescent="0.3">
      <c r="A3208" s="16">
        <v>44969</v>
      </c>
      <c r="B3208" s="10" t="s">
        <v>17</v>
      </c>
      <c r="C3208" s="10" t="s">
        <v>14</v>
      </c>
      <c r="D3208" s="10" t="s">
        <v>9</v>
      </c>
      <c r="E3208" s="4">
        <v>6</v>
      </c>
      <c r="F3208" s="4">
        <v>1836</v>
      </c>
      <c r="G3208" s="9">
        <v>508.81</v>
      </c>
    </row>
    <row r="3209" spans="1:7" ht="15.6" x14ac:dyDescent="0.3">
      <c r="A3209" s="16">
        <v>45182</v>
      </c>
      <c r="B3209" s="10" t="s">
        <v>19</v>
      </c>
      <c r="C3209" s="10" t="s">
        <v>14</v>
      </c>
      <c r="D3209" s="10" t="s">
        <v>15</v>
      </c>
      <c r="E3209" s="4">
        <v>7</v>
      </c>
      <c r="F3209" s="4">
        <v>6237</v>
      </c>
      <c r="G3209" s="9">
        <v>1784.89</v>
      </c>
    </row>
    <row r="3210" spans="1:7" ht="15.6" x14ac:dyDescent="0.3">
      <c r="A3210" s="16">
        <v>45536</v>
      </c>
      <c r="B3210" s="10" t="s">
        <v>23</v>
      </c>
      <c r="C3210" s="10" t="s">
        <v>14</v>
      </c>
      <c r="D3210" s="10" t="s">
        <v>16</v>
      </c>
      <c r="E3210" s="4">
        <v>5</v>
      </c>
      <c r="F3210" s="4">
        <v>5845</v>
      </c>
      <c r="G3210" s="9">
        <v>941.79</v>
      </c>
    </row>
    <row r="3211" spans="1:7" ht="15.6" x14ac:dyDescent="0.3">
      <c r="A3211" s="16">
        <v>45287</v>
      </c>
      <c r="B3211" s="10" t="s">
        <v>20</v>
      </c>
      <c r="C3211" s="10" t="s">
        <v>11</v>
      </c>
      <c r="D3211" s="10" t="s">
        <v>15</v>
      </c>
      <c r="E3211" s="4">
        <v>9</v>
      </c>
      <c r="F3211" s="4">
        <v>6138</v>
      </c>
      <c r="G3211" s="9">
        <v>851.14</v>
      </c>
    </row>
    <row r="3212" spans="1:7" ht="15.6" x14ac:dyDescent="0.3">
      <c r="A3212" s="16">
        <v>44643</v>
      </c>
      <c r="B3212" s="10" t="s">
        <v>17</v>
      </c>
      <c r="C3212" s="10" t="s">
        <v>14</v>
      </c>
      <c r="D3212" s="10" t="s">
        <v>16</v>
      </c>
      <c r="E3212" s="4">
        <v>2</v>
      </c>
      <c r="F3212" s="4">
        <v>1416</v>
      </c>
      <c r="G3212" s="9">
        <v>136.75</v>
      </c>
    </row>
    <row r="3213" spans="1:7" ht="15.6" x14ac:dyDescent="0.3">
      <c r="A3213" s="16">
        <v>45653</v>
      </c>
      <c r="B3213" s="10" t="s">
        <v>22</v>
      </c>
      <c r="C3213" s="10" t="s">
        <v>11</v>
      </c>
      <c r="D3213" s="10" t="s">
        <v>16</v>
      </c>
      <c r="E3213" s="4">
        <v>3</v>
      </c>
      <c r="F3213" s="4">
        <v>1851</v>
      </c>
      <c r="G3213" s="9">
        <v>348.9</v>
      </c>
    </row>
    <row r="3214" spans="1:7" ht="15.6" x14ac:dyDescent="0.3">
      <c r="A3214" s="16">
        <v>44875</v>
      </c>
      <c r="B3214" s="10" t="s">
        <v>7</v>
      </c>
      <c r="C3214" s="10" t="s">
        <v>8</v>
      </c>
      <c r="D3214" s="10" t="s">
        <v>15</v>
      </c>
      <c r="E3214" s="4">
        <v>9</v>
      </c>
      <c r="F3214" s="4">
        <v>7452</v>
      </c>
      <c r="G3214" s="9">
        <v>1259.82</v>
      </c>
    </row>
    <row r="3215" spans="1:7" ht="15.6" x14ac:dyDescent="0.3">
      <c r="A3215" s="16">
        <v>45259</v>
      </c>
      <c r="B3215" s="10" t="s">
        <v>13</v>
      </c>
      <c r="C3215" s="10" t="s">
        <v>14</v>
      </c>
      <c r="D3215" s="10" t="s">
        <v>9</v>
      </c>
      <c r="E3215" s="4">
        <v>5</v>
      </c>
      <c r="F3215" s="4">
        <v>1630</v>
      </c>
      <c r="G3215" s="9">
        <v>190.38</v>
      </c>
    </row>
    <row r="3216" spans="1:7" ht="15.6" x14ac:dyDescent="0.3">
      <c r="A3216" s="16">
        <v>44789</v>
      </c>
      <c r="B3216" s="10" t="s">
        <v>17</v>
      </c>
      <c r="C3216" s="10" t="s">
        <v>14</v>
      </c>
      <c r="D3216" s="10" t="s">
        <v>16</v>
      </c>
      <c r="E3216" s="4">
        <v>6</v>
      </c>
      <c r="F3216" s="4">
        <v>4800</v>
      </c>
      <c r="G3216" s="9">
        <v>930.44</v>
      </c>
    </row>
    <row r="3217" spans="1:7" ht="15.6" x14ac:dyDescent="0.3">
      <c r="A3217" s="16">
        <v>45253</v>
      </c>
      <c r="B3217" s="10" t="s">
        <v>19</v>
      </c>
      <c r="C3217" s="10" t="s">
        <v>14</v>
      </c>
      <c r="D3217" s="10" t="s">
        <v>15</v>
      </c>
      <c r="E3217" s="4">
        <v>1</v>
      </c>
      <c r="F3217" s="4">
        <v>61</v>
      </c>
      <c r="G3217" s="9">
        <v>16.11</v>
      </c>
    </row>
    <row r="3218" spans="1:7" ht="15.6" x14ac:dyDescent="0.3">
      <c r="A3218" s="16">
        <v>45190</v>
      </c>
      <c r="B3218" s="10" t="s">
        <v>20</v>
      </c>
      <c r="C3218" s="10" t="s">
        <v>11</v>
      </c>
      <c r="D3218" s="10" t="s">
        <v>12</v>
      </c>
      <c r="E3218" s="4">
        <v>6</v>
      </c>
      <c r="F3218" s="4">
        <v>942</v>
      </c>
      <c r="G3218" s="9">
        <v>80.27</v>
      </c>
    </row>
    <row r="3219" spans="1:7" ht="15.6" x14ac:dyDescent="0.3">
      <c r="A3219" s="16">
        <v>45137</v>
      </c>
      <c r="B3219" s="10" t="s">
        <v>21</v>
      </c>
      <c r="C3219" s="10" t="s">
        <v>14</v>
      </c>
      <c r="D3219" s="10" t="s">
        <v>15</v>
      </c>
      <c r="E3219" s="4">
        <v>8</v>
      </c>
      <c r="F3219" s="4">
        <v>7640</v>
      </c>
      <c r="G3219" s="9">
        <v>1663.63</v>
      </c>
    </row>
    <row r="3220" spans="1:7" ht="15.6" x14ac:dyDescent="0.3">
      <c r="A3220" s="16">
        <v>44693</v>
      </c>
      <c r="B3220" s="10" t="s">
        <v>17</v>
      </c>
      <c r="C3220" s="10" t="s">
        <v>14</v>
      </c>
      <c r="D3220" s="10" t="s">
        <v>15</v>
      </c>
      <c r="E3220" s="4">
        <v>5</v>
      </c>
      <c r="F3220" s="4">
        <v>4540</v>
      </c>
      <c r="G3220" s="9">
        <v>939.71</v>
      </c>
    </row>
    <row r="3221" spans="1:7" ht="15.6" x14ac:dyDescent="0.3">
      <c r="A3221" s="16">
        <v>44892</v>
      </c>
      <c r="B3221" s="10" t="s">
        <v>18</v>
      </c>
      <c r="C3221" s="10" t="s">
        <v>11</v>
      </c>
      <c r="D3221" s="10" t="s">
        <v>9</v>
      </c>
      <c r="E3221" s="4">
        <v>1</v>
      </c>
      <c r="F3221" s="4">
        <v>1030</v>
      </c>
      <c r="G3221" s="9">
        <v>190.47</v>
      </c>
    </row>
    <row r="3222" spans="1:7" ht="15.6" x14ac:dyDescent="0.3">
      <c r="A3222" s="16">
        <v>45189</v>
      </c>
      <c r="B3222" s="10" t="s">
        <v>7</v>
      </c>
      <c r="C3222" s="10" t="s">
        <v>8</v>
      </c>
      <c r="D3222" s="10" t="s">
        <v>9</v>
      </c>
      <c r="E3222" s="4">
        <v>2</v>
      </c>
      <c r="F3222" s="4">
        <v>384</v>
      </c>
      <c r="G3222" s="9">
        <v>30.84</v>
      </c>
    </row>
    <row r="3223" spans="1:7" ht="15.6" x14ac:dyDescent="0.3">
      <c r="A3223" s="16">
        <v>45620</v>
      </c>
      <c r="B3223" s="10" t="s">
        <v>19</v>
      </c>
      <c r="C3223" s="10" t="s">
        <v>14</v>
      </c>
      <c r="D3223" s="10" t="s">
        <v>16</v>
      </c>
      <c r="E3223" s="4">
        <v>8</v>
      </c>
      <c r="F3223" s="4">
        <v>8560</v>
      </c>
      <c r="G3223" s="9">
        <v>991.94</v>
      </c>
    </row>
    <row r="3224" spans="1:7" ht="15.6" x14ac:dyDescent="0.3">
      <c r="A3224" s="16">
        <v>44796</v>
      </c>
      <c r="B3224" s="10" t="s">
        <v>17</v>
      </c>
      <c r="C3224" s="10" t="s">
        <v>14</v>
      </c>
      <c r="D3224" s="10" t="s">
        <v>16</v>
      </c>
      <c r="E3224" s="4">
        <v>9</v>
      </c>
      <c r="F3224" s="4">
        <v>1557</v>
      </c>
      <c r="G3224" s="9">
        <v>117.36</v>
      </c>
    </row>
    <row r="3225" spans="1:7" ht="15.6" x14ac:dyDescent="0.3">
      <c r="A3225" s="16">
        <v>45050</v>
      </c>
      <c r="B3225" s="10" t="s">
        <v>13</v>
      </c>
      <c r="C3225" s="10" t="s">
        <v>14</v>
      </c>
      <c r="D3225" s="10" t="s">
        <v>12</v>
      </c>
      <c r="E3225" s="4">
        <v>7</v>
      </c>
      <c r="F3225" s="4">
        <v>707</v>
      </c>
      <c r="G3225" s="9">
        <v>124.59</v>
      </c>
    </row>
    <row r="3226" spans="1:7" ht="15.6" x14ac:dyDescent="0.3">
      <c r="A3226" s="16">
        <v>44778</v>
      </c>
      <c r="B3226" s="10" t="s">
        <v>10</v>
      </c>
      <c r="C3226" s="10" t="s">
        <v>11</v>
      </c>
      <c r="D3226" s="10" t="s">
        <v>16</v>
      </c>
      <c r="E3226" s="4">
        <v>5</v>
      </c>
      <c r="F3226" s="4">
        <v>3405</v>
      </c>
      <c r="G3226" s="9">
        <v>476.39</v>
      </c>
    </row>
    <row r="3227" spans="1:7" ht="15.6" x14ac:dyDescent="0.3">
      <c r="A3227" s="16">
        <v>45611</v>
      </c>
      <c r="B3227" s="10" t="s">
        <v>13</v>
      </c>
      <c r="C3227" s="10" t="s">
        <v>14</v>
      </c>
      <c r="D3227" s="10" t="s">
        <v>16</v>
      </c>
      <c r="E3227" s="4">
        <v>6</v>
      </c>
      <c r="F3227" s="4">
        <v>4722</v>
      </c>
      <c r="G3227" s="9">
        <v>522.16</v>
      </c>
    </row>
    <row r="3228" spans="1:7" ht="15.6" x14ac:dyDescent="0.3">
      <c r="A3228" s="16">
        <v>44565</v>
      </c>
      <c r="B3228" s="10" t="s">
        <v>18</v>
      </c>
      <c r="C3228" s="10" t="s">
        <v>11</v>
      </c>
      <c r="D3228" s="10" t="s">
        <v>9</v>
      </c>
      <c r="E3228" s="4">
        <v>2</v>
      </c>
      <c r="F3228" s="4">
        <v>2150</v>
      </c>
      <c r="G3228" s="9">
        <v>625.92999999999995</v>
      </c>
    </row>
    <row r="3229" spans="1:7" ht="15.6" x14ac:dyDescent="0.3">
      <c r="A3229" s="16">
        <v>44869</v>
      </c>
      <c r="B3229" s="10" t="s">
        <v>20</v>
      </c>
      <c r="C3229" s="10" t="s">
        <v>11</v>
      </c>
      <c r="D3229" s="10" t="s">
        <v>16</v>
      </c>
      <c r="E3229" s="4">
        <v>7</v>
      </c>
      <c r="F3229" s="4">
        <v>3619</v>
      </c>
      <c r="G3229" s="9">
        <v>827.39</v>
      </c>
    </row>
    <row r="3230" spans="1:7" ht="15.6" x14ac:dyDescent="0.3">
      <c r="A3230" s="16">
        <v>45147</v>
      </c>
      <c r="B3230" s="10" t="s">
        <v>19</v>
      </c>
      <c r="C3230" s="10" t="s">
        <v>14</v>
      </c>
      <c r="D3230" s="10" t="s">
        <v>15</v>
      </c>
      <c r="E3230" s="4">
        <v>4</v>
      </c>
      <c r="F3230" s="4">
        <v>3892</v>
      </c>
      <c r="G3230" s="9">
        <v>909.22</v>
      </c>
    </row>
    <row r="3231" spans="1:7" ht="15.6" x14ac:dyDescent="0.3">
      <c r="A3231" s="16">
        <v>44775</v>
      </c>
      <c r="B3231" s="10" t="s">
        <v>17</v>
      </c>
      <c r="C3231" s="10" t="s">
        <v>14</v>
      </c>
      <c r="D3231" s="10" t="s">
        <v>15</v>
      </c>
      <c r="E3231" s="4">
        <v>1</v>
      </c>
      <c r="F3231" s="4">
        <v>54</v>
      </c>
      <c r="G3231" s="9">
        <v>13.29</v>
      </c>
    </row>
    <row r="3232" spans="1:7" ht="15.6" x14ac:dyDescent="0.3">
      <c r="A3232" s="16">
        <v>45264</v>
      </c>
      <c r="B3232" s="10" t="s">
        <v>22</v>
      </c>
      <c r="C3232" s="10" t="s">
        <v>11</v>
      </c>
      <c r="D3232" s="10" t="s">
        <v>15</v>
      </c>
      <c r="E3232" s="4">
        <v>1</v>
      </c>
      <c r="F3232" s="4">
        <v>612</v>
      </c>
      <c r="G3232" s="9">
        <v>136.25</v>
      </c>
    </row>
    <row r="3233" spans="1:7" ht="15.6" x14ac:dyDescent="0.3">
      <c r="A3233" s="16">
        <v>44807</v>
      </c>
      <c r="B3233" s="10" t="s">
        <v>20</v>
      </c>
      <c r="C3233" s="10" t="s">
        <v>11</v>
      </c>
      <c r="D3233" s="10" t="s">
        <v>12</v>
      </c>
      <c r="E3233" s="4">
        <v>5</v>
      </c>
      <c r="F3233" s="4">
        <v>3850</v>
      </c>
      <c r="G3233" s="9">
        <v>419.55</v>
      </c>
    </row>
    <row r="3234" spans="1:7" ht="15.6" x14ac:dyDescent="0.3">
      <c r="A3234" s="16">
        <v>45402</v>
      </c>
      <c r="B3234" s="10" t="s">
        <v>17</v>
      </c>
      <c r="C3234" s="10" t="s">
        <v>14</v>
      </c>
      <c r="D3234" s="10" t="s">
        <v>12</v>
      </c>
      <c r="E3234" s="4">
        <v>5</v>
      </c>
      <c r="F3234" s="4">
        <v>3005</v>
      </c>
      <c r="G3234" s="9">
        <v>389.93</v>
      </c>
    </row>
    <row r="3235" spans="1:7" ht="15.6" x14ac:dyDescent="0.3">
      <c r="A3235" s="16">
        <v>45488</v>
      </c>
      <c r="B3235" s="10" t="s">
        <v>18</v>
      </c>
      <c r="C3235" s="10" t="s">
        <v>11</v>
      </c>
      <c r="D3235" s="10" t="s">
        <v>9</v>
      </c>
      <c r="E3235" s="4">
        <v>9</v>
      </c>
      <c r="F3235" s="4">
        <v>5256</v>
      </c>
      <c r="G3235" s="9">
        <v>1296.6500000000001</v>
      </c>
    </row>
    <row r="3236" spans="1:7" ht="15.6" x14ac:dyDescent="0.3">
      <c r="A3236" s="16">
        <v>44998</v>
      </c>
      <c r="B3236" s="10" t="s">
        <v>7</v>
      </c>
      <c r="C3236" s="10" t="s">
        <v>8</v>
      </c>
      <c r="D3236" s="10" t="s">
        <v>12</v>
      </c>
      <c r="E3236" s="4">
        <v>6</v>
      </c>
      <c r="F3236" s="4">
        <v>3576</v>
      </c>
      <c r="G3236" s="9">
        <v>1033.3</v>
      </c>
    </row>
    <row r="3237" spans="1:7" ht="15.6" x14ac:dyDescent="0.3">
      <c r="A3237" s="16">
        <v>44873</v>
      </c>
      <c r="B3237" s="10" t="s">
        <v>13</v>
      </c>
      <c r="C3237" s="10" t="s">
        <v>14</v>
      </c>
      <c r="D3237" s="10" t="s">
        <v>16</v>
      </c>
      <c r="E3237" s="4">
        <v>5</v>
      </c>
      <c r="F3237" s="4">
        <v>3415</v>
      </c>
      <c r="G3237" s="9">
        <v>496.48</v>
      </c>
    </row>
    <row r="3238" spans="1:7" ht="15.6" x14ac:dyDescent="0.3">
      <c r="A3238" s="16">
        <v>44939</v>
      </c>
      <c r="B3238" s="10" t="s">
        <v>17</v>
      </c>
      <c r="C3238" s="10" t="s">
        <v>14</v>
      </c>
      <c r="D3238" s="10" t="s">
        <v>16</v>
      </c>
      <c r="E3238" s="4">
        <v>3</v>
      </c>
      <c r="F3238" s="4">
        <v>1722</v>
      </c>
      <c r="G3238" s="9">
        <v>203.04</v>
      </c>
    </row>
    <row r="3239" spans="1:7" ht="15.6" x14ac:dyDescent="0.3">
      <c r="A3239" s="16">
        <v>44665</v>
      </c>
      <c r="B3239" s="10" t="s">
        <v>10</v>
      </c>
      <c r="C3239" s="10" t="s">
        <v>11</v>
      </c>
      <c r="D3239" s="10" t="s">
        <v>12</v>
      </c>
      <c r="E3239" s="4">
        <v>8</v>
      </c>
      <c r="F3239" s="4">
        <v>4088</v>
      </c>
      <c r="G3239" s="9">
        <v>853.36</v>
      </c>
    </row>
    <row r="3240" spans="1:7" ht="15.6" x14ac:dyDescent="0.3">
      <c r="A3240" s="16">
        <v>45331</v>
      </c>
      <c r="B3240" s="10" t="s">
        <v>18</v>
      </c>
      <c r="C3240" s="10" t="s">
        <v>11</v>
      </c>
      <c r="D3240" s="10" t="s">
        <v>16</v>
      </c>
      <c r="E3240" s="4">
        <v>5</v>
      </c>
      <c r="F3240" s="4">
        <v>5320</v>
      </c>
      <c r="G3240" s="9">
        <v>882.84</v>
      </c>
    </row>
    <row r="3241" spans="1:7" ht="15.6" x14ac:dyDescent="0.3">
      <c r="A3241" s="16">
        <v>44892</v>
      </c>
      <c r="B3241" s="10" t="s">
        <v>10</v>
      </c>
      <c r="C3241" s="10" t="s">
        <v>11</v>
      </c>
      <c r="D3241" s="10" t="s">
        <v>16</v>
      </c>
      <c r="E3241" s="4">
        <v>6</v>
      </c>
      <c r="F3241" s="4">
        <v>3660</v>
      </c>
      <c r="G3241" s="9">
        <v>1079</v>
      </c>
    </row>
    <row r="3242" spans="1:7" ht="15.6" x14ac:dyDescent="0.3">
      <c r="A3242" s="16">
        <v>45425</v>
      </c>
      <c r="B3242" s="10" t="s">
        <v>17</v>
      </c>
      <c r="C3242" s="10" t="s">
        <v>14</v>
      </c>
      <c r="D3242" s="10" t="s">
        <v>16</v>
      </c>
      <c r="E3242" s="4">
        <v>6</v>
      </c>
      <c r="F3242" s="4">
        <v>5250</v>
      </c>
      <c r="G3242" s="9">
        <v>1228.49</v>
      </c>
    </row>
    <row r="3243" spans="1:7" ht="15.6" x14ac:dyDescent="0.3">
      <c r="A3243" s="16">
        <v>44668</v>
      </c>
      <c r="B3243" s="10" t="s">
        <v>23</v>
      </c>
      <c r="C3243" s="10" t="s">
        <v>14</v>
      </c>
      <c r="D3243" s="10" t="s">
        <v>9</v>
      </c>
      <c r="E3243" s="4">
        <v>4</v>
      </c>
      <c r="F3243" s="4">
        <v>328</v>
      </c>
      <c r="G3243" s="9">
        <v>90.89</v>
      </c>
    </row>
    <row r="3244" spans="1:7" ht="15.6" x14ac:dyDescent="0.3">
      <c r="A3244" s="16">
        <v>45198</v>
      </c>
      <c r="B3244" s="10" t="s">
        <v>21</v>
      </c>
      <c r="C3244" s="10" t="s">
        <v>14</v>
      </c>
      <c r="D3244" s="10" t="s">
        <v>16</v>
      </c>
      <c r="E3244" s="4">
        <v>7</v>
      </c>
      <c r="F3244" s="4">
        <v>1596</v>
      </c>
      <c r="G3244" s="9">
        <v>359.71</v>
      </c>
    </row>
    <row r="3245" spans="1:7" ht="15.6" x14ac:dyDescent="0.3">
      <c r="A3245" s="16">
        <v>44968</v>
      </c>
      <c r="B3245" s="10" t="s">
        <v>7</v>
      </c>
      <c r="C3245" s="10" t="s">
        <v>8</v>
      </c>
      <c r="D3245" s="10" t="s">
        <v>15</v>
      </c>
      <c r="E3245" s="4">
        <v>7</v>
      </c>
      <c r="F3245" s="4">
        <v>2443</v>
      </c>
      <c r="G3245" s="9">
        <v>661.21</v>
      </c>
    </row>
    <row r="3246" spans="1:7" ht="15.6" x14ac:dyDescent="0.3">
      <c r="A3246" s="16">
        <v>45130</v>
      </c>
      <c r="B3246" s="10" t="s">
        <v>19</v>
      </c>
      <c r="C3246" s="10" t="s">
        <v>14</v>
      </c>
      <c r="D3246" s="10" t="s">
        <v>12</v>
      </c>
      <c r="E3246" s="4">
        <v>7</v>
      </c>
      <c r="F3246" s="4">
        <v>5432</v>
      </c>
      <c r="G3246" s="9">
        <v>870.08</v>
      </c>
    </row>
    <row r="3247" spans="1:7" ht="15.6" x14ac:dyDescent="0.3">
      <c r="A3247" s="16">
        <v>44655</v>
      </c>
      <c r="B3247" s="10" t="s">
        <v>7</v>
      </c>
      <c r="C3247" s="10" t="s">
        <v>8</v>
      </c>
      <c r="D3247" s="10" t="s">
        <v>9</v>
      </c>
      <c r="E3247" s="4">
        <v>3</v>
      </c>
      <c r="F3247" s="4">
        <v>1254</v>
      </c>
      <c r="G3247" s="9">
        <v>221.19</v>
      </c>
    </row>
    <row r="3248" spans="1:7" ht="15.6" x14ac:dyDescent="0.3">
      <c r="A3248" s="16">
        <v>44611</v>
      </c>
      <c r="B3248" s="10" t="s">
        <v>13</v>
      </c>
      <c r="C3248" s="10" t="s">
        <v>14</v>
      </c>
      <c r="D3248" s="10" t="s">
        <v>12</v>
      </c>
      <c r="E3248" s="4">
        <v>5</v>
      </c>
      <c r="F3248" s="4">
        <v>5495</v>
      </c>
      <c r="G3248" s="9">
        <v>1276.27</v>
      </c>
    </row>
    <row r="3249" spans="1:7" ht="15.6" x14ac:dyDescent="0.3">
      <c r="A3249" s="16">
        <v>45267</v>
      </c>
      <c r="B3249" s="10" t="s">
        <v>18</v>
      </c>
      <c r="C3249" s="10" t="s">
        <v>11</v>
      </c>
      <c r="D3249" s="10" t="s">
        <v>9</v>
      </c>
      <c r="E3249" s="4">
        <v>4</v>
      </c>
      <c r="F3249" s="4">
        <v>596</v>
      </c>
      <c r="G3249" s="9">
        <v>72.650000000000006</v>
      </c>
    </row>
    <row r="3250" spans="1:7" ht="15.6" x14ac:dyDescent="0.3">
      <c r="A3250" s="16">
        <v>45583</v>
      </c>
      <c r="B3250" s="10" t="s">
        <v>7</v>
      </c>
      <c r="C3250" s="10" t="s">
        <v>8</v>
      </c>
      <c r="D3250" s="10" t="s">
        <v>15</v>
      </c>
      <c r="E3250" s="4">
        <v>6</v>
      </c>
      <c r="F3250" s="4">
        <v>3696</v>
      </c>
      <c r="G3250" s="9">
        <v>597.66</v>
      </c>
    </row>
    <row r="3251" spans="1:7" ht="15.6" x14ac:dyDescent="0.3">
      <c r="A3251" s="16">
        <v>44669</v>
      </c>
      <c r="B3251" s="10" t="s">
        <v>10</v>
      </c>
      <c r="C3251" s="10" t="s">
        <v>11</v>
      </c>
      <c r="D3251" s="10" t="s">
        <v>9</v>
      </c>
      <c r="E3251" s="4">
        <v>6</v>
      </c>
      <c r="F3251" s="4">
        <v>4488</v>
      </c>
      <c r="G3251" s="9">
        <v>939.05</v>
      </c>
    </row>
    <row r="3252" spans="1:7" ht="15.6" x14ac:dyDescent="0.3">
      <c r="A3252" s="16">
        <v>45217</v>
      </c>
      <c r="B3252" s="10" t="s">
        <v>17</v>
      </c>
      <c r="C3252" s="10" t="s">
        <v>14</v>
      </c>
      <c r="D3252" s="10" t="s">
        <v>16</v>
      </c>
      <c r="E3252" s="4">
        <v>6</v>
      </c>
      <c r="F3252" s="4">
        <v>6846</v>
      </c>
      <c r="G3252" s="9">
        <v>932.21</v>
      </c>
    </row>
    <row r="3253" spans="1:7" ht="15.6" x14ac:dyDescent="0.3">
      <c r="A3253" s="16">
        <v>45289</v>
      </c>
      <c r="B3253" s="10" t="s">
        <v>10</v>
      </c>
      <c r="C3253" s="10" t="s">
        <v>11</v>
      </c>
      <c r="D3253" s="10" t="s">
        <v>16</v>
      </c>
      <c r="E3253" s="4">
        <v>8</v>
      </c>
      <c r="F3253" s="4">
        <v>2960</v>
      </c>
      <c r="G3253" s="9">
        <v>607.64</v>
      </c>
    </row>
    <row r="3254" spans="1:7" ht="15.6" x14ac:dyDescent="0.3">
      <c r="A3254" s="16">
        <v>45138</v>
      </c>
      <c r="B3254" s="10" t="s">
        <v>21</v>
      </c>
      <c r="C3254" s="10" t="s">
        <v>14</v>
      </c>
      <c r="D3254" s="10" t="s">
        <v>15</v>
      </c>
      <c r="E3254" s="4">
        <v>1</v>
      </c>
      <c r="F3254" s="4">
        <v>419</v>
      </c>
      <c r="G3254" s="9">
        <v>99.5</v>
      </c>
    </row>
    <row r="3255" spans="1:7" ht="15.6" x14ac:dyDescent="0.3">
      <c r="A3255" s="16">
        <v>45538</v>
      </c>
      <c r="B3255" s="10" t="s">
        <v>23</v>
      </c>
      <c r="C3255" s="10" t="s">
        <v>14</v>
      </c>
      <c r="D3255" s="10" t="s">
        <v>16</v>
      </c>
      <c r="E3255" s="4">
        <v>6</v>
      </c>
      <c r="F3255" s="4">
        <v>6246</v>
      </c>
      <c r="G3255" s="9">
        <v>327.14</v>
      </c>
    </row>
    <row r="3256" spans="1:7" ht="15.6" x14ac:dyDescent="0.3">
      <c r="A3256" s="16">
        <v>44816</v>
      </c>
      <c r="B3256" s="10" t="s">
        <v>13</v>
      </c>
      <c r="C3256" s="10" t="s">
        <v>14</v>
      </c>
      <c r="D3256" s="10" t="s">
        <v>15</v>
      </c>
      <c r="E3256" s="4">
        <v>4</v>
      </c>
      <c r="F3256" s="4">
        <v>1900</v>
      </c>
      <c r="G3256" s="9">
        <v>372.18</v>
      </c>
    </row>
    <row r="3257" spans="1:7" ht="15.6" x14ac:dyDescent="0.3">
      <c r="A3257" s="16">
        <v>45085</v>
      </c>
      <c r="B3257" s="10" t="s">
        <v>20</v>
      </c>
      <c r="C3257" s="10" t="s">
        <v>11</v>
      </c>
      <c r="D3257" s="10" t="s">
        <v>9</v>
      </c>
      <c r="E3257" s="4">
        <v>7</v>
      </c>
      <c r="F3257" s="4">
        <v>3451</v>
      </c>
      <c r="G3257" s="9">
        <v>397.29</v>
      </c>
    </row>
    <row r="3258" spans="1:7" ht="15.6" x14ac:dyDescent="0.3">
      <c r="A3258" s="16">
        <v>45620</v>
      </c>
      <c r="B3258" s="10" t="s">
        <v>21</v>
      </c>
      <c r="C3258" s="10" t="s">
        <v>14</v>
      </c>
      <c r="D3258" s="10" t="s">
        <v>16</v>
      </c>
      <c r="E3258" s="4">
        <v>2</v>
      </c>
      <c r="F3258" s="4">
        <v>1612</v>
      </c>
      <c r="G3258" s="9">
        <v>344.37</v>
      </c>
    </row>
    <row r="3259" spans="1:7" ht="15.6" x14ac:dyDescent="0.3">
      <c r="A3259" s="16">
        <v>44786</v>
      </c>
      <c r="B3259" s="10" t="s">
        <v>23</v>
      </c>
      <c r="C3259" s="10" t="s">
        <v>14</v>
      </c>
      <c r="D3259" s="10" t="s">
        <v>15</v>
      </c>
      <c r="E3259" s="4">
        <v>5</v>
      </c>
      <c r="F3259" s="4">
        <v>4445</v>
      </c>
      <c r="G3259" s="9">
        <v>642.83000000000004</v>
      </c>
    </row>
    <row r="3260" spans="1:7" ht="15.6" x14ac:dyDescent="0.3">
      <c r="A3260" s="16">
        <v>45510</v>
      </c>
      <c r="B3260" s="10" t="s">
        <v>19</v>
      </c>
      <c r="C3260" s="10" t="s">
        <v>14</v>
      </c>
      <c r="D3260" s="10" t="s">
        <v>9</v>
      </c>
      <c r="E3260" s="4">
        <v>5</v>
      </c>
      <c r="F3260" s="4">
        <v>720</v>
      </c>
      <c r="G3260" s="9">
        <v>63.84</v>
      </c>
    </row>
    <row r="3261" spans="1:7" ht="15.6" x14ac:dyDescent="0.3">
      <c r="A3261" s="16">
        <v>45398</v>
      </c>
      <c r="B3261" s="10" t="s">
        <v>10</v>
      </c>
      <c r="C3261" s="10" t="s">
        <v>11</v>
      </c>
      <c r="D3261" s="10" t="s">
        <v>12</v>
      </c>
      <c r="E3261" s="4">
        <v>2</v>
      </c>
      <c r="F3261" s="4">
        <v>1428</v>
      </c>
      <c r="G3261" s="9">
        <v>234.49</v>
      </c>
    </row>
    <row r="3262" spans="1:7" ht="15.6" x14ac:dyDescent="0.3">
      <c r="A3262" s="16">
        <v>45653</v>
      </c>
      <c r="B3262" s="10" t="s">
        <v>13</v>
      </c>
      <c r="C3262" s="10" t="s">
        <v>14</v>
      </c>
      <c r="D3262" s="10" t="s">
        <v>12</v>
      </c>
      <c r="E3262" s="4">
        <v>4</v>
      </c>
      <c r="F3262" s="4">
        <v>3532</v>
      </c>
      <c r="G3262" s="9">
        <v>665.2</v>
      </c>
    </row>
    <row r="3263" spans="1:7" ht="15.6" x14ac:dyDescent="0.3">
      <c r="A3263" s="16">
        <v>45543</v>
      </c>
      <c r="B3263" s="10" t="s">
        <v>17</v>
      </c>
      <c r="C3263" s="10" t="s">
        <v>14</v>
      </c>
      <c r="D3263" s="10" t="s">
        <v>9</v>
      </c>
      <c r="E3263" s="4">
        <v>6</v>
      </c>
      <c r="F3263" s="4">
        <v>6528</v>
      </c>
      <c r="G3263" s="9">
        <v>549.62</v>
      </c>
    </row>
    <row r="3264" spans="1:7" ht="15.6" x14ac:dyDescent="0.3">
      <c r="A3264" s="16">
        <v>45173</v>
      </c>
      <c r="B3264" s="10" t="s">
        <v>20</v>
      </c>
      <c r="C3264" s="10" t="s">
        <v>11</v>
      </c>
      <c r="D3264" s="10" t="s">
        <v>12</v>
      </c>
      <c r="E3264" s="4">
        <v>1</v>
      </c>
      <c r="F3264" s="4">
        <v>743</v>
      </c>
      <c r="G3264" s="9">
        <v>216.5</v>
      </c>
    </row>
    <row r="3265" spans="1:7" ht="15.6" x14ac:dyDescent="0.3">
      <c r="A3265" s="16">
        <v>45212</v>
      </c>
      <c r="B3265" s="10" t="s">
        <v>19</v>
      </c>
      <c r="C3265" s="10" t="s">
        <v>14</v>
      </c>
      <c r="D3265" s="10" t="s">
        <v>12</v>
      </c>
      <c r="E3265" s="4">
        <v>6</v>
      </c>
      <c r="F3265" s="4">
        <v>1758</v>
      </c>
      <c r="G3265" s="9">
        <v>287.36</v>
      </c>
    </row>
    <row r="3266" spans="1:7" ht="15.6" x14ac:dyDescent="0.3">
      <c r="A3266" s="16">
        <v>45259</v>
      </c>
      <c r="B3266" s="10" t="s">
        <v>18</v>
      </c>
      <c r="C3266" s="10" t="s">
        <v>11</v>
      </c>
      <c r="D3266" s="10" t="s">
        <v>15</v>
      </c>
      <c r="E3266" s="4">
        <v>8</v>
      </c>
      <c r="F3266" s="4">
        <v>1008</v>
      </c>
      <c r="G3266" s="9">
        <v>100.61</v>
      </c>
    </row>
    <row r="3267" spans="1:7" ht="15.6" x14ac:dyDescent="0.3">
      <c r="A3267" s="16">
        <v>45586</v>
      </c>
      <c r="B3267" s="10" t="s">
        <v>21</v>
      </c>
      <c r="C3267" s="10" t="s">
        <v>14</v>
      </c>
      <c r="D3267" s="10" t="s">
        <v>12</v>
      </c>
      <c r="E3267" s="4">
        <v>1</v>
      </c>
      <c r="F3267" s="4">
        <v>995</v>
      </c>
      <c r="G3267" s="9">
        <v>149.86000000000001</v>
      </c>
    </row>
    <row r="3268" spans="1:7" ht="15.6" x14ac:dyDescent="0.3">
      <c r="A3268" s="16">
        <v>45570</v>
      </c>
      <c r="B3268" s="10" t="s">
        <v>22</v>
      </c>
      <c r="C3268" s="10" t="s">
        <v>11</v>
      </c>
      <c r="D3268" s="10" t="s">
        <v>16</v>
      </c>
      <c r="E3268" s="4">
        <v>9</v>
      </c>
      <c r="F3268" s="4">
        <v>4032</v>
      </c>
      <c r="G3268" s="9">
        <v>876.91</v>
      </c>
    </row>
    <row r="3269" spans="1:7" ht="15.6" x14ac:dyDescent="0.3">
      <c r="A3269" s="16">
        <v>44863</v>
      </c>
      <c r="B3269" s="10" t="s">
        <v>21</v>
      </c>
      <c r="C3269" s="10" t="s">
        <v>14</v>
      </c>
      <c r="D3269" s="10" t="s">
        <v>12</v>
      </c>
      <c r="E3269" s="4">
        <v>6</v>
      </c>
      <c r="F3269" s="4">
        <v>480</v>
      </c>
      <c r="G3269" s="9">
        <v>131.08000000000001</v>
      </c>
    </row>
    <row r="3270" spans="1:7" ht="15.6" x14ac:dyDescent="0.3">
      <c r="A3270" s="16">
        <v>45590</v>
      </c>
      <c r="B3270" s="10" t="s">
        <v>23</v>
      </c>
      <c r="C3270" s="10" t="s">
        <v>14</v>
      </c>
      <c r="D3270" s="10" t="s">
        <v>12</v>
      </c>
      <c r="E3270" s="4">
        <v>1</v>
      </c>
      <c r="F3270" s="4">
        <v>989</v>
      </c>
      <c r="G3270" s="9">
        <v>149.99</v>
      </c>
    </row>
    <row r="3271" spans="1:7" ht="15.6" x14ac:dyDescent="0.3">
      <c r="A3271" s="16">
        <v>44585</v>
      </c>
      <c r="B3271" s="10" t="s">
        <v>21</v>
      </c>
      <c r="C3271" s="10" t="s">
        <v>14</v>
      </c>
      <c r="D3271" s="10" t="s">
        <v>9</v>
      </c>
      <c r="E3271" s="4">
        <v>9</v>
      </c>
      <c r="F3271" s="4">
        <v>6606</v>
      </c>
      <c r="G3271" s="9">
        <v>759.55</v>
      </c>
    </row>
    <row r="3272" spans="1:7" ht="15.6" x14ac:dyDescent="0.3">
      <c r="A3272" s="16">
        <v>45328</v>
      </c>
      <c r="B3272" s="10" t="s">
        <v>19</v>
      </c>
      <c r="C3272" s="10" t="s">
        <v>14</v>
      </c>
      <c r="D3272" s="10" t="s">
        <v>12</v>
      </c>
      <c r="E3272" s="4">
        <v>6</v>
      </c>
      <c r="F3272" s="4">
        <v>912</v>
      </c>
      <c r="G3272" s="9">
        <v>256.58</v>
      </c>
    </row>
    <row r="3273" spans="1:7" ht="15.6" x14ac:dyDescent="0.3">
      <c r="A3273" s="16">
        <v>44763</v>
      </c>
      <c r="B3273" s="10" t="s">
        <v>10</v>
      </c>
      <c r="C3273" s="10" t="s">
        <v>11</v>
      </c>
      <c r="D3273" s="10" t="s">
        <v>15</v>
      </c>
      <c r="E3273" s="4">
        <v>4</v>
      </c>
      <c r="F3273" s="4">
        <v>2912</v>
      </c>
      <c r="G3273" s="9">
        <v>331.11</v>
      </c>
    </row>
    <row r="3274" spans="1:7" ht="15.6" x14ac:dyDescent="0.3">
      <c r="A3274" s="16">
        <v>44960</v>
      </c>
      <c r="B3274" s="10" t="s">
        <v>17</v>
      </c>
      <c r="C3274" s="10" t="s">
        <v>14</v>
      </c>
      <c r="D3274" s="10" t="s">
        <v>16</v>
      </c>
      <c r="E3274" s="4">
        <v>5</v>
      </c>
      <c r="F3274" s="4">
        <v>845</v>
      </c>
      <c r="G3274" s="9">
        <v>69.349999999999994</v>
      </c>
    </row>
    <row r="3275" spans="1:7" ht="15.6" x14ac:dyDescent="0.3">
      <c r="A3275" s="16">
        <v>45148</v>
      </c>
      <c r="B3275" s="10" t="s">
        <v>20</v>
      </c>
      <c r="C3275" s="10" t="s">
        <v>11</v>
      </c>
      <c r="D3275" s="10" t="s">
        <v>15</v>
      </c>
      <c r="E3275" s="4">
        <v>4</v>
      </c>
      <c r="F3275" s="4">
        <v>2804</v>
      </c>
      <c r="G3275" s="9">
        <v>382.82</v>
      </c>
    </row>
    <row r="3276" spans="1:7" ht="15.6" x14ac:dyDescent="0.3">
      <c r="A3276" s="16">
        <v>45654</v>
      </c>
      <c r="B3276" s="10" t="s">
        <v>23</v>
      </c>
      <c r="C3276" s="10" t="s">
        <v>14</v>
      </c>
      <c r="D3276" s="10" t="s">
        <v>12</v>
      </c>
      <c r="E3276" s="4">
        <v>2</v>
      </c>
      <c r="F3276" s="4">
        <v>208</v>
      </c>
      <c r="G3276" s="9">
        <v>11.53</v>
      </c>
    </row>
    <row r="3277" spans="1:7" ht="15.6" x14ac:dyDescent="0.3">
      <c r="A3277" s="16">
        <v>44884</v>
      </c>
      <c r="B3277" s="10" t="s">
        <v>19</v>
      </c>
      <c r="C3277" s="10" t="s">
        <v>14</v>
      </c>
      <c r="D3277" s="10" t="s">
        <v>12</v>
      </c>
      <c r="E3277" s="4">
        <v>1</v>
      </c>
      <c r="F3277" s="4">
        <v>379</v>
      </c>
      <c r="G3277" s="9">
        <v>42.24</v>
      </c>
    </row>
    <row r="3278" spans="1:7" ht="15.6" x14ac:dyDescent="0.3">
      <c r="A3278" s="16">
        <v>45430</v>
      </c>
      <c r="B3278" s="10" t="s">
        <v>10</v>
      </c>
      <c r="C3278" s="10" t="s">
        <v>11</v>
      </c>
      <c r="D3278" s="10" t="s">
        <v>16</v>
      </c>
      <c r="E3278" s="4">
        <v>3</v>
      </c>
      <c r="F3278" s="4">
        <v>1227</v>
      </c>
      <c r="G3278" s="9">
        <v>113.38</v>
      </c>
    </row>
    <row r="3279" spans="1:7" ht="15.6" x14ac:dyDescent="0.3">
      <c r="A3279" s="16">
        <v>45141</v>
      </c>
      <c r="B3279" s="10" t="s">
        <v>18</v>
      </c>
      <c r="C3279" s="10" t="s">
        <v>11</v>
      </c>
      <c r="D3279" s="10" t="s">
        <v>12</v>
      </c>
      <c r="E3279" s="4">
        <v>7</v>
      </c>
      <c r="F3279" s="4">
        <v>5551</v>
      </c>
      <c r="G3279" s="9">
        <v>392.37</v>
      </c>
    </row>
    <row r="3280" spans="1:7" ht="15.6" x14ac:dyDescent="0.3">
      <c r="A3280" s="16">
        <v>44779</v>
      </c>
      <c r="B3280" s="10" t="s">
        <v>18</v>
      </c>
      <c r="C3280" s="10" t="s">
        <v>11</v>
      </c>
      <c r="D3280" s="10" t="s">
        <v>16</v>
      </c>
      <c r="E3280" s="4">
        <v>1</v>
      </c>
      <c r="F3280" s="4">
        <v>423</v>
      </c>
      <c r="G3280" s="9">
        <v>115.44</v>
      </c>
    </row>
    <row r="3281" spans="1:7" ht="15.6" x14ac:dyDescent="0.3">
      <c r="A3281" s="16">
        <v>44587</v>
      </c>
      <c r="B3281" s="10" t="s">
        <v>18</v>
      </c>
      <c r="C3281" s="10" t="s">
        <v>11</v>
      </c>
      <c r="D3281" s="10" t="s">
        <v>16</v>
      </c>
      <c r="E3281" s="4">
        <v>6</v>
      </c>
      <c r="F3281" s="4">
        <v>5982</v>
      </c>
      <c r="G3281" s="9">
        <v>944.81</v>
      </c>
    </row>
    <row r="3282" spans="1:7" ht="15.6" x14ac:dyDescent="0.3">
      <c r="A3282" s="16">
        <v>44902</v>
      </c>
      <c r="B3282" s="10" t="s">
        <v>21</v>
      </c>
      <c r="C3282" s="10" t="s">
        <v>14</v>
      </c>
      <c r="D3282" s="10" t="s">
        <v>16</v>
      </c>
      <c r="E3282" s="4">
        <v>4</v>
      </c>
      <c r="F3282" s="4">
        <v>3732</v>
      </c>
      <c r="G3282" s="9">
        <v>468.6</v>
      </c>
    </row>
    <row r="3283" spans="1:7" ht="15.6" x14ac:dyDescent="0.3">
      <c r="A3283" s="16">
        <v>44987</v>
      </c>
      <c r="B3283" s="10" t="s">
        <v>7</v>
      </c>
      <c r="C3283" s="10" t="s">
        <v>8</v>
      </c>
      <c r="D3283" s="10" t="s">
        <v>9</v>
      </c>
      <c r="E3283" s="4">
        <v>9</v>
      </c>
      <c r="F3283" s="4">
        <v>5904</v>
      </c>
      <c r="G3283" s="9">
        <v>1152.23</v>
      </c>
    </row>
    <row r="3284" spans="1:7" ht="15.6" x14ac:dyDescent="0.3">
      <c r="A3284" s="16">
        <v>45323</v>
      </c>
      <c r="B3284" s="10" t="s">
        <v>18</v>
      </c>
      <c r="C3284" s="10" t="s">
        <v>11</v>
      </c>
      <c r="D3284" s="10" t="s">
        <v>12</v>
      </c>
      <c r="E3284" s="4">
        <v>5</v>
      </c>
      <c r="F3284" s="4">
        <v>1810</v>
      </c>
      <c r="G3284" s="9">
        <v>171.47</v>
      </c>
    </row>
    <row r="3285" spans="1:7" ht="15.6" x14ac:dyDescent="0.3">
      <c r="A3285" s="16">
        <v>44956</v>
      </c>
      <c r="B3285" s="10" t="s">
        <v>21</v>
      </c>
      <c r="C3285" s="10" t="s">
        <v>14</v>
      </c>
      <c r="D3285" s="10" t="s">
        <v>15</v>
      </c>
      <c r="E3285" s="4">
        <v>6</v>
      </c>
      <c r="F3285" s="4">
        <v>5604</v>
      </c>
      <c r="G3285" s="9">
        <v>615.07000000000005</v>
      </c>
    </row>
    <row r="3286" spans="1:7" ht="15.6" x14ac:dyDescent="0.3">
      <c r="A3286" s="16">
        <v>44679</v>
      </c>
      <c r="B3286" s="10" t="s">
        <v>23</v>
      </c>
      <c r="C3286" s="10" t="s">
        <v>14</v>
      </c>
      <c r="D3286" s="10" t="s">
        <v>16</v>
      </c>
      <c r="E3286" s="4">
        <v>2</v>
      </c>
      <c r="F3286" s="4">
        <v>432</v>
      </c>
      <c r="G3286" s="9">
        <v>81.31</v>
      </c>
    </row>
    <row r="3287" spans="1:7" ht="15.6" x14ac:dyDescent="0.3">
      <c r="A3287" s="16">
        <v>45623</v>
      </c>
      <c r="B3287" s="10" t="s">
        <v>22</v>
      </c>
      <c r="C3287" s="10" t="s">
        <v>11</v>
      </c>
      <c r="D3287" s="10" t="s">
        <v>12</v>
      </c>
      <c r="E3287" s="4">
        <v>2</v>
      </c>
      <c r="F3287" s="4">
        <v>416</v>
      </c>
      <c r="G3287" s="9">
        <v>68.58</v>
      </c>
    </row>
    <row r="3288" spans="1:7" ht="15.6" x14ac:dyDescent="0.3">
      <c r="A3288" s="16">
        <v>44811</v>
      </c>
      <c r="B3288" s="10" t="s">
        <v>20</v>
      </c>
      <c r="C3288" s="10" t="s">
        <v>11</v>
      </c>
      <c r="D3288" s="10" t="s">
        <v>9</v>
      </c>
      <c r="E3288" s="4">
        <v>8</v>
      </c>
      <c r="F3288" s="4">
        <v>1224</v>
      </c>
      <c r="G3288" s="9">
        <v>281.43</v>
      </c>
    </row>
    <row r="3289" spans="1:7" ht="15.6" x14ac:dyDescent="0.3">
      <c r="A3289" s="16">
        <v>44632</v>
      </c>
      <c r="B3289" s="10" t="s">
        <v>7</v>
      </c>
      <c r="C3289" s="10" t="s">
        <v>8</v>
      </c>
      <c r="D3289" s="10" t="s">
        <v>16</v>
      </c>
      <c r="E3289" s="4">
        <v>8</v>
      </c>
      <c r="F3289" s="4">
        <v>5168</v>
      </c>
      <c r="G3289" s="9">
        <v>672.6</v>
      </c>
    </row>
    <row r="3290" spans="1:7" ht="15.6" x14ac:dyDescent="0.3">
      <c r="A3290" s="16">
        <v>44875</v>
      </c>
      <c r="B3290" s="10" t="s">
        <v>20</v>
      </c>
      <c r="C3290" s="10" t="s">
        <v>11</v>
      </c>
      <c r="D3290" s="10" t="s">
        <v>12</v>
      </c>
      <c r="E3290" s="4">
        <v>6</v>
      </c>
      <c r="F3290" s="4">
        <v>6522</v>
      </c>
      <c r="G3290" s="9">
        <v>502.98</v>
      </c>
    </row>
    <row r="3291" spans="1:7" ht="15.6" x14ac:dyDescent="0.3">
      <c r="A3291" s="16">
        <v>44807</v>
      </c>
      <c r="B3291" s="10" t="s">
        <v>22</v>
      </c>
      <c r="C3291" s="10" t="s">
        <v>11</v>
      </c>
      <c r="D3291" s="10" t="s">
        <v>15</v>
      </c>
      <c r="E3291" s="4">
        <v>5</v>
      </c>
      <c r="F3291" s="4">
        <v>1090</v>
      </c>
      <c r="G3291" s="9">
        <v>140.69999999999999</v>
      </c>
    </row>
    <row r="3292" spans="1:7" ht="15.6" x14ac:dyDescent="0.3">
      <c r="A3292" s="16">
        <v>45565</v>
      </c>
      <c r="B3292" s="10" t="s">
        <v>23</v>
      </c>
      <c r="C3292" s="10" t="s">
        <v>14</v>
      </c>
      <c r="D3292" s="10" t="s">
        <v>15</v>
      </c>
      <c r="E3292" s="4">
        <v>3</v>
      </c>
      <c r="F3292" s="4">
        <v>1737</v>
      </c>
      <c r="G3292" s="9">
        <v>353.17</v>
      </c>
    </row>
    <row r="3293" spans="1:7" ht="15.6" x14ac:dyDescent="0.3">
      <c r="A3293" s="16">
        <v>45359</v>
      </c>
      <c r="B3293" s="10" t="s">
        <v>7</v>
      </c>
      <c r="C3293" s="10" t="s">
        <v>8</v>
      </c>
      <c r="D3293" s="10" t="s">
        <v>16</v>
      </c>
      <c r="E3293" s="4">
        <v>9</v>
      </c>
      <c r="F3293" s="4">
        <v>7281</v>
      </c>
      <c r="G3293" s="9">
        <v>1358.17</v>
      </c>
    </row>
    <row r="3294" spans="1:7" ht="15.6" x14ac:dyDescent="0.3">
      <c r="A3294" s="16">
        <v>45370</v>
      </c>
      <c r="B3294" s="10" t="s">
        <v>19</v>
      </c>
      <c r="C3294" s="10" t="s">
        <v>14</v>
      </c>
      <c r="D3294" s="10" t="s">
        <v>15</v>
      </c>
      <c r="E3294" s="4">
        <v>9</v>
      </c>
      <c r="F3294" s="4">
        <v>5832</v>
      </c>
      <c r="G3294" s="9">
        <v>1007.54</v>
      </c>
    </row>
    <row r="3295" spans="1:7" ht="15.6" x14ac:dyDescent="0.3">
      <c r="A3295" s="16">
        <v>45494</v>
      </c>
      <c r="B3295" s="10" t="s">
        <v>7</v>
      </c>
      <c r="C3295" s="10" t="s">
        <v>8</v>
      </c>
      <c r="D3295" s="10" t="s">
        <v>12</v>
      </c>
      <c r="E3295" s="4">
        <v>9</v>
      </c>
      <c r="F3295" s="4">
        <v>7020</v>
      </c>
      <c r="G3295" s="9">
        <v>623.97</v>
      </c>
    </row>
    <row r="3296" spans="1:7" ht="15.6" x14ac:dyDescent="0.3">
      <c r="A3296" s="16">
        <v>45084</v>
      </c>
      <c r="B3296" s="10" t="s">
        <v>10</v>
      </c>
      <c r="C3296" s="10" t="s">
        <v>11</v>
      </c>
      <c r="D3296" s="10" t="s">
        <v>15</v>
      </c>
      <c r="E3296" s="4">
        <v>3</v>
      </c>
      <c r="F3296" s="4">
        <v>2001</v>
      </c>
      <c r="G3296" s="9">
        <v>420.08</v>
      </c>
    </row>
    <row r="3297" spans="1:7" ht="15.6" x14ac:dyDescent="0.3">
      <c r="A3297" s="16">
        <v>45517</v>
      </c>
      <c r="B3297" s="10" t="s">
        <v>20</v>
      </c>
      <c r="C3297" s="10" t="s">
        <v>11</v>
      </c>
      <c r="D3297" s="10" t="s">
        <v>16</v>
      </c>
      <c r="E3297" s="4">
        <v>2</v>
      </c>
      <c r="F3297" s="4">
        <v>1832</v>
      </c>
      <c r="G3297" s="9">
        <v>489.21</v>
      </c>
    </row>
    <row r="3298" spans="1:7" ht="15.6" x14ac:dyDescent="0.3">
      <c r="A3298" s="16">
        <v>45417</v>
      </c>
      <c r="B3298" s="10" t="s">
        <v>19</v>
      </c>
      <c r="C3298" s="10" t="s">
        <v>14</v>
      </c>
      <c r="D3298" s="10" t="s">
        <v>12</v>
      </c>
      <c r="E3298" s="4">
        <v>6</v>
      </c>
      <c r="F3298" s="4">
        <v>3372</v>
      </c>
      <c r="G3298" s="9">
        <v>934.42</v>
      </c>
    </row>
    <row r="3299" spans="1:7" ht="15.6" x14ac:dyDescent="0.3">
      <c r="A3299" s="16">
        <v>45646</v>
      </c>
      <c r="B3299" s="10" t="s">
        <v>13</v>
      </c>
      <c r="C3299" s="10" t="s">
        <v>14</v>
      </c>
      <c r="D3299" s="10" t="s">
        <v>16</v>
      </c>
      <c r="E3299" s="4">
        <v>6</v>
      </c>
      <c r="F3299" s="4">
        <v>3384</v>
      </c>
      <c r="G3299" s="9">
        <v>503.86</v>
      </c>
    </row>
    <row r="3300" spans="1:7" ht="15.6" x14ac:dyDescent="0.3">
      <c r="A3300" s="16">
        <v>45626</v>
      </c>
      <c r="B3300" s="10" t="s">
        <v>20</v>
      </c>
      <c r="C3300" s="10" t="s">
        <v>11</v>
      </c>
      <c r="D3300" s="10" t="s">
        <v>12</v>
      </c>
      <c r="E3300" s="4">
        <v>1</v>
      </c>
      <c r="F3300" s="4">
        <v>351</v>
      </c>
      <c r="G3300" s="9">
        <v>31.95</v>
      </c>
    </row>
    <row r="3301" spans="1:7" ht="15.6" x14ac:dyDescent="0.3">
      <c r="A3301" s="16">
        <v>45642</v>
      </c>
      <c r="B3301" s="10" t="s">
        <v>17</v>
      </c>
      <c r="C3301" s="10" t="s">
        <v>14</v>
      </c>
      <c r="D3301" s="10" t="s">
        <v>15</v>
      </c>
      <c r="E3301" s="4">
        <v>2</v>
      </c>
      <c r="F3301" s="4">
        <v>2092</v>
      </c>
      <c r="G3301" s="9">
        <v>549.41999999999996</v>
      </c>
    </row>
    <row r="3302" spans="1:7" ht="15.6" x14ac:dyDescent="0.3">
      <c r="A3302" s="16">
        <v>45004</v>
      </c>
      <c r="B3302" s="10" t="s">
        <v>20</v>
      </c>
      <c r="C3302" s="10" t="s">
        <v>11</v>
      </c>
      <c r="D3302" s="10" t="s">
        <v>15</v>
      </c>
      <c r="E3302" s="4">
        <v>7</v>
      </c>
      <c r="F3302" s="4">
        <v>1309</v>
      </c>
      <c r="G3302" s="9">
        <v>138.46</v>
      </c>
    </row>
    <row r="3303" spans="1:7" ht="15.6" x14ac:dyDescent="0.3">
      <c r="A3303" s="16">
        <v>45410</v>
      </c>
      <c r="B3303" s="10" t="s">
        <v>22</v>
      </c>
      <c r="C3303" s="10" t="s">
        <v>11</v>
      </c>
      <c r="D3303" s="10" t="s">
        <v>9</v>
      </c>
      <c r="E3303" s="4">
        <v>9</v>
      </c>
      <c r="F3303" s="4">
        <v>6696</v>
      </c>
      <c r="G3303" s="9">
        <v>407.36</v>
      </c>
    </row>
    <row r="3304" spans="1:7" ht="15.6" x14ac:dyDescent="0.3">
      <c r="A3304" s="16">
        <v>44833</v>
      </c>
      <c r="B3304" s="10" t="s">
        <v>22</v>
      </c>
      <c r="C3304" s="10" t="s">
        <v>11</v>
      </c>
      <c r="D3304" s="10" t="s">
        <v>12</v>
      </c>
      <c r="E3304" s="4">
        <v>5</v>
      </c>
      <c r="F3304" s="4">
        <v>1020</v>
      </c>
      <c r="G3304" s="9">
        <v>162.36000000000001</v>
      </c>
    </row>
    <row r="3305" spans="1:7" ht="15.6" x14ac:dyDescent="0.3">
      <c r="A3305" s="16">
        <v>44711</v>
      </c>
      <c r="B3305" s="10" t="s">
        <v>22</v>
      </c>
      <c r="C3305" s="10" t="s">
        <v>11</v>
      </c>
      <c r="D3305" s="10" t="s">
        <v>12</v>
      </c>
      <c r="E3305" s="4">
        <v>8</v>
      </c>
      <c r="F3305" s="4">
        <v>8240</v>
      </c>
      <c r="G3305" s="9">
        <v>2006.72</v>
      </c>
    </row>
    <row r="3306" spans="1:7" ht="15.6" x14ac:dyDescent="0.3">
      <c r="A3306" s="16">
        <v>44841</v>
      </c>
      <c r="B3306" s="10" t="s">
        <v>18</v>
      </c>
      <c r="C3306" s="10" t="s">
        <v>11</v>
      </c>
      <c r="D3306" s="10" t="s">
        <v>15</v>
      </c>
      <c r="E3306" s="4">
        <v>9</v>
      </c>
      <c r="F3306" s="4">
        <v>9810</v>
      </c>
      <c r="G3306" s="9">
        <v>1008.6</v>
      </c>
    </row>
    <row r="3307" spans="1:7" ht="15.6" x14ac:dyDescent="0.3">
      <c r="A3307" s="16">
        <v>44939</v>
      </c>
      <c r="B3307" s="10" t="s">
        <v>13</v>
      </c>
      <c r="C3307" s="10" t="s">
        <v>14</v>
      </c>
      <c r="D3307" s="10" t="s">
        <v>16</v>
      </c>
      <c r="E3307" s="4">
        <v>1</v>
      </c>
      <c r="F3307" s="4">
        <v>853</v>
      </c>
      <c r="G3307" s="9">
        <v>97.5</v>
      </c>
    </row>
    <row r="3308" spans="1:7" ht="15.6" x14ac:dyDescent="0.3">
      <c r="A3308" s="16">
        <v>44932</v>
      </c>
      <c r="B3308" s="10" t="s">
        <v>17</v>
      </c>
      <c r="C3308" s="10" t="s">
        <v>14</v>
      </c>
      <c r="D3308" s="10" t="s">
        <v>12</v>
      </c>
      <c r="E3308" s="4">
        <v>4</v>
      </c>
      <c r="F3308" s="4">
        <v>4416</v>
      </c>
      <c r="G3308" s="9">
        <v>1081.53</v>
      </c>
    </row>
    <row r="3309" spans="1:7" ht="15.6" x14ac:dyDescent="0.3">
      <c r="A3309" s="16">
        <v>44937</v>
      </c>
      <c r="B3309" s="10" t="s">
        <v>18</v>
      </c>
      <c r="C3309" s="10" t="s">
        <v>11</v>
      </c>
      <c r="D3309" s="10" t="s">
        <v>9</v>
      </c>
      <c r="E3309" s="4">
        <v>8</v>
      </c>
      <c r="F3309" s="4">
        <v>3832</v>
      </c>
      <c r="G3309" s="9">
        <v>741.44</v>
      </c>
    </row>
    <row r="3310" spans="1:7" ht="15.6" x14ac:dyDescent="0.3">
      <c r="A3310" s="16">
        <v>45642</v>
      </c>
      <c r="B3310" s="10" t="s">
        <v>20</v>
      </c>
      <c r="C3310" s="10" t="s">
        <v>11</v>
      </c>
      <c r="D3310" s="10" t="s">
        <v>15</v>
      </c>
      <c r="E3310" s="4">
        <v>4</v>
      </c>
      <c r="F3310" s="4">
        <v>1876</v>
      </c>
      <c r="G3310" s="9">
        <v>221.18</v>
      </c>
    </row>
    <row r="3311" spans="1:7" ht="15.6" x14ac:dyDescent="0.3">
      <c r="A3311" s="16">
        <v>45365</v>
      </c>
      <c r="B3311" s="10" t="s">
        <v>23</v>
      </c>
      <c r="C3311" s="10" t="s">
        <v>14</v>
      </c>
      <c r="D3311" s="10" t="s">
        <v>15</v>
      </c>
      <c r="E3311" s="4">
        <v>3</v>
      </c>
      <c r="F3311" s="4">
        <v>2634</v>
      </c>
      <c r="G3311" s="9">
        <v>392.21</v>
      </c>
    </row>
    <row r="3312" spans="1:7" ht="15.6" x14ac:dyDescent="0.3">
      <c r="A3312" s="16">
        <v>45164</v>
      </c>
      <c r="B3312" s="10" t="s">
        <v>23</v>
      </c>
      <c r="C3312" s="10" t="s">
        <v>14</v>
      </c>
      <c r="D3312" s="10" t="s">
        <v>9</v>
      </c>
      <c r="E3312" s="4">
        <v>1</v>
      </c>
      <c r="F3312" s="4">
        <v>1027</v>
      </c>
      <c r="G3312" s="9">
        <v>259.92</v>
      </c>
    </row>
    <row r="3313" spans="1:7" ht="15.6" x14ac:dyDescent="0.3">
      <c r="A3313" s="16">
        <v>45117</v>
      </c>
      <c r="B3313" s="10" t="s">
        <v>7</v>
      </c>
      <c r="C3313" s="10" t="s">
        <v>8</v>
      </c>
      <c r="D3313" s="10" t="s">
        <v>16</v>
      </c>
      <c r="E3313" s="4">
        <v>5</v>
      </c>
      <c r="F3313" s="4">
        <v>3100</v>
      </c>
      <c r="G3313" s="9">
        <v>911.86</v>
      </c>
    </row>
    <row r="3314" spans="1:7" ht="15.6" x14ac:dyDescent="0.3">
      <c r="A3314" s="16">
        <v>44638</v>
      </c>
      <c r="B3314" s="10" t="s">
        <v>10</v>
      </c>
      <c r="C3314" s="10" t="s">
        <v>11</v>
      </c>
      <c r="D3314" s="10" t="s">
        <v>16</v>
      </c>
      <c r="E3314" s="4">
        <v>1</v>
      </c>
      <c r="F3314" s="4">
        <v>104</v>
      </c>
      <c r="G3314" s="9">
        <v>29.67</v>
      </c>
    </row>
    <row r="3315" spans="1:7" ht="15.6" x14ac:dyDescent="0.3">
      <c r="A3315" s="16">
        <v>45461</v>
      </c>
      <c r="B3315" s="10" t="s">
        <v>10</v>
      </c>
      <c r="C3315" s="10" t="s">
        <v>11</v>
      </c>
      <c r="D3315" s="10" t="s">
        <v>12</v>
      </c>
      <c r="E3315" s="4">
        <v>2</v>
      </c>
      <c r="F3315" s="4">
        <v>1590</v>
      </c>
      <c r="G3315" s="9">
        <v>147.19999999999999</v>
      </c>
    </row>
    <row r="3316" spans="1:7" ht="15.6" x14ac:dyDescent="0.3">
      <c r="A3316" s="16">
        <v>45524</v>
      </c>
      <c r="B3316" s="10" t="s">
        <v>17</v>
      </c>
      <c r="C3316" s="10" t="s">
        <v>14</v>
      </c>
      <c r="D3316" s="10" t="s">
        <v>15</v>
      </c>
      <c r="E3316" s="4">
        <v>4</v>
      </c>
      <c r="F3316" s="4">
        <v>1104</v>
      </c>
      <c r="G3316" s="9">
        <v>63.57</v>
      </c>
    </row>
    <row r="3317" spans="1:7" ht="15.6" x14ac:dyDescent="0.3">
      <c r="A3317" s="16">
        <v>45553</v>
      </c>
      <c r="B3317" s="10" t="s">
        <v>21</v>
      </c>
      <c r="C3317" s="10" t="s">
        <v>14</v>
      </c>
      <c r="D3317" s="10" t="s">
        <v>15</v>
      </c>
      <c r="E3317" s="4">
        <v>3</v>
      </c>
      <c r="F3317" s="4">
        <v>1851</v>
      </c>
      <c r="G3317" s="9">
        <v>198.71</v>
      </c>
    </row>
    <row r="3318" spans="1:7" ht="15.6" x14ac:dyDescent="0.3">
      <c r="A3318" s="16">
        <v>45602</v>
      </c>
      <c r="B3318" s="10" t="s">
        <v>21</v>
      </c>
      <c r="C3318" s="10" t="s">
        <v>14</v>
      </c>
      <c r="D3318" s="10" t="s">
        <v>15</v>
      </c>
      <c r="E3318" s="4">
        <v>2</v>
      </c>
      <c r="F3318" s="4">
        <v>1408</v>
      </c>
      <c r="G3318" s="9">
        <v>193.09</v>
      </c>
    </row>
    <row r="3319" spans="1:7" ht="15.6" x14ac:dyDescent="0.3">
      <c r="A3319" s="16">
        <v>44705</v>
      </c>
      <c r="B3319" s="10" t="s">
        <v>23</v>
      </c>
      <c r="C3319" s="10" t="s">
        <v>14</v>
      </c>
      <c r="D3319" s="10" t="s">
        <v>15</v>
      </c>
      <c r="E3319" s="4">
        <v>7</v>
      </c>
      <c r="F3319" s="4">
        <v>4641</v>
      </c>
      <c r="G3319" s="9">
        <v>1341.98</v>
      </c>
    </row>
    <row r="3320" spans="1:7" ht="15.6" x14ac:dyDescent="0.3">
      <c r="A3320" s="16">
        <v>44835</v>
      </c>
      <c r="B3320" s="10" t="s">
        <v>13</v>
      </c>
      <c r="C3320" s="10" t="s">
        <v>14</v>
      </c>
      <c r="D3320" s="10" t="s">
        <v>16</v>
      </c>
      <c r="E3320" s="4">
        <v>7</v>
      </c>
      <c r="F3320" s="4">
        <v>2611</v>
      </c>
      <c r="G3320" s="9">
        <v>539.37</v>
      </c>
    </row>
    <row r="3321" spans="1:7" ht="15.6" x14ac:dyDescent="0.3">
      <c r="A3321" s="16">
        <v>45265</v>
      </c>
      <c r="B3321" s="10" t="s">
        <v>23</v>
      </c>
      <c r="C3321" s="10" t="s">
        <v>14</v>
      </c>
      <c r="D3321" s="10" t="s">
        <v>9</v>
      </c>
      <c r="E3321" s="4">
        <v>4</v>
      </c>
      <c r="F3321" s="4">
        <v>3824</v>
      </c>
      <c r="G3321" s="9">
        <v>711.92</v>
      </c>
    </row>
    <row r="3322" spans="1:7" ht="15.6" x14ac:dyDescent="0.3">
      <c r="A3322" s="16">
        <v>44993</v>
      </c>
      <c r="B3322" s="10" t="s">
        <v>21</v>
      </c>
      <c r="C3322" s="10" t="s">
        <v>14</v>
      </c>
      <c r="D3322" s="10" t="s">
        <v>12</v>
      </c>
      <c r="E3322" s="4">
        <v>2</v>
      </c>
      <c r="F3322" s="4">
        <v>2042</v>
      </c>
      <c r="G3322" s="9">
        <v>501.34</v>
      </c>
    </row>
    <row r="3323" spans="1:7" ht="15.6" x14ac:dyDescent="0.3">
      <c r="A3323" s="16">
        <v>45137</v>
      </c>
      <c r="B3323" s="10" t="s">
        <v>13</v>
      </c>
      <c r="C3323" s="10" t="s">
        <v>14</v>
      </c>
      <c r="D3323" s="10" t="s">
        <v>9</v>
      </c>
      <c r="E3323" s="4">
        <v>6</v>
      </c>
      <c r="F3323" s="4">
        <v>6378</v>
      </c>
      <c r="G3323" s="9">
        <v>1408.28</v>
      </c>
    </row>
    <row r="3324" spans="1:7" ht="15.6" x14ac:dyDescent="0.3">
      <c r="A3324" s="16">
        <v>44999</v>
      </c>
      <c r="B3324" s="10" t="s">
        <v>17</v>
      </c>
      <c r="C3324" s="10" t="s">
        <v>14</v>
      </c>
      <c r="D3324" s="10" t="s">
        <v>12</v>
      </c>
      <c r="E3324" s="4">
        <v>4</v>
      </c>
      <c r="F3324" s="4">
        <v>4692</v>
      </c>
      <c r="G3324" s="9">
        <v>409.07</v>
      </c>
    </row>
    <row r="3325" spans="1:7" ht="15.6" x14ac:dyDescent="0.3">
      <c r="A3325" s="16">
        <v>45473</v>
      </c>
      <c r="B3325" s="10" t="s">
        <v>23</v>
      </c>
      <c r="C3325" s="10" t="s">
        <v>14</v>
      </c>
      <c r="D3325" s="10" t="s">
        <v>16</v>
      </c>
      <c r="E3325" s="4">
        <v>6</v>
      </c>
      <c r="F3325" s="4">
        <v>6234</v>
      </c>
      <c r="G3325" s="9">
        <v>1829.07</v>
      </c>
    </row>
    <row r="3326" spans="1:7" ht="15.6" x14ac:dyDescent="0.3">
      <c r="A3326" s="16">
        <v>45560</v>
      </c>
      <c r="B3326" s="10" t="s">
        <v>21</v>
      </c>
      <c r="C3326" s="10" t="s">
        <v>14</v>
      </c>
      <c r="D3326" s="10" t="s">
        <v>16</v>
      </c>
      <c r="E3326" s="4">
        <v>4</v>
      </c>
      <c r="F3326" s="4">
        <v>1852</v>
      </c>
      <c r="G3326" s="9">
        <v>535.07000000000005</v>
      </c>
    </row>
    <row r="3327" spans="1:7" ht="15.6" x14ac:dyDescent="0.3">
      <c r="A3327" s="16">
        <v>44597</v>
      </c>
      <c r="B3327" s="10" t="s">
        <v>20</v>
      </c>
      <c r="C3327" s="10" t="s">
        <v>11</v>
      </c>
      <c r="D3327" s="10" t="s">
        <v>15</v>
      </c>
      <c r="E3327" s="4">
        <v>3</v>
      </c>
      <c r="F3327" s="4">
        <v>3075</v>
      </c>
      <c r="G3327" s="9">
        <v>804.06</v>
      </c>
    </row>
    <row r="3328" spans="1:7" ht="15.6" x14ac:dyDescent="0.3">
      <c r="A3328" s="16">
        <v>45223</v>
      </c>
      <c r="B3328" s="10" t="s">
        <v>7</v>
      </c>
      <c r="C3328" s="10" t="s">
        <v>8</v>
      </c>
      <c r="D3328" s="10" t="s">
        <v>9</v>
      </c>
      <c r="E3328" s="4">
        <v>5</v>
      </c>
      <c r="F3328" s="4">
        <v>370</v>
      </c>
      <c r="G3328" s="9">
        <v>92.45</v>
      </c>
    </row>
    <row r="3329" spans="1:7" ht="15.6" x14ac:dyDescent="0.3">
      <c r="A3329" s="16">
        <v>45637</v>
      </c>
      <c r="B3329" s="10" t="s">
        <v>22</v>
      </c>
      <c r="C3329" s="10" t="s">
        <v>11</v>
      </c>
      <c r="D3329" s="10" t="s">
        <v>9</v>
      </c>
      <c r="E3329" s="4">
        <v>6</v>
      </c>
      <c r="F3329" s="4">
        <v>624</v>
      </c>
      <c r="G3329" s="9">
        <v>66.989999999999995</v>
      </c>
    </row>
    <row r="3330" spans="1:7" ht="15.6" x14ac:dyDescent="0.3">
      <c r="A3330" s="16">
        <v>45120</v>
      </c>
      <c r="B3330" s="10" t="s">
        <v>19</v>
      </c>
      <c r="C3330" s="10" t="s">
        <v>14</v>
      </c>
      <c r="D3330" s="10" t="s">
        <v>15</v>
      </c>
      <c r="E3330" s="4">
        <v>2</v>
      </c>
      <c r="F3330" s="4">
        <v>1734</v>
      </c>
      <c r="G3330" s="9">
        <v>310.76</v>
      </c>
    </row>
    <row r="3331" spans="1:7" ht="15.6" x14ac:dyDescent="0.3">
      <c r="A3331" s="16">
        <v>45051</v>
      </c>
      <c r="B3331" s="10" t="s">
        <v>7</v>
      </c>
      <c r="C3331" s="10" t="s">
        <v>8</v>
      </c>
      <c r="D3331" s="10" t="s">
        <v>16</v>
      </c>
      <c r="E3331" s="4">
        <v>9</v>
      </c>
      <c r="F3331" s="4">
        <v>2268</v>
      </c>
      <c r="G3331" s="9">
        <v>361.62</v>
      </c>
    </row>
    <row r="3332" spans="1:7" ht="15.6" x14ac:dyDescent="0.3">
      <c r="A3332" s="16">
        <v>44804</v>
      </c>
      <c r="B3332" s="10" t="s">
        <v>17</v>
      </c>
      <c r="C3332" s="10" t="s">
        <v>14</v>
      </c>
      <c r="D3332" s="10" t="s">
        <v>12</v>
      </c>
      <c r="E3332" s="4">
        <v>5</v>
      </c>
      <c r="F3332" s="4">
        <v>3670</v>
      </c>
      <c r="G3332" s="9">
        <v>924.95</v>
      </c>
    </row>
    <row r="3333" spans="1:7" ht="15.6" x14ac:dyDescent="0.3">
      <c r="A3333" s="16">
        <v>45520</v>
      </c>
      <c r="B3333" s="10" t="s">
        <v>19</v>
      </c>
      <c r="C3333" s="10" t="s">
        <v>14</v>
      </c>
      <c r="D3333" s="10" t="s">
        <v>9</v>
      </c>
      <c r="E3333" s="4">
        <v>7</v>
      </c>
      <c r="F3333" s="4">
        <v>4634</v>
      </c>
      <c r="G3333" s="9">
        <v>1358.44</v>
      </c>
    </row>
    <row r="3334" spans="1:7" ht="15.6" x14ac:dyDescent="0.3">
      <c r="A3334" s="16">
        <v>45311</v>
      </c>
      <c r="B3334" s="10" t="s">
        <v>18</v>
      </c>
      <c r="C3334" s="10" t="s">
        <v>11</v>
      </c>
      <c r="D3334" s="10" t="s">
        <v>9</v>
      </c>
      <c r="E3334" s="4">
        <v>9</v>
      </c>
      <c r="F3334" s="4">
        <v>1440</v>
      </c>
      <c r="G3334" s="9">
        <v>94.41</v>
      </c>
    </row>
    <row r="3335" spans="1:7" ht="15.6" x14ac:dyDescent="0.3">
      <c r="A3335" s="16">
        <v>45027</v>
      </c>
      <c r="B3335" s="10" t="s">
        <v>23</v>
      </c>
      <c r="C3335" s="10" t="s">
        <v>14</v>
      </c>
      <c r="D3335" s="10" t="s">
        <v>16</v>
      </c>
      <c r="E3335" s="4">
        <v>6</v>
      </c>
      <c r="F3335" s="4">
        <v>5136</v>
      </c>
      <c r="G3335" s="9">
        <v>1225.4000000000001</v>
      </c>
    </row>
    <row r="3336" spans="1:7" ht="15.6" x14ac:dyDescent="0.3">
      <c r="A3336" s="16">
        <v>45555</v>
      </c>
      <c r="B3336" s="10" t="s">
        <v>21</v>
      </c>
      <c r="C3336" s="10" t="s">
        <v>14</v>
      </c>
      <c r="D3336" s="10" t="s">
        <v>12</v>
      </c>
      <c r="E3336" s="4">
        <v>1</v>
      </c>
      <c r="F3336" s="4">
        <v>166</v>
      </c>
      <c r="G3336" s="9">
        <v>31.72</v>
      </c>
    </row>
    <row r="3337" spans="1:7" ht="15.6" x14ac:dyDescent="0.3">
      <c r="A3337" s="16">
        <v>44595</v>
      </c>
      <c r="B3337" s="10" t="s">
        <v>22</v>
      </c>
      <c r="C3337" s="10" t="s">
        <v>11</v>
      </c>
      <c r="D3337" s="10" t="s">
        <v>12</v>
      </c>
      <c r="E3337" s="4">
        <v>3</v>
      </c>
      <c r="F3337" s="4">
        <v>1422</v>
      </c>
      <c r="G3337" s="9">
        <v>328.98</v>
      </c>
    </row>
    <row r="3338" spans="1:7" ht="15.6" x14ac:dyDescent="0.3">
      <c r="A3338" s="16">
        <v>45180</v>
      </c>
      <c r="B3338" s="10" t="s">
        <v>18</v>
      </c>
      <c r="C3338" s="10" t="s">
        <v>11</v>
      </c>
      <c r="D3338" s="10" t="s">
        <v>12</v>
      </c>
      <c r="E3338" s="4">
        <v>8</v>
      </c>
      <c r="F3338" s="4">
        <v>1832</v>
      </c>
      <c r="G3338" s="9">
        <v>532.97</v>
      </c>
    </row>
    <row r="3339" spans="1:7" ht="15.6" x14ac:dyDescent="0.3">
      <c r="A3339" s="16">
        <v>44863</v>
      </c>
      <c r="B3339" s="10" t="s">
        <v>7</v>
      </c>
      <c r="C3339" s="10" t="s">
        <v>8</v>
      </c>
      <c r="D3339" s="10" t="s">
        <v>15</v>
      </c>
      <c r="E3339" s="4">
        <v>1</v>
      </c>
      <c r="F3339" s="4">
        <v>668</v>
      </c>
      <c r="G3339" s="9">
        <v>94.08</v>
      </c>
    </row>
    <row r="3340" spans="1:7" ht="15.6" x14ac:dyDescent="0.3">
      <c r="A3340" s="16">
        <v>45648</v>
      </c>
      <c r="B3340" s="10" t="s">
        <v>17</v>
      </c>
      <c r="C3340" s="10" t="s">
        <v>14</v>
      </c>
      <c r="D3340" s="10" t="s">
        <v>16</v>
      </c>
      <c r="E3340" s="4">
        <v>6</v>
      </c>
      <c r="F3340" s="4">
        <v>1272</v>
      </c>
      <c r="G3340" s="9">
        <v>336.3</v>
      </c>
    </row>
    <row r="3341" spans="1:7" ht="15.6" x14ac:dyDescent="0.3">
      <c r="A3341" s="16">
        <v>45103</v>
      </c>
      <c r="B3341" s="10" t="s">
        <v>22</v>
      </c>
      <c r="C3341" s="10" t="s">
        <v>11</v>
      </c>
      <c r="D3341" s="10" t="s">
        <v>9</v>
      </c>
      <c r="E3341" s="4">
        <v>8</v>
      </c>
      <c r="F3341" s="4">
        <v>984</v>
      </c>
      <c r="G3341" s="9">
        <v>72.540000000000006</v>
      </c>
    </row>
    <row r="3342" spans="1:7" ht="15.6" x14ac:dyDescent="0.3">
      <c r="A3342" s="16">
        <v>45498</v>
      </c>
      <c r="B3342" s="10" t="s">
        <v>7</v>
      </c>
      <c r="C3342" s="10" t="s">
        <v>8</v>
      </c>
      <c r="D3342" s="10" t="s">
        <v>15</v>
      </c>
      <c r="E3342" s="4">
        <v>7</v>
      </c>
      <c r="F3342" s="4">
        <v>7896</v>
      </c>
      <c r="G3342" s="9">
        <v>484.76</v>
      </c>
    </row>
    <row r="3343" spans="1:7" ht="15.6" x14ac:dyDescent="0.3">
      <c r="A3343" s="16">
        <v>44877</v>
      </c>
      <c r="B3343" s="10" t="s">
        <v>21</v>
      </c>
      <c r="C3343" s="10" t="s">
        <v>14</v>
      </c>
      <c r="D3343" s="10" t="s">
        <v>9</v>
      </c>
      <c r="E3343" s="4">
        <v>1</v>
      </c>
      <c r="F3343" s="4">
        <v>636</v>
      </c>
      <c r="G3343" s="9">
        <v>42.4</v>
      </c>
    </row>
    <row r="3344" spans="1:7" ht="15.6" x14ac:dyDescent="0.3">
      <c r="A3344" s="16">
        <v>45143</v>
      </c>
      <c r="B3344" s="10" t="s">
        <v>23</v>
      </c>
      <c r="C3344" s="10" t="s">
        <v>14</v>
      </c>
      <c r="D3344" s="10" t="s">
        <v>9</v>
      </c>
      <c r="E3344" s="4">
        <v>3</v>
      </c>
      <c r="F3344" s="4">
        <v>2031</v>
      </c>
      <c r="G3344" s="9">
        <v>450.23</v>
      </c>
    </row>
    <row r="3345" spans="1:7" ht="15.6" x14ac:dyDescent="0.3">
      <c r="A3345" s="16">
        <v>44615</v>
      </c>
      <c r="B3345" s="10" t="s">
        <v>10</v>
      </c>
      <c r="C3345" s="10" t="s">
        <v>11</v>
      </c>
      <c r="D3345" s="10" t="s">
        <v>16</v>
      </c>
      <c r="E3345" s="4">
        <v>9</v>
      </c>
      <c r="F3345" s="4">
        <v>3186</v>
      </c>
      <c r="G3345" s="9">
        <v>483.22</v>
      </c>
    </row>
    <row r="3346" spans="1:7" ht="15.6" x14ac:dyDescent="0.3">
      <c r="A3346" s="16">
        <v>44687</v>
      </c>
      <c r="B3346" s="10" t="s">
        <v>18</v>
      </c>
      <c r="C3346" s="10" t="s">
        <v>11</v>
      </c>
      <c r="D3346" s="10" t="s">
        <v>15</v>
      </c>
      <c r="E3346" s="4">
        <v>1</v>
      </c>
      <c r="F3346" s="4">
        <v>134</v>
      </c>
      <c r="G3346" s="9">
        <v>33.119999999999997</v>
      </c>
    </row>
    <row r="3347" spans="1:7" ht="15.6" x14ac:dyDescent="0.3">
      <c r="A3347" s="16">
        <v>45409</v>
      </c>
      <c r="B3347" s="10" t="s">
        <v>13</v>
      </c>
      <c r="C3347" s="10" t="s">
        <v>14</v>
      </c>
      <c r="D3347" s="10" t="s">
        <v>15</v>
      </c>
      <c r="E3347" s="4">
        <v>5</v>
      </c>
      <c r="F3347" s="4">
        <v>1765</v>
      </c>
      <c r="G3347" s="9">
        <v>347.42</v>
      </c>
    </row>
    <row r="3348" spans="1:7" ht="15.6" x14ac:dyDescent="0.3">
      <c r="A3348" s="16">
        <v>45135</v>
      </c>
      <c r="B3348" s="10" t="s">
        <v>22</v>
      </c>
      <c r="C3348" s="10" t="s">
        <v>11</v>
      </c>
      <c r="D3348" s="10" t="s">
        <v>12</v>
      </c>
      <c r="E3348" s="4">
        <v>4</v>
      </c>
      <c r="F3348" s="4">
        <v>3628</v>
      </c>
      <c r="G3348" s="9">
        <v>717.81</v>
      </c>
    </row>
    <row r="3349" spans="1:7" ht="15.6" x14ac:dyDescent="0.3">
      <c r="A3349" s="16">
        <v>45632</v>
      </c>
      <c r="B3349" s="10" t="s">
        <v>20</v>
      </c>
      <c r="C3349" s="10" t="s">
        <v>11</v>
      </c>
      <c r="D3349" s="10" t="s">
        <v>16</v>
      </c>
      <c r="E3349" s="4">
        <v>4</v>
      </c>
      <c r="F3349" s="4">
        <v>1000</v>
      </c>
      <c r="G3349" s="9">
        <v>198.92</v>
      </c>
    </row>
    <row r="3350" spans="1:7" ht="15.6" x14ac:dyDescent="0.3">
      <c r="A3350" s="16">
        <v>44993</v>
      </c>
      <c r="B3350" s="10" t="s">
        <v>17</v>
      </c>
      <c r="C3350" s="10" t="s">
        <v>14</v>
      </c>
      <c r="D3350" s="10" t="s">
        <v>9</v>
      </c>
      <c r="E3350" s="4">
        <v>2</v>
      </c>
      <c r="F3350" s="4">
        <v>2134</v>
      </c>
      <c r="G3350" s="9">
        <v>119.89</v>
      </c>
    </row>
    <row r="3351" spans="1:7" ht="15.6" x14ac:dyDescent="0.3">
      <c r="A3351" s="16">
        <v>45071</v>
      </c>
      <c r="B3351" s="10" t="s">
        <v>19</v>
      </c>
      <c r="C3351" s="10" t="s">
        <v>14</v>
      </c>
      <c r="D3351" s="10" t="s">
        <v>9</v>
      </c>
      <c r="E3351" s="4">
        <v>7</v>
      </c>
      <c r="F3351" s="4">
        <v>6706</v>
      </c>
      <c r="G3351" s="9">
        <v>1687.22</v>
      </c>
    </row>
    <row r="3352" spans="1:7" ht="15.6" x14ac:dyDescent="0.3">
      <c r="A3352" s="16">
        <v>45599</v>
      </c>
      <c r="B3352" s="10" t="s">
        <v>23</v>
      </c>
      <c r="C3352" s="10" t="s">
        <v>14</v>
      </c>
      <c r="D3352" s="10" t="s">
        <v>12</v>
      </c>
      <c r="E3352" s="4">
        <v>3</v>
      </c>
      <c r="F3352" s="4">
        <v>321</v>
      </c>
      <c r="G3352" s="9">
        <v>72.13</v>
      </c>
    </row>
    <row r="3353" spans="1:7" ht="15.6" x14ac:dyDescent="0.3">
      <c r="A3353" s="16">
        <v>44976</v>
      </c>
      <c r="B3353" s="10" t="s">
        <v>17</v>
      </c>
      <c r="C3353" s="10" t="s">
        <v>14</v>
      </c>
      <c r="D3353" s="10" t="s">
        <v>15</v>
      </c>
      <c r="E3353" s="4">
        <v>3</v>
      </c>
      <c r="F3353" s="4">
        <v>3126</v>
      </c>
      <c r="G3353" s="9">
        <v>710.14</v>
      </c>
    </row>
    <row r="3354" spans="1:7" ht="15.6" x14ac:dyDescent="0.3">
      <c r="A3354" s="16">
        <v>45235</v>
      </c>
      <c r="B3354" s="10" t="s">
        <v>20</v>
      </c>
      <c r="C3354" s="10" t="s">
        <v>11</v>
      </c>
      <c r="D3354" s="10" t="s">
        <v>15</v>
      </c>
      <c r="E3354" s="4">
        <v>7</v>
      </c>
      <c r="F3354" s="4">
        <v>5446</v>
      </c>
      <c r="G3354" s="9">
        <v>697.21</v>
      </c>
    </row>
    <row r="3355" spans="1:7" ht="15.6" x14ac:dyDescent="0.3">
      <c r="A3355" s="16">
        <v>45048</v>
      </c>
      <c r="B3355" s="10" t="s">
        <v>13</v>
      </c>
      <c r="C3355" s="10" t="s">
        <v>14</v>
      </c>
      <c r="D3355" s="10" t="s">
        <v>12</v>
      </c>
      <c r="E3355" s="4">
        <v>1</v>
      </c>
      <c r="F3355" s="4">
        <v>1131</v>
      </c>
      <c r="G3355" s="9">
        <v>140.55000000000001</v>
      </c>
    </row>
    <row r="3356" spans="1:7" ht="15.6" x14ac:dyDescent="0.3">
      <c r="A3356" s="16">
        <v>45131</v>
      </c>
      <c r="B3356" s="10" t="s">
        <v>7</v>
      </c>
      <c r="C3356" s="10" t="s">
        <v>8</v>
      </c>
      <c r="D3356" s="10" t="s">
        <v>12</v>
      </c>
      <c r="E3356" s="4">
        <v>2</v>
      </c>
      <c r="F3356" s="4">
        <v>1946</v>
      </c>
      <c r="G3356" s="9">
        <v>141.75</v>
      </c>
    </row>
    <row r="3357" spans="1:7" ht="15.6" x14ac:dyDescent="0.3">
      <c r="A3357" s="16">
        <v>45185</v>
      </c>
      <c r="B3357" s="10" t="s">
        <v>23</v>
      </c>
      <c r="C3357" s="10" t="s">
        <v>14</v>
      </c>
      <c r="D3357" s="10" t="s">
        <v>9</v>
      </c>
      <c r="E3357" s="4">
        <v>7</v>
      </c>
      <c r="F3357" s="4">
        <v>6818</v>
      </c>
      <c r="G3357" s="9">
        <v>1348.26</v>
      </c>
    </row>
    <row r="3358" spans="1:7" ht="15.6" x14ac:dyDescent="0.3">
      <c r="A3358" s="16">
        <v>45014</v>
      </c>
      <c r="B3358" s="10" t="s">
        <v>21</v>
      </c>
      <c r="C3358" s="10" t="s">
        <v>14</v>
      </c>
      <c r="D3358" s="10" t="s">
        <v>12</v>
      </c>
      <c r="E3358" s="4">
        <v>7</v>
      </c>
      <c r="F3358" s="4">
        <v>2317</v>
      </c>
      <c r="G3358" s="9">
        <v>677.61</v>
      </c>
    </row>
    <row r="3359" spans="1:7" ht="15.6" x14ac:dyDescent="0.3">
      <c r="A3359" s="16">
        <v>44953</v>
      </c>
      <c r="B3359" s="10" t="s">
        <v>19</v>
      </c>
      <c r="C3359" s="10" t="s">
        <v>14</v>
      </c>
      <c r="D3359" s="10" t="s">
        <v>12</v>
      </c>
      <c r="E3359" s="4">
        <v>6</v>
      </c>
      <c r="F3359" s="4">
        <v>396</v>
      </c>
      <c r="G3359" s="9">
        <v>89.51</v>
      </c>
    </row>
    <row r="3360" spans="1:7" ht="15.6" x14ac:dyDescent="0.3">
      <c r="A3360" s="16">
        <v>45246</v>
      </c>
      <c r="B3360" s="10" t="s">
        <v>21</v>
      </c>
      <c r="C3360" s="10" t="s">
        <v>14</v>
      </c>
      <c r="D3360" s="10" t="s">
        <v>15</v>
      </c>
      <c r="E3360" s="4">
        <v>1</v>
      </c>
      <c r="F3360" s="4">
        <v>558</v>
      </c>
      <c r="G3360" s="9">
        <v>49.81</v>
      </c>
    </row>
    <row r="3361" spans="1:7" ht="15.6" x14ac:dyDescent="0.3">
      <c r="A3361" s="16">
        <v>45006</v>
      </c>
      <c r="B3361" s="10" t="s">
        <v>21</v>
      </c>
      <c r="C3361" s="10" t="s">
        <v>14</v>
      </c>
      <c r="D3361" s="10" t="s">
        <v>12</v>
      </c>
      <c r="E3361" s="4">
        <v>9</v>
      </c>
      <c r="F3361" s="4">
        <v>2034</v>
      </c>
      <c r="G3361" s="9">
        <v>593.13</v>
      </c>
    </row>
    <row r="3362" spans="1:7" ht="15.6" x14ac:dyDescent="0.3">
      <c r="A3362" s="16">
        <v>44713</v>
      </c>
      <c r="B3362" s="10" t="s">
        <v>10</v>
      </c>
      <c r="C3362" s="10" t="s">
        <v>11</v>
      </c>
      <c r="D3362" s="10" t="s">
        <v>16</v>
      </c>
      <c r="E3362" s="4">
        <v>8</v>
      </c>
      <c r="F3362" s="4">
        <v>6080</v>
      </c>
      <c r="G3362" s="9">
        <v>1171.93</v>
      </c>
    </row>
    <row r="3363" spans="1:7" ht="15.6" x14ac:dyDescent="0.3">
      <c r="A3363" s="16">
        <v>44961</v>
      </c>
      <c r="B3363" s="10" t="s">
        <v>19</v>
      </c>
      <c r="C3363" s="10" t="s">
        <v>14</v>
      </c>
      <c r="D3363" s="10" t="s">
        <v>12</v>
      </c>
      <c r="E3363" s="4">
        <v>2</v>
      </c>
      <c r="F3363" s="4">
        <v>1378</v>
      </c>
      <c r="G3363" s="9">
        <v>183.1</v>
      </c>
    </row>
    <row r="3364" spans="1:7" ht="15.6" x14ac:dyDescent="0.3">
      <c r="A3364" s="16">
        <v>45355</v>
      </c>
      <c r="B3364" s="10" t="s">
        <v>20</v>
      </c>
      <c r="C3364" s="10" t="s">
        <v>11</v>
      </c>
      <c r="D3364" s="10" t="s">
        <v>12</v>
      </c>
      <c r="E3364" s="4">
        <v>3</v>
      </c>
      <c r="F3364" s="4">
        <v>483</v>
      </c>
      <c r="G3364" s="9">
        <v>120.11</v>
      </c>
    </row>
    <row r="3365" spans="1:7" ht="15.6" x14ac:dyDescent="0.3">
      <c r="A3365" s="16">
        <v>44853</v>
      </c>
      <c r="B3365" s="10" t="s">
        <v>22</v>
      </c>
      <c r="C3365" s="10" t="s">
        <v>11</v>
      </c>
      <c r="D3365" s="10" t="s">
        <v>15</v>
      </c>
      <c r="E3365" s="4">
        <v>8</v>
      </c>
      <c r="F3365" s="4">
        <v>7864</v>
      </c>
      <c r="G3365" s="9">
        <v>1615.58</v>
      </c>
    </row>
    <row r="3366" spans="1:7" ht="15.6" x14ac:dyDescent="0.3">
      <c r="A3366" s="16">
        <v>44588</v>
      </c>
      <c r="B3366" s="10" t="s">
        <v>7</v>
      </c>
      <c r="C3366" s="10" t="s">
        <v>8</v>
      </c>
      <c r="D3366" s="10" t="s">
        <v>9</v>
      </c>
      <c r="E3366" s="4">
        <v>2</v>
      </c>
      <c r="F3366" s="4">
        <v>1268</v>
      </c>
      <c r="G3366" s="9">
        <v>141.76</v>
      </c>
    </row>
    <row r="3367" spans="1:7" ht="15.6" x14ac:dyDescent="0.3">
      <c r="A3367" s="16">
        <v>44840</v>
      </c>
      <c r="B3367" s="10" t="s">
        <v>7</v>
      </c>
      <c r="C3367" s="10" t="s">
        <v>8</v>
      </c>
      <c r="D3367" s="10" t="s">
        <v>16</v>
      </c>
      <c r="E3367" s="4">
        <v>6</v>
      </c>
      <c r="F3367" s="4">
        <v>3774</v>
      </c>
      <c r="G3367" s="9">
        <v>606.94000000000005</v>
      </c>
    </row>
    <row r="3368" spans="1:7" ht="15.6" x14ac:dyDescent="0.3">
      <c r="A3368" s="16">
        <v>45185</v>
      </c>
      <c r="B3368" s="10" t="s">
        <v>19</v>
      </c>
      <c r="C3368" s="10" t="s">
        <v>14</v>
      </c>
      <c r="D3368" s="10" t="s">
        <v>12</v>
      </c>
      <c r="E3368" s="4">
        <v>9</v>
      </c>
      <c r="F3368" s="4">
        <v>9090</v>
      </c>
      <c r="G3368" s="9">
        <v>727.64</v>
      </c>
    </row>
    <row r="3369" spans="1:7" ht="15.6" x14ac:dyDescent="0.3">
      <c r="A3369" s="16">
        <v>45301</v>
      </c>
      <c r="B3369" s="10" t="s">
        <v>17</v>
      </c>
      <c r="C3369" s="10" t="s">
        <v>14</v>
      </c>
      <c r="D3369" s="10" t="s">
        <v>9</v>
      </c>
      <c r="E3369" s="4">
        <v>5</v>
      </c>
      <c r="F3369" s="4">
        <v>3720</v>
      </c>
      <c r="G3369" s="9">
        <v>1077.21</v>
      </c>
    </row>
    <row r="3370" spans="1:7" ht="15.6" x14ac:dyDescent="0.3">
      <c r="A3370" s="16">
        <v>44744</v>
      </c>
      <c r="B3370" s="10" t="s">
        <v>21</v>
      </c>
      <c r="C3370" s="10" t="s">
        <v>14</v>
      </c>
      <c r="D3370" s="10" t="s">
        <v>12</v>
      </c>
      <c r="E3370" s="4">
        <v>8</v>
      </c>
      <c r="F3370" s="4">
        <v>8896</v>
      </c>
      <c r="G3370" s="9">
        <v>1825.26</v>
      </c>
    </row>
    <row r="3371" spans="1:7" ht="15.6" x14ac:dyDescent="0.3">
      <c r="A3371" s="16">
        <v>45566</v>
      </c>
      <c r="B3371" s="10" t="s">
        <v>10</v>
      </c>
      <c r="C3371" s="10" t="s">
        <v>11</v>
      </c>
      <c r="D3371" s="10" t="s">
        <v>15</v>
      </c>
      <c r="E3371" s="4">
        <v>4</v>
      </c>
      <c r="F3371" s="4">
        <v>3264</v>
      </c>
      <c r="G3371" s="9">
        <v>639.79999999999995</v>
      </c>
    </row>
    <row r="3372" spans="1:7" ht="15.6" x14ac:dyDescent="0.3">
      <c r="A3372" s="16">
        <v>44989</v>
      </c>
      <c r="B3372" s="10" t="s">
        <v>7</v>
      </c>
      <c r="C3372" s="10" t="s">
        <v>8</v>
      </c>
      <c r="D3372" s="10" t="s">
        <v>16</v>
      </c>
      <c r="E3372" s="4">
        <v>2</v>
      </c>
      <c r="F3372" s="4">
        <v>146</v>
      </c>
      <c r="G3372" s="9">
        <v>15.48</v>
      </c>
    </row>
    <row r="3373" spans="1:7" ht="15.6" x14ac:dyDescent="0.3">
      <c r="A3373" s="16">
        <v>45438</v>
      </c>
      <c r="B3373" s="10" t="s">
        <v>18</v>
      </c>
      <c r="C3373" s="10" t="s">
        <v>11</v>
      </c>
      <c r="D3373" s="10" t="s">
        <v>12</v>
      </c>
      <c r="E3373" s="4">
        <v>3</v>
      </c>
      <c r="F3373" s="4">
        <v>1683</v>
      </c>
      <c r="G3373" s="9">
        <v>129.63999999999999</v>
      </c>
    </row>
    <row r="3374" spans="1:7" ht="15.6" x14ac:dyDescent="0.3">
      <c r="A3374" s="16">
        <v>44571</v>
      </c>
      <c r="B3374" s="10" t="s">
        <v>17</v>
      </c>
      <c r="C3374" s="10" t="s">
        <v>14</v>
      </c>
      <c r="D3374" s="10" t="s">
        <v>16</v>
      </c>
      <c r="E3374" s="4">
        <v>7</v>
      </c>
      <c r="F3374" s="4">
        <v>6076</v>
      </c>
      <c r="G3374" s="9">
        <v>788.14</v>
      </c>
    </row>
    <row r="3375" spans="1:7" ht="15.6" x14ac:dyDescent="0.3">
      <c r="A3375" s="16">
        <v>45126</v>
      </c>
      <c r="B3375" s="10" t="s">
        <v>19</v>
      </c>
      <c r="C3375" s="10" t="s">
        <v>14</v>
      </c>
      <c r="D3375" s="10" t="s">
        <v>16</v>
      </c>
      <c r="E3375" s="4">
        <v>2</v>
      </c>
      <c r="F3375" s="4">
        <v>2388</v>
      </c>
      <c r="G3375" s="9">
        <v>492.54</v>
      </c>
    </row>
    <row r="3376" spans="1:7" ht="15.6" x14ac:dyDescent="0.3">
      <c r="A3376" s="16">
        <v>45118</v>
      </c>
      <c r="B3376" s="10" t="s">
        <v>21</v>
      </c>
      <c r="C3376" s="10" t="s">
        <v>14</v>
      </c>
      <c r="D3376" s="10" t="s">
        <v>12</v>
      </c>
      <c r="E3376" s="4">
        <v>6</v>
      </c>
      <c r="F3376" s="4">
        <v>882</v>
      </c>
      <c r="G3376" s="9">
        <v>180.63</v>
      </c>
    </row>
    <row r="3377" spans="1:7" ht="15.6" x14ac:dyDescent="0.3">
      <c r="A3377" s="16">
        <v>44717</v>
      </c>
      <c r="B3377" s="10" t="s">
        <v>23</v>
      </c>
      <c r="C3377" s="10" t="s">
        <v>14</v>
      </c>
      <c r="D3377" s="10" t="s">
        <v>16</v>
      </c>
      <c r="E3377" s="4">
        <v>3</v>
      </c>
      <c r="F3377" s="4">
        <v>3561</v>
      </c>
      <c r="G3377" s="9">
        <v>206.87</v>
      </c>
    </row>
    <row r="3378" spans="1:7" ht="15.6" x14ac:dyDescent="0.3">
      <c r="A3378" s="16">
        <v>45585</v>
      </c>
      <c r="B3378" s="10" t="s">
        <v>13</v>
      </c>
      <c r="C3378" s="10" t="s">
        <v>14</v>
      </c>
      <c r="D3378" s="10" t="s">
        <v>12</v>
      </c>
      <c r="E3378" s="4">
        <v>7</v>
      </c>
      <c r="F3378" s="4">
        <v>3395</v>
      </c>
      <c r="G3378" s="9">
        <v>350.26</v>
      </c>
    </row>
    <row r="3379" spans="1:7" ht="15.6" x14ac:dyDescent="0.3">
      <c r="A3379" s="16">
        <v>44592</v>
      </c>
      <c r="B3379" s="10" t="s">
        <v>21</v>
      </c>
      <c r="C3379" s="10" t="s">
        <v>14</v>
      </c>
      <c r="D3379" s="10" t="s">
        <v>15</v>
      </c>
      <c r="E3379" s="4">
        <v>6</v>
      </c>
      <c r="F3379" s="4">
        <v>3366</v>
      </c>
      <c r="G3379" s="9">
        <v>460.75</v>
      </c>
    </row>
    <row r="3380" spans="1:7" ht="15.6" x14ac:dyDescent="0.3">
      <c r="A3380" s="16">
        <v>44895</v>
      </c>
      <c r="B3380" s="10" t="s">
        <v>10</v>
      </c>
      <c r="C3380" s="10" t="s">
        <v>11</v>
      </c>
      <c r="D3380" s="10" t="s">
        <v>12</v>
      </c>
      <c r="E3380" s="4">
        <v>2</v>
      </c>
      <c r="F3380" s="4">
        <v>630</v>
      </c>
      <c r="G3380" s="9">
        <v>144.13999999999999</v>
      </c>
    </row>
    <row r="3381" spans="1:7" ht="15.6" x14ac:dyDescent="0.3">
      <c r="A3381" s="16">
        <v>45121</v>
      </c>
      <c r="B3381" s="10" t="s">
        <v>17</v>
      </c>
      <c r="C3381" s="10" t="s">
        <v>14</v>
      </c>
      <c r="D3381" s="10" t="s">
        <v>15</v>
      </c>
      <c r="E3381" s="4">
        <v>1</v>
      </c>
      <c r="F3381" s="4">
        <v>440</v>
      </c>
      <c r="G3381" s="9">
        <v>34.74</v>
      </c>
    </row>
    <row r="3382" spans="1:7" ht="15.6" x14ac:dyDescent="0.3">
      <c r="A3382" s="16">
        <v>45557</v>
      </c>
      <c r="B3382" s="10" t="s">
        <v>19</v>
      </c>
      <c r="C3382" s="10" t="s">
        <v>14</v>
      </c>
      <c r="D3382" s="10" t="s">
        <v>12</v>
      </c>
      <c r="E3382" s="4">
        <v>6</v>
      </c>
      <c r="F3382" s="4">
        <v>6462</v>
      </c>
      <c r="G3382" s="9">
        <v>1466.15</v>
      </c>
    </row>
    <row r="3383" spans="1:7" ht="15.6" x14ac:dyDescent="0.3">
      <c r="A3383" s="16">
        <v>45655</v>
      </c>
      <c r="B3383" s="10" t="s">
        <v>20</v>
      </c>
      <c r="C3383" s="10" t="s">
        <v>11</v>
      </c>
      <c r="D3383" s="10" t="s">
        <v>15</v>
      </c>
      <c r="E3383" s="4">
        <v>6</v>
      </c>
      <c r="F3383" s="4">
        <v>5004</v>
      </c>
      <c r="G3383" s="9">
        <v>1197.3599999999999</v>
      </c>
    </row>
    <row r="3384" spans="1:7" ht="15.6" x14ac:dyDescent="0.3">
      <c r="A3384" s="16">
        <v>44608</v>
      </c>
      <c r="B3384" s="10" t="s">
        <v>23</v>
      </c>
      <c r="C3384" s="10" t="s">
        <v>14</v>
      </c>
      <c r="D3384" s="10" t="s">
        <v>15</v>
      </c>
      <c r="E3384" s="4">
        <v>8</v>
      </c>
      <c r="F3384" s="4">
        <v>1840</v>
      </c>
      <c r="G3384" s="9">
        <v>461.21</v>
      </c>
    </row>
    <row r="3385" spans="1:7" ht="15.6" x14ac:dyDescent="0.3">
      <c r="A3385" s="16">
        <v>44871</v>
      </c>
      <c r="B3385" s="10" t="s">
        <v>13</v>
      </c>
      <c r="C3385" s="10" t="s">
        <v>14</v>
      </c>
      <c r="D3385" s="10" t="s">
        <v>15</v>
      </c>
      <c r="E3385" s="4">
        <v>7</v>
      </c>
      <c r="F3385" s="4">
        <v>4466</v>
      </c>
      <c r="G3385" s="9">
        <v>763.14</v>
      </c>
    </row>
    <row r="3386" spans="1:7" ht="15.6" x14ac:dyDescent="0.3">
      <c r="A3386" s="16">
        <v>44922</v>
      </c>
      <c r="B3386" s="10" t="s">
        <v>13</v>
      </c>
      <c r="C3386" s="10" t="s">
        <v>14</v>
      </c>
      <c r="D3386" s="10" t="s">
        <v>15</v>
      </c>
      <c r="E3386" s="4">
        <v>6</v>
      </c>
      <c r="F3386" s="4">
        <v>3048</v>
      </c>
      <c r="G3386" s="9">
        <v>823.36</v>
      </c>
    </row>
    <row r="3387" spans="1:7" ht="15.6" x14ac:dyDescent="0.3">
      <c r="A3387" s="16">
        <v>45446</v>
      </c>
      <c r="B3387" s="10" t="s">
        <v>10</v>
      </c>
      <c r="C3387" s="10" t="s">
        <v>11</v>
      </c>
      <c r="D3387" s="10" t="s">
        <v>15</v>
      </c>
      <c r="E3387" s="4">
        <v>7</v>
      </c>
      <c r="F3387" s="4">
        <v>4977</v>
      </c>
      <c r="G3387" s="9">
        <v>516.70000000000005</v>
      </c>
    </row>
    <row r="3388" spans="1:7" ht="15.6" x14ac:dyDescent="0.3">
      <c r="A3388" s="16">
        <v>44743</v>
      </c>
      <c r="B3388" s="10" t="s">
        <v>22</v>
      </c>
      <c r="C3388" s="10" t="s">
        <v>11</v>
      </c>
      <c r="D3388" s="10" t="s">
        <v>15</v>
      </c>
      <c r="E3388" s="4">
        <v>3</v>
      </c>
      <c r="F3388" s="4">
        <v>2010</v>
      </c>
      <c r="G3388" s="9">
        <v>387.31</v>
      </c>
    </row>
    <row r="3389" spans="1:7" ht="15.6" x14ac:dyDescent="0.3">
      <c r="A3389" s="16">
        <v>44591</v>
      </c>
      <c r="B3389" s="10" t="s">
        <v>17</v>
      </c>
      <c r="C3389" s="10" t="s">
        <v>14</v>
      </c>
      <c r="D3389" s="10" t="s">
        <v>15</v>
      </c>
      <c r="E3389" s="4">
        <v>8</v>
      </c>
      <c r="F3389" s="4">
        <v>5352</v>
      </c>
      <c r="G3389" s="9">
        <v>1133.57</v>
      </c>
    </row>
    <row r="3390" spans="1:7" ht="15.6" x14ac:dyDescent="0.3">
      <c r="A3390" s="16">
        <v>45298</v>
      </c>
      <c r="B3390" s="10" t="s">
        <v>17</v>
      </c>
      <c r="C3390" s="10" t="s">
        <v>14</v>
      </c>
      <c r="D3390" s="10" t="s">
        <v>9</v>
      </c>
      <c r="E3390" s="4">
        <v>4</v>
      </c>
      <c r="F3390" s="4">
        <v>4136</v>
      </c>
      <c r="G3390" s="9">
        <v>294.20999999999998</v>
      </c>
    </row>
    <row r="3391" spans="1:7" ht="15.6" x14ac:dyDescent="0.3">
      <c r="A3391" s="16">
        <v>44681</v>
      </c>
      <c r="B3391" s="10" t="s">
        <v>17</v>
      </c>
      <c r="C3391" s="10" t="s">
        <v>14</v>
      </c>
      <c r="D3391" s="10" t="s">
        <v>16</v>
      </c>
      <c r="E3391" s="4">
        <v>8</v>
      </c>
      <c r="F3391" s="4">
        <v>6336</v>
      </c>
      <c r="G3391" s="9">
        <v>439.42</v>
      </c>
    </row>
    <row r="3392" spans="1:7" ht="15.6" x14ac:dyDescent="0.3">
      <c r="A3392" s="16">
        <v>45258</v>
      </c>
      <c r="B3392" s="10" t="s">
        <v>23</v>
      </c>
      <c r="C3392" s="10" t="s">
        <v>14</v>
      </c>
      <c r="D3392" s="10" t="s">
        <v>12</v>
      </c>
      <c r="E3392" s="4">
        <v>9</v>
      </c>
      <c r="F3392" s="4">
        <v>5481</v>
      </c>
      <c r="G3392" s="9">
        <v>1540.75</v>
      </c>
    </row>
    <row r="3393" spans="1:7" ht="15.6" x14ac:dyDescent="0.3">
      <c r="A3393" s="16">
        <v>45580</v>
      </c>
      <c r="B3393" s="10" t="s">
        <v>17</v>
      </c>
      <c r="C3393" s="10" t="s">
        <v>14</v>
      </c>
      <c r="D3393" s="10" t="s">
        <v>16</v>
      </c>
      <c r="E3393" s="4">
        <v>6</v>
      </c>
      <c r="F3393" s="4">
        <v>6366</v>
      </c>
      <c r="G3393" s="9">
        <v>318.97000000000003</v>
      </c>
    </row>
    <row r="3394" spans="1:7" ht="15.6" x14ac:dyDescent="0.3">
      <c r="A3394" s="16">
        <v>45189</v>
      </c>
      <c r="B3394" s="10" t="s">
        <v>7</v>
      </c>
      <c r="C3394" s="10" t="s">
        <v>8</v>
      </c>
      <c r="D3394" s="10" t="s">
        <v>16</v>
      </c>
      <c r="E3394" s="4">
        <v>1</v>
      </c>
      <c r="F3394" s="4">
        <v>623</v>
      </c>
      <c r="G3394" s="9">
        <v>81.239999999999995</v>
      </c>
    </row>
    <row r="3395" spans="1:7" ht="15.6" x14ac:dyDescent="0.3">
      <c r="A3395" s="16">
        <v>45646</v>
      </c>
      <c r="B3395" s="10" t="s">
        <v>10</v>
      </c>
      <c r="C3395" s="10" t="s">
        <v>11</v>
      </c>
      <c r="D3395" s="10" t="s">
        <v>15</v>
      </c>
      <c r="E3395" s="4">
        <v>3</v>
      </c>
      <c r="F3395" s="4">
        <v>237</v>
      </c>
      <c r="G3395" s="9">
        <v>49.94</v>
      </c>
    </row>
    <row r="3396" spans="1:7" ht="15.6" x14ac:dyDescent="0.3">
      <c r="A3396" s="16">
        <v>44638</v>
      </c>
      <c r="B3396" s="10" t="s">
        <v>22</v>
      </c>
      <c r="C3396" s="10" t="s">
        <v>11</v>
      </c>
      <c r="D3396" s="10" t="s">
        <v>9</v>
      </c>
      <c r="E3396" s="4">
        <v>9</v>
      </c>
      <c r="F3396" s="4">
        <v>8370</v>
      </c>
      <c r="G3396" s="9">
        <v>1525.8</v>
      </c>
    </row>
    <row r="3397" spans="1:7" ht="15.6" x14ac:dyDescent="0.3">
      <c r="A3397" s="16">
        <v>45027</v>
      </c>
      <c r="B3397" s="10" t="s">
        <v>18</v>
      </c>
      <c r="C3397" s="10" t="s">
        <v>11</v>
      </c>
      <c r="D3397" s="10" t="s">
        <v>15</v>
      </c>
      <c r="E3397" s="4">
        <v>5</v>
      </c>
      <c r="F3397" s="4">
        <v>4965</v>
      </c>
      <c r="G3397" s="9">
        <v>774.74</v>
      </c>
    </row>
    <row r="3398" spans="1:7" ht="15.6" x14ac:dyDescent="0.3">
      <c r="A3398" s="16">
        <v>45508</v>
      </c>
      <c r="B3398" s="10" t="s">
        <v>17</v>
      </c>
      <c r="C3398" s="10" t="s">
        <v>14</v>
      </c>
      <c r="D3398" s="10" t="s">
        <v>15</v>
      </c>
      <c r="E3398" s="4">
        <v>7</v>
      </c>
      <c r="F3398" s="4">
        <v>7791</v>
      </c>
      <c r="G3398" s="9">
        <v>1844.69</v>
      </c>
    </row>
    <row r="3399" spans="1:7" ht="15.6" x14ac:dyDescent="0.3">
      <c r="A3399" s="16">
        <v>45564</v>
      </c>
      <c r="B3399" s="10" t="s">
        <v>21</v>
      </c>
      <c r="C3399" s="10" t="s">
        <v>14</v>
      </c>
      <c r="D3399" s="10" t="s">
        <v>16</v>
      </c>
      <c r="E3399" s="4">
        <v>1</v>
      </c>
      <c r="F3399" s="4">
        <v>158</v>
      </c>
      <c r="G3399" s="9">
        <v>32.89</v>
      </c>
    </row>
    <row r="3400" spans="1:7" ht="15.6" x14ac:dyDescent="0.3">
      <c r="A3400" s="16">
        <v>44996</v>
      </c>
      <c r="B3400" s="10" t="s">
        <v>22</v>
      </c>
      <c r="C3400" s="10" t="s">
        <v>11</v>
      </c>
      <c r="D3400" s="10" t="s">
        <v>16</v>
      </c>
      <c r="E3400" s="4">
        <v>7</v>
      </c>
      <c r="F3400" s="4">
        <v>4347</v>
      </c>
      <c r="G3400" s="9">
        <v>712.79</v>
      </c>
    </row>
    <row r="3401" spans="1:7" ht="15.6" x14ac:dyDescent="0.3">
      <c r="A3401" s="16">
        <v>44817</v>
      </c>
      <c r="B3401" s="10" t="s">
        <v>21</v>
      </c>
      <c r="C3401" s="10" t="s">
        <v>14</v>
      </c>
      <c r="D3401" s="10" t="s">
        <v>12</v>
      </c>
      <c r="E3401" s="4">
        <v>4</v>
      </c>
      <c r="F3401" s="4">
        <v>3364</v>
      </c>
      <c r="G3401" s="9">
        <v>527.28</v>
      </c>
    </row>
    <row r="3402" spans="1:7" ht="15.6" x14ac:dyDescent="0.3">
      <c r="A3402" s="16">
        <v>45136</v>
      </c>
      <c r="B3402" s="10" t="s">
        <v>17</v>
      </c>
      <c r="C3402" s="10" t="s">
        <v>14</v>
      </c>
      <c r="D3402" s="10" t="s">
        <v>15</v>
      </c>
      <c r="E3402" s="4">
        <v>3</v>
      </c>
      <c r="F3402" s="4">
        <v>1098</v>
      </c>
      <c r="G3402" s="9">
        <v>77.81</v>
      </c>
    </row>
    <row r="3403" spans="1:7" ht="15.6" x14ac:dyDescent="0.3">
      <c r="A3403" s="16">
        <v>44695</v>
      </c>
      <c r="B3403" s="10" t="s">
        <v>18</v>
      </c>
      <c r="C3403" s="10" t="s">
        <v>11</v>
      </c>
      <c r="D3403" s="10" t="s">
        <v>16</v>
      </c>
      <c r="E3403" s="4">
        <v>3</v>
      </c>
      <c r="F3403" s="4">
        <v>1083</v>
      </c>
      <c r="G3403" s="9">
        <v>257.44</v>
      </c>
    </row>
    <row r="3404" spans="1:7" ht="15.6" x14ac:dyDescent="0.3">
      <c r="A3404" s="16">
        <v>44813</v>
      </c>
      <c r="B3404" s="10" t="s">
        <v>23</v>
      </c>
      <c r="C3404" s="10" t="s">
        <v>14</v>
      </c>
      <c r="D3404" s="10" t="s">
        <v>12</v>
      </c>
      <c r="E3404" s="4">
        <v>4</v>
      </c>
      <c r="F3404" s="4">
        <v>1628</v>
      </c>
      <c r="G3404" s="9">
        <v>314.95999999999998</v>
      </c>
    </row>
    <row r="3405" spans="1:7" ht="15.6" x14ac:dyDescent="0.3">
      <c r="A3405" s="16">
        <v>45615</v>
      </c>
      <c r="B3405" s="10" t="s">
        <v>22</v>
      </c>
      <c r="C3405" s="10" t="s">
        <v>11</v>
      </c>
      <c r="D3405" s="10" t="s">
        <v>15</v>
      </c>
      <c r="E3405" s="4">
        <v>4</v>
      </c>
      <c r="F3405" s="4">
        <v>1472</v>
      </c>
      <c r="G3405" s="9">
        <v>387.27</v>
      </c>
    </row>
    <row r="3406" spans="1:7" ht="15.6" x14ac:dyDescent="0.3">
      <c r="A3406" s="16">
        <v>45554</v>
      </c>
      <c r="B3406" s="10" t="s">
        <v>7</v>
      </c>
      <c r="C3406" s="10" t="s">
        <v>8</v>
      </c>
      <c r="D3406" s="10" t="s">
        <v>16</v>
      </c>
      <c r="E3406" s="4">
        <v>9</v>
      </c>
      <c r="F3406" s="4">
        <v>3753</v>
      </c>
      <c r="G3406" s="9">
        <v>1114.8699999999999</v>
      </c>
    </row>
    <row r="3407" spans="1:7" ht="15.6" x14ac:dyDescent="0.3">
      <c r="A3407" s="16">
        <v>45110</v>
      </c>
      <c r="B3407" s="10" t="s">
        <v>20</v>
      </c>
      <c r="C3407" s="10" t="s">
        <v>11</v>
      </c>
      <c r="D3407" s="10" t="s">
        <v>15</v>
      </c>
      <c r="E3407" s="4">
        <v>6</v>
      </c>
      <c r="F3407" s="4">
        <v>6402</v>
      </c>
      <c r="G3407" s="9">
        <v>1602.79</v>
      </c>
    </row>
    <row r="3408" spans="1:7" ht="15.6" x14ac:dyDescent="0.3">
      <c r="A3408" s="16">
        <v>45399</v>
      </c>
      <c r="B3408" s="10" t="s">
        <v>20</v>
      </c>
      <c r="C3408" s="10" t="s">
        <v>11</v>
      </c>
      <c r="D3408" s="10" t="s">
        <v>16</v>
      </c>
      <c r="E3408" s="4">
        <v>3</v>
      </c>
      <c r="F3408" s="4">
        <v>2565</v>
      </c>
      <c r="G3408" s="9">
        <v>510.73</v>
      </c>
    </row>
    <row r="3409" spans="1:7" ht="15.6" x14ac:dyDescent="0.3">
      <c r="A3409" s="16">
        <v>45583</v>
      </c>
      <c r="B3409" s="10" t="s">
        <v>10</v>
      </c>
      <c r="C3409" s="10" t="s">
        <v>11</v>
      </c>
      <c r="D3409" s="10" t="s">
        <v>15</v>
      </c>
      <c r="E3409" s="4">
        <v>3</v>
      </c>
      <c r="F3409" s="4">
        <v>2214</v>
      </c>
      <c r="G3409" s="9">
        <v>127.34</v>
      </c>
    </row>
    <row r="3410" spans="1:7" ht="15.6" x14ac:dyDescent="0.3">
      <c r="A3410" s="16">
        <v>45459</v>
      </c>
      <c r="B3410" s="10" t="s">
        <v>20</v>
      </c>
      <c r="C3410" s="10" t="s">
        <v>11</v>
      </c>
      <c r="D3410" s="10" t="s">
        <v>16</v>
      </c>
      <c r="E3410" s="4">
        <v>3</v>
      </c>
      <c r="F3410" s="4">
        <v>975</v>
      </c>
      <c r="G3410" s="9">
        <v>291.81</v>
      </c>
    </row>
    <row r="3411" spans="1:7" ht="15.6" x14ac:dyDescent="0.3">
      <c r="A3411" s="16">
        <v>45213</v>
      </c>
      <c r="B3411" s="10" t="s">
        <v>7</v>
      </c>
      <c r="C3411" s="10" t="s">
        <v>8</v>
      </c>
      <c r="D3411" s="10" t="s">
        <v>12</v>
      </c>
      <c r="E3411" s="4">
        <v>8</v>
      </c>
      <c r="F3411" s="4">
        <v>3312</v>
      </c>
      <c r="G3411" s="9">
        <v>854.12</v>
      </c>
    </row>
    <row r="3412" spans="1:7" ht="15.6" x14ac:dyDescent="0.3">
      <c r="A3412" s="16">
        <v>45211</v>
      </c>
      <c r="B3412" s="10" t="s">
        <v>7</v>
      </c>
      <c r="C3412" s="10" t="s">
        <v>8</v>
      </c>
      <c r="D3412" s="10" t="s">
        <v>12</v>
      </c>
      <c r="E3412" s="4">
        <v>1</v>
      </c>
      <c r="F3412" s="4">
        <v>267</v>
      </c>
      <c r="G3412" s="9">
        <v>41.85</v>
      </c>
    </row>
    <row r="3413" spans="1:7" ht="15.6" x14ac:dyDescent="0.3">
      <c r="A3413" s="16">
        <v>44662</v>
      </c>
      <c r="B3413" s="10" t="s">
        <v>21</v>
      </c>
      <c r="C3413" s="10" t="s">
        <v>14</v>
      </c>
      <c r="D3413" s="10" t="s">
        <v>12</v>
      </c>
      <c r="E3413" s="4">
        <v>9</v>
      </c>
      <c r="F3413" s="4">
        <v>8145</v>
      </c>
      <c r="G3413" s="9">
        <v>2384.42</v>
      </c>
    </row>
    <row r="3414" spans="1:7" ht="15.6" x14ac:dyDescent="0.3">
      <c r="A3414" s="16">
        <v>44567</v>
      </c>
      <c r="B3414" s="10" t="s">
        <v>7</v>
      </c>
      <c r="C3414" s="10" t="s">
        <v>8</v>
      </c>
      <c r="D3414" s="10" t="s">
        <v>9</v>
      </c>
      <c r="E3414" s="4">
        <v>1</v>
      </c>
      <c r="F3414" s="4">
        <v>232</v>
      </c>
      <c r="G3414" s="9">
        <v>34.26</v>
      </c>
    </row>
    <row r="3415" spans="1:7" ht="15.6" x14ac:dyDescent="0.3">
      <c r="A3415" s="16">
        <v>45571</v>
      </c>
      <c r="B3415" s="10" t="s">
        <v>21</v>
      </c>
      <c r="C3415" s="10" t="s">
        <v>14</v>
      </c>
      <c r="D3415" s="10" t="s">
        <v>9</v>
      </c>
      <c r="E3415" s="4">
        <v>3</v>
      </c>
      <c r="F3415" s="4">
        <v>300</v>
      </c>
      <c r="G3415" s="9">
        <v>38.44</v>
      </c>
    </row>
    <row r="3416" spans="1:7" ht="15.6" x14ac:dyDescent="0.3">
      <c r="A3416" s="16">
        <v>45349</v>
      </c>
      <c r="B3416" s="10" t="s">
        <v>20</v>
      </c>
      <c r="C3416" s="10" t="s">
        <v>11</v>
      </c>
      <c r="D3416" s="10" t="s">
        <v>12</v>
      </c>
      <c r="E3416" s="4">
        <v>2</v>
      </c>
      <c r="F3416" s="4">
        <v>2248</v>
      </c>
      <c r="G3416" s="9">
        <v>473.21</v>
      </c>
    </row>
    <row r="3417" spans="1:7" ht="15.6" x14ac:dyDescent="0.3">
      <c r="A3417" s="16">
        <v>45209</v>
      </c>
      <c r="B3417" s="10" t="s">
        <v>20</v>
      </c>
      <c r="C3417" s="10" t="s">
        <v>11</v>
      </c>
      <c r="D3417" s="10" t="s">
        <v>9</v>
      </c>
      <c r="E3417" s="4">
        <v>6</v>
      </c>
      <c r="F3417" s="4">
        <v>1614</v>
      </c>
      <c r="G3417" s="9">
        <v>166.62</v>
      </c>
    </row>
    <row r="3418" spans="1:7" ht="15.6" x14ac:dyDescent="0.3">
      <c r="A3418" s="16">
        <v>44684</v>
      </c>
      <c r="B3418" s="10" t="s">
        <v>20</v>
      </c>
      <c r="C3418" s="10" t="s">
        <v>11</v>
      </c>
      <c r="D3418" s="10" t="s">
        <v>16</v>
      </c>
      <c r="E3418" s="4">
        <v>2</v>
      </c>
      <c r="F3418" s="4">
        <v>1476</v>
      </c>
      <c r="G3418" s="9">
        <v>195.74</v>
      </c>
    </row>
    <row r="3419" spans="1:7" ht="15.6" x14ac:dyDescent="0.3">
      <c r="A3419" s="16">
        <v>45601</v>
      </c>
      <c r="B3419" s="10" t="s">
        <v>7</v>
      </c>
      <c r="C3419" s="10" t="s">
        <v>8</v>
      </c>
      <c r="D3419" s="10" t="s">
        <v>15</v>
      </c>
      <c r="E3419" s="4">
        <v>5</v>
      </c>
      <c r="F3419" s="4">
        <v>4375</v>
      </c>
      <c r="G3419" s="9">
        <v>347.43</v>
      </c>
    </row>
    <row r="3420" spans="1:7" ht="15.6" x14ac:dyDescent="0.3">
      <c r="A3420" s="16">
        <v>45538</v>
      </c>
      <c r="B3420" s="10" t="s">
        <v>19</v>
      </c>
      <c r="C3420" s="10" t="s">
        <v>14</v>
      </c>
      <c r="D3420" s="10" t="s">
        <v>9</v>
      </c>
      <c r="E3420" s="4">
        <v>4</v>
      </c>
      <c r="F3420" s="4">
        <v>1064</v>
      </c>
      <c r="G3420" s="9">
        <v>263.48</v>
      </c>
    </row>
    <row r="3421" spans="1:7" ht="15.6" x14ac:dyDescent="0.3">
      <c r="A3421" s="16">
        <v>44838</v>
      </c>
      <c r="B3421" s="10" t="s">
        <v>18</v>
      </c>
      <c r="C3421" s="10" t="s">
        <v>11</v>
      </c>
      <c r="D3421" s="10" t="s">
        <v>9</v>
      </c>
      <c r="E3421" s="4">
        <v>6</v>
      </c>
      <c r="F3421" s="4">
        <v>1068</v>
      </c>
      <c r="G3421" s="9">
        <v>190.77</v>
      </c>
    </row>
    <row r="3422" spans="1:7" ht="15.6" x14ac:dyDescent="0.3">
      <c r="A3422" s="16">
        <v>45277</v>
      </c>
      <c r="B3422" s="10" t="s">
        <v>22</v>
      </c>
      <c r="C3422" s="10" t="s">
        <v>11</v>
      </c>
      <c r="D3422" s="10" t="s">
        <v>12</v>
      </c>
      <c r="E3422" s="4">
        <v>1</v>
      </c>
      <c r="F3422" s="4">
        <v>190</v>
      </c>
      <c r="G3422" s="9">
        <v>27.43</v>
      </c>
    </row>
    <row r="3423" spans="1:7" ht="15.6" x14ac:dyDescent="0.3">
      <c r="A3423" s="16">
        <v>44739</v>
      </c>
      <c r="B3423" s="10" t="s">
        <v>7</v>
      </c>
      <c r="C3423" s="10" t="s">
        <v>8</v>
      </c>
      <c r="D3423" s="10" t="s">
        <v>15</v>
      </c>
      <c r="E3423" s="4">
        <v>7</v>
      </c>
      <c r="F3423" s="4">
        <v>7868</v>
      </c>
      <c r="G3423" s="9">
        <v>862.38</v>
      </c>
    </row>
    <row r="3424" spans="1:7" ht="15.6" x14ac:dyDescent="0.3">
      <c r="A3424" s="16">
        <v>45629</v>
      </c>
      <c r="B3424" s="10" t="s">
        <v>22</v>
      </c>
      <c r="C3424" s="10" t="s">
        <v>11</v>
      </c>
      <c r="D3424" s="10" t="s">
        <v>9</v>
      </c>
      <c r="E3424" s="4">
        <v>3</v>
      </c>
      <c r="F3424" s="4">
        <v>1239</v>
      </c>
      <c r="G3424" s="9">
        <v>143.35</v>
      </c>
    </row>
    <row r="3425" spans="1:7" ht="15.6" x14ac:dyDescent="0.3">
      <c r="A3425" s="16">
        <v>45179</v>
      </c>
      <c r="B3425" s="10" t="s">
        <v>20</v>
      </c>
      <c r="C3425" s="10" t="s">
        <v>11</v>
      </c>
      <c r="D3425" s="10" t="s">
        <v>12</v>
      </c>
      <c r="E3425" s="4">
        <v>2</v>
      </c>
      <c r="F3425" s="4">
        <v>1394</v>
      </c>
      <c r="G3425" s="9">
        <v>408.32</v>
      </c>
    </row>
    <row r="3426" spans="1:7" ht="15.6" x14ac:dyDescent="0.3">
      <c r="A3426" s="16">
        <v>45329</v>
      </c>
      <c r="B3426" s="10" t="s">
        <v>21</v>
      </c>
      <c r="C3426" s="10" t="s">
        <v>14</v>
      </c>
      <c r="D3426" s="10" t="s">
        <v>9</v>
      </c>
      <c r="E3426" s="4">
        <v>5</v>
      </c>
      <c r="F3426" s="4">
        <v>2060</v>
      </c>
      <c r="G3426" s="9">
        <v>403.19</v>
      </c>
    </row>
    <row r="3427" spans="1:7" ht="15.6" x14ac:dyDescent="0.3">
      <c r="A3427" s="16">
        <v>45086</v>
      </c>
      <c r="B3427" s="10" t="s">
        <v>23</v>
      </c>
      <c r="C3427" s="10" t="s">
        <v>14</v>
      </c>
      <c r="D3427" s="10" t="s">
        <v>12</v>
      </c>
      <c r="E3427" s="4">
        <v>1</v>
      </c>
      <c r="F3427" s="4">
        <v>1060</v>
      </c>
      <c r="G3427" s="9">
        <v>57.26</v>
      </c>
    </row>
    <row r="3428" spans="1:7" ht="15.6" x14ac:dyDescent="0.3">
      <c r="A3428" s="16">
        <v>44911</v>
      </c>
      <c r="B3428" s="10" t="s">
        <v>20</v>
      </c>
      <c r="C3428" s="10" t="s">
        <v>11</v>
      </c>
      <c r="D3428" s="10" t="s">
        <v>9</v>
      </c>
      <c r="E3428" s="4">
        <v>7</v>
      </c>
      <c r="F3428" s="4">
        <v>7812</v>
      </c>
      <c r="G3428" s="9">
        <v>1478.43</v>
      </c>
    </row>
    <row r="3429" spans="1:7" ht="15.6" x14ac:dyDescent="0.3">
      <c r="A3429" s="16">
        <v>45460</v>
      </c>
      <c r="B3429" s="10" t="s">
        <v>17</v>
      </c>
      <c r="C3429" s="10" t="s">
        <v>14</v>
      </c>
      <c r="D3429" s="10" t="s">
        <v>9</v>
      </c>
      <c r="E3429" s="4">
        <v>7</v>
      </c>
      <c r="F3429" s="4">
        <v>7077</v>
      </c>
      <c r="G3429" s="9">
        <v>804.15</v>
      </c>
    </row>
    <row r="3430" spans="1:7" ht="15.6" x14ac:dyDescent="0.3">
      <c r="A3430" s="16">
        <v>45087</v>
      </c>
      <c r="B3430" s="10" t="s">
        <v>21</v>
      </c>
      <c r="C3430" s="10" t="s">
        <v>14</v>
      </c>
      <c r="D3430" s="10" t="s">
        <v>16</v>
      </c>
      <c r="E3430" s="4">
        <v>7</v>
      </c>
      <c r="F3430" s="4">
        <v>5712</v>
      </c>
      <c r="G3430" s="9">
        <v>929.42</v>
      </c>
    </row>
    <row r="3431" spans="1:7" ht="15.6" x14ac:dyDescent="0.3">
      <c r="A3431" s="16">
        <v>44948</v>
      </c>
      <c r="B3431" s="10" t="s">
        <v>7</v>
      </c>
      <c r="C3431" s="10" t="s">
        <v>8</v>
      </c>
      <c r="D3431" s="10" t="s">
        <v>9</v>
      </c>
      <c r="E3431" s="4">
        <v>6</v>
      </c>
      <c r="F3431" s="4">
        <v>4146</v>
      </c>
      <c r="G3431" s="9">
        <v>966.79</v>
      </c>
    </row>
    <row r="3432" spans="1:7" ht="15.6" x14ac:dyDescent="0.3">
      <c r="A3432" s="16">
        <v>45461</v>
      </c>
      <c r="B3432" s="10" t="s">
        <v>13</v>
      </c>
      <c r="C3432" s="10" t="s">
        <v>14</v>
      </c>
      <c r="D3432" s="10" t="s">
        <v>16</v>
      </c>
      <c r="E3432" s="4">
        <v>2</v>
      </c>
      <c r="F3432" s="4">
        <v>992</v>
      </c>
      <c r="G3432" s="9">
        <v>238.18</v>
      </c>
    </row>
    <row r="3433" spans="1:7" ht="15.6" x14ac:dyDescent="0.3">
      <c r="A3433" s="16">
        <v>44664</v>
      </c>
      <c r="B3433" s="10" t="s">
        <v>19</v>
      </c>
      <c r="C3433" s="10" t="s">
        <v>14</v>
      </c>
      <c r="D3433" s="10" t="s">
        <v>9</v>
      </c>
      <c r="E3433" s="4">
        <v>2</v>
      </c>
      <c r="F3433" s="4">
        <v>1756</v>
      </c>
      <c r="G3433" s="9">
        <v>165.6</v>
      </c>
    </row>
    <row r="3434" spans="1:7" ht="15.6" x14ac:dyDescent="0.3">
      <c r="A3434" s="16">
        <v>45025</v>
      </c>
      <c r="B3434" s="10" t="s">
        <v>20</v>
      </c>
      <c r="C3434" s="10" t="s">
        <v>11</v>
      </c>
      <c r="D3434" s="10" t="s">
        <v>16</v>
      </c>
      <c r="E3434" s="4">
        <v>4</v>
      </c>
      <c r="F3434" s="4">
        <v>3632</v>
      </c>
      <c r="G3434" s="9">
        <v>566.80999999999995</v>
      </c>
    </row>
    <row r="3435" spans="1:7" ht="15.6" x14ac:dyDescent="0.3">
      <c r="A3435" s="16">
        <v>45368</v>
      </c>
      <c r="B3435" s="10" t="s">
        <v>18</v>
      </c>
      <c r="C3435" s="10" t="s">
        <v>11</v>
      </c>
      <c r="D3435" s="10" t="s">
        <v>12</v>
      </c>
      <c r="E3435" s="4">
        <v>4</v>
      </c>
      <c r="F3435" s="4">
        <v>3912</v>
      </c>
      <c r="G3435" s="9">
        <v>550.09</v>
      </c>
    </row>
    <row r="3436" spans="1:7" ht="15.6" x14ac:dyDescent="0.3">
      <c r="A3436" s="16">
        <v>45065</v>
      </c>
      <c r="B3436" s="10" t="s">
        <v>7</v>
      </c>
      <c r="C3436" s="10" t="s">
        <v>8</v>
      </c>
      <c r="D3436" s="10" t="s">
        <v>9</v>
      </c>
      <c r="E3436" s="4">
        <v>9</v>
      </c>
      <c r="F3436" s="4">
        <v>3123</v>
      </c>
      <c r="G3436" s="9">
        <v>741.23</v>
      </c>
    </row>
    <row r="3437" spans="1:7" ht="15.6" x14ac:dyDescent="0.3">
      <c r="A3437" s="16">
        <v>44824</v>
      </c>
      <c r="B3437" s="10" t="s">
        <v>7</v>
      </c>
      <c r="C3437" s="10" t="s">
        <v>8</v>
      </c>
      <c r="D3437" s="10" t="s">
        <v>16</v>
      </c>
      <c r="E3437" s="4">
        <v>4</v>
      </c>
      <c r="F3437" s="4">
        <v>700</v>
      </c>
      <c r="G3437" s="9">
        <v>120.19</v>
      </c>
    </row>
    <row r="3438" spans="1:7" ht="15.6" x14ac:dyDescent="0.3">
      <c r="A3438" s="16">
        <v>44867</v>
      </c>
      <c r="B3438" s="10" t="s">
        <v>13</v>
      </c>
      <c r="C3438" s="10" t="s">
        <v>14</v>
      </c>
      <c r="D3438" s="10" t="s">
        <v>15</v>
      </c>
      <c r="E3438" s="4">
        <v>8</v>
      </c>
      <c r="F3438" s="4">
        <v>408</v>
      </c>
      <c r="G3438" s="9">
        <v>83.16</v>
      </c>
    </row>
    <row r="3439" spans="1:7" ht="15.6" x14ac:dyDescent="0.3">
      <c r="A3439" s="16">
        <v>44913</v>
      </c>
      <c r="B3439" s="10" t="s">
        <v>21</v>
      </c>
      <c r="C3439" s="10" t="s">
        <v>14</v>
      </c>
      <c r="D3439" s="10" t="s">
        <v>15</v>
      </c>
      <c r="E3439" s="4">
        <v>4</v>
      </c>
      <c r="F3439" s="4">
        <v>4056</v>
      </c>
      <c r="G3439" s="9">
        <v>768.81</v>
      </c>
    </row>
    <row r="3440" spans="1:7" ht="15.6" x14ac:dyDescent="0.3">
      <c r="A3440" s="16">
        <v>45419</v>
      </c>
      <c r="B3440" s="10" t="s">
        <v>23</v>
      </c>
      <c r="C3440" s="10" t="s">
        <v>14</v>
      </c>
      <c r="D3440" s="10" t="s">
        <v>16</v>
      </c>
      <c r="E3440" s="4">
        <v>1</v>
      </c>
      <c r="F3440" s="4">
        <v>770</v>
      </c>
      <c r="G3440" s="9">
        <v>121.75</v>
      </c>
    </row>
    <row r="3441" spans="1:7" ht="15.6" x14ac:dyDescent="0.3">
      <c r="A3441" s="16">
        <v>44599</v>
      </c>
      <c r="B3441" s="10" t="s">
        <v>19</v>
      </c>
      <c r="C3441" s="10" t="s">
        <v>14</v>
      </c>
      <c r="D3441" s="10" t="s">
        <v>9</v>
      </c>
      <c r="E3441" s="4">
        <v>3</v>
      </c>
      <c r="F3441" s="4">
        <v>531</v>
      </c>
      <c r="G3441" s="9">
        <v>73.349999999999994</v>
      </c>
    </row>
    <row r="3442" spans="1:7" ht="15.6" x14ac:dyDescent="0.3">
      <c r="A3442" s="16">
        <v>45080</v>
      </c>
      <c r="B3442" s="10" t="s">
        <v>20</v>
      </c>
      <c r="C3442" s="10" t="s">
        <v>11</v>
      </c>
      <c r="D3442" s="10" t="s">
        <v>15</v>
      </c>
      <c r="E3442" s="4">
        <v>5</v>
      </c>
      <c r="F3442" s="4">
        <v>280</v>
      </c>
      <c r="G3442" s="9">
        <v>79.77</v>
      </c>
    </row>
    <row r="3443" spans="1:7" ht="15.6" x14ac:dyDescent="0.3">
      <c r="A3443" s="16">
        <v>45383</v>
      </c>
      <c r="B3443" s="10" t="s">
        <v>23</v>
      </c>
      <c r="C3443" s="10" t="s">
        <v>14</v>
      </c>
      <c r="D3443" s="10" t="s">
        <v>12</v>
      </c>
      <c r="E3443" s="4">
        <v>7</v>
      </c>
      <c r="F3443" s="4">
        <v>4550</v>
      </c>
      <c r="G3443" s="9">
        <v>892.73</v>
      </c>
    </row>
    <row r="3444" spans="1:7" ht="15.6" x14ac:dyDescent="0.3">
      <c r="A3444" s="16">
        <v>45023</v>
      </c>
      <c r="B3444" s="10" t="s">
        <v>19</v>
      </c>
      <c r="C3444" s="10" t="s">
        <v>14</v>
      </c>
      <c r="D3444" s="10" t="s">
        <v>16</v>
      </c>
      <c r="E3444" s="4">
        <v>5</v>
      </c>
      <c r="F3444" s="4">
        <v>2480</v>
      </c>
      <c r="G3444" s="9">
        <v>601.66</v>
      </c>
    </row>
    <row r="3445" spans="1:7" ht="15.6" x14ac:dyDescent="0.3">
      <c r="A3445" s="16">
        <v>44699</v>
      </c>
      <c r="B3445" s="10" t="s">
        <v>7</v>
      </c>
      <c r="C3445" s="10" t="s">
        <v>8</v>
      </c>
      <c r="D3445" s="10" t="s">
        <v>16</v>
      </c>
      <c r="E3445" s="4">
        <v>6</v>
      </c>
      <c r="F3445" s="4">
        <v>2604</v>
      </c>
      <c r="G3445" s="9">
        <v>305.73</v>
      </c>
    </row>
    <row r="3446" spans="1:7" ht="15.6" x14ac:dyDescent="0.3">
      <c r="A3446" s="16">
        <v>44617</v>
      </c>
      <c r="B3446" s="10" t="s">
        <v>22</v>
      </c>
      <c r="C3446" s="10" t="s">
        <v>11</v>
      </c>
      <c r="D3446" s="10" t="s">
        <v>16</v>
      </c>
      <c r="E3446" s="4">
        <v>7</v>
      </c>
      <c r="F3446" s="4">
        <v>1351</v>
      </c>
      <c r="G3446" s="9">
        <v>310.02999999999997</v>
      </c>
    </row>
    <row r="3447" spans="1:7" ht="15.6" x14ac:dyDescent="0.3">
      <c r="A3447" s="16">
        <v>45172</v>
      </c>
      <c r="B3447" s="10" t="s">
        <v>20</v>
      </c>
      <c r="C3447" s="10" t="s">
        <v>11</v>
      </c>
      <c r="D3447" s="10" t="s">
        <v>15</v>
      </c>
      <c r="E3447" s="4">
        <v>5</v>
      </c>
      <c r="F3447" s="4">
        <v>4615</v>
      </c>
      <c r="G3447" s="9">
        <v>251</v>
      </c>
    </row>
    <row r="3448" spans="1:7" ht="15.6" x14ac:dyDescent="0.3">
      <c r="A3448" s="16">
        <v>45373</v>
      </c>
      <c r="B3448" s="10" t="s">
        <v>10</v>
      </c>
      <c r="C3448" s="10" t="s">
        <v>11</v>
      </c>
      <c r="D3448" s="10" t="s">
        <v>16</v>
      </c>
      <c r="E3448" s="4">
        <v>1</v>
      </c>
      <c r="F3448" s="4">
        <v>829</v>
      </c>
      <c r="G3448" s="9">
        <v>165.05</v>
      </c>
    </row>
    <row r="3449" spans="1:7" ht="15.6" x14ac:dyDescent="0.3">
      <c r="A3449" s="16">
        <v>45366</v>
      </c>
      <c r="B3449" s="10" t="s">
        <v>17</v>
      </c>
      <c r="C3449" s="10" t="s">
        <v>14</v>
      </c>
      <c r="D3449" s="10" t="s">
        <v>16</v>
      </c>
      <c r="E3449" s="4">
        <v>3</v>
      </c>
      <c r="F3449" s="4">
        <v>177</v>
      </c>
      <c r="G3449" s="9">
        <v>43.41</v>
      </c>
    </row>
    <row r="3450" spans="1:7" ht="15.6" x14ac:dyDescent="0.3">
      <c r="A3450" s="16">
        <v>44918</v>
      </c>
      <c r="B3450" s="10" t="s">
        <v>18</v>
      </c>
      <c r="C3450" s="10" t="s">
        <v>11</v>
      </c>
      <c r="D3450" s="10" t="s">
        <v>16</v>
      </c>
      <c r="E3450" s="4">
        <v>1</v>
      </c>
      <c r="F3450" s="4">
        <v>1086</v>
      </c>
      <c r="G3450" s="9">
        <v>161.05000000000001</v>
      </c>
    </row>
    <row r="3451" spans="1:7" ht="15.6" x14ac:dyDescent="0.3">
      <c r="A3451" s="16">
        <v>45042</v>
      </c>
      <c r="B3451" s="10" t="s">
        <v>23</v>
      </c>
      <c r="C3451" s="10" t="s">
        <v>14</v>
      </c>
      <c r="D3451" s="10" t="s">
        <v>15</v>
      </c>
      <c r="E3451" s="4">
        <v>5</v>
      </c>
      <c r="F3451" s="4">
        <v>275</v>
      </c>
      <c r="G3451" s="9">
        <v>64.900000000000006</v>
      </c>
    </row>
    <row r="3452" spans="1:7" ht="15.6" x14ac:dyDescent="0.3">
      <c r="A3452" s="16">
        <v>44910</v>
      </c>
      <c r="B3452" s="10" t="s">
        <v>10</v>
      </c>
      <c r="C3452" s="10" t="s">
        <v>11</v>
      </c>
      <c r="D3452" s="10" t="s">
        <v>9</v>
      </c>
      <c r="E3452" s="4">
        <v>1</v>
      </c>
      <c r="F3452" s="4">
        <v>564</v>
      </c>
      <c r="G3452" s="9">
        <v>164.5</v>
      </c>
    </row>
    <row r="3453" spans="1:7" ht="15.6" x14ac:dyDescent="0.3">
      <c r="A3453" s="16">
        <v>45517</v>
      </c>
      <c r="B3453" s="10" t="s">
        <v>22</v>
      </c>
      <c r="C3453" s="10" t="s">
        <v>11</v>
      </c>
      <c r="D3453" s="10" t="s">
        <v>15</v>
      </c>
      <c r="E3453" s="4">
        <v>2</v>
      </c>
      <c r="F3453" s="4">
        <v>684</v>
      </c>
      <c r="G3453" s="9">
        <v>71.39</v>
      </c>
    </row>
    <row r="3454" spans="1:7" ht="15.6" x14ac:dyDescent="0.3">
      <c r="A3454" s="16">
        <v>45219</v>
      </c>
      <c r="B3454" s="10" t="s">
        <v>23</v>
      </c>
      <c r="C3454" s="10" t="s">
        <v>14</v>
      </c>
      <c r="D3454" s="10" t="s">
        <v>15</v>
      </c>
      <c r="E3454" s="4">
        <v>4</v>
      </c>
      <c r="F3454" s="4">
        <v>2656</v>
      </c>
      <c r="G3454" s="9">
        <v>687.63</v>
      </c>
    </row>
    <row r="3455" spans="1:7" ht="15.6" x14ac:dyDescent="0.3">
      <c r="A3455" s="16">
        <v>45485</v>
      </c>
      <c r="B3455" s="10" t="s">
        <v>23</v>
      </c>
      <c r="C3455" s="10" t="s">
        <v>14</v>
      </c>
      <c r="D3455" s="10" t="s">
        <v>16</v>
      </c>
      <c r="E3455" s="4">
        <v>5</v>
      </c>
      <c r="F3455" s="4">
        <v>1190</v>
      </c>
      <c r="G3455" s="9">
        <v>346.79</v>
      </c>
    </row>
    <row r="3456" spans="1:7" ht="15.6" x14ac:dyDescent="0.3">
      <c r="A3456" s="16">
        <v>45627</v>
      </c>
      <c r="B3456" s="10" t="s">
        <v>7</v>
      </c>
      <c r="C3456" s="10" t="s">
        <v>8</v>
      </c>
      <c r="D3456" s="10" t="s">
        <v>15</v>
      </c>
      <c r="E3456" s="4">
        <v>6</v>
      </c>
      <c r="F3456" s="4">
        <v>4854</v>
      </c>
      <c r="G3456" s="9">
        <v>510.88</v>
      </c>
    </row>
    <row r="3457" spans="1:7" ht="15.6" x14ac:dyDescent="0.3">
      <c r="A3457" s="16">
        <v>45336</v>
      </c>
      <c r="B3457" s="10" t="s">
        <v>7</v>
      </c>
      <c r="C3457" s="10" t="s">
        <v>8</v>
      </c>
      <c r="D3457" s="10" t="s">
        <v>16</v>
      </c>
      <c r="E3457" s="4">
        <v>5</v>
      </c>
      <c r="F3457" s="4">
        <v>1060</v>
      </c>
      <c r="G3457" s="9">
        <v>217.96</v>
      </c>
    </row>
    <row r="3458" spans="1:7" ht="15.6" x14ac:dyDescent="0.3">
      <c r="A3458" s="16">
        <v>45535</v>
      </c>
      <c r="B3458" s="10" t="s">
        <v>23</v>
      </c>
      <c r="C3458" s="10" t="s">
        <v>14</v>
      </c>
      <c r="D3458" s="10" t="s">
        <v>15</v>
      </c>
      <c r="E3458" s="4">
        <v>3</v>
      </c>
      <c r="F3458" s="4">
        <v>1527</v>
      </c>
      <c r="G3458" s="9">
        <v>364.05</v>
      </c>
    </row>
    <row r="3459" spans="1:7" ht="15.6" x14ac:dyDescent="0.3">
      <c r="A3459" s="16">
        <v>45218</v>
      </c>
      <c r="B3459" s="10" t="s">
        <v>10</v>
      </c>
      <c r="C3459" s="10" t="s">
        <v>11</v>
      </c>
      <c r="D3459" s="10" t="s">
        <v>12</v>
      </c>
      <c r="E3459" s="4">
        <v>4</v>
      </c>
      <c r="F3459" s="4">
        <v>1168</v>
      </c>
      <c r="G3459" s="9">
        <v>177.54</v>
      </c>
    </row>
    <row r="3460" spans="1:7" ht="15.6" x14ac:dyDescent="0.3">
      <c r="A3460" s="16">
        <v>45032</v>
      </c>
      <c r="B3460" s="10" t="s">
        <v>13</v>
      </c>
      <c r="C3460" s="10" t="s">
        <v>14</v>
      </c>
      <c r="D3460" s="10" t="s">
        <v>15</v>
      </c>
      <c r="E3460" s="4">
        <v>8</v>
      </c>
      <c r="F3460" s="4">
        <v>6328</v>
      </c>
      <c r="G3460" s="9">
        <v>1257.81</v>
      </c>
    </row>
    <row r="3461" spans="1:7" ht="15.6" x14ac:dyDescent="0.3">
      <c r="A3461" s="16">
        <v>45460</v>
      </c>
      <c r="B3461" s="10" t="s">
        <v>21</v>
      </c>
      <c r="C3461" s="10" t="s">
        <v>14</v>
      </c>
      <c r="D3461" s="10" t="s">
        <v>9</v>
      </c>
      <c r="E3461" s="4">
        <v>3</v>
      </c>
      <c r="F3461" s="4">
        <v>2193</v>
      </c>
      <c r="G3461" s="9">
        <v>477.95</v>
      </c>
    </row>
    <row r="3462" spans="1:7" ht="15.6" x14ac:dyDescent="0.3">
      <c r="A3462" s="16">
        <v>45044</v>
      </c>
      <c r="B3462" s="10" t="s">
        <v>19</v>
      </c>
      <c r="C3462" s="10" t="s">
        <v>14</v>
      </c>
      <c r="D3462" s="10" t="s">
        <v>12</v>
      </c>
      <c r="E3462" s="4">
        <v>8</v>
      </c>
      <c r="F3462" s="4">
        <v>7600</v>
      </c>
      <c r="G3462" s="9">
        <v>1099.8800000000001</v>
      </c>
    </row>
    <row r="3463" spans="1:7" ht="15.6" x14ac:dyDescent="0.3">
      <c r="A3463" s="16">
        <v>45000</v>
      </c>
      <c r="B3463" s="10" t="s">
        <v>7</v>
      </c>
      <c r="C3463" s="10" t="s">
        <v>8</v>
      </c>
      <c r="D3463" s="10" t="s">
        <v>16</v>
      </c>
      <c r="E3463" s="4">
        <v>9</v>
      </c>
      <c r="F3463" s="4">
        <v>1764</v>
      </c>
      <c r="G3463" s="9">
        <v>322.11</v>
      </c>
    </row>
    <row r="3464" spans="1:7" ht="15.6" x14ac:dyDescent="0.3">
      <c r="A3464" s="16">
        <v>44701</v>
      </c>
      <c r="B3464" s="10" t="s">
        <v>22</v>
      </c>
      <c r="C3464" s="10" t="s">
        <v>11</v>
      </c>
      <c r="D3464" s="10" t="s">
        <v>12</v>
      </c>
      <c r="E3464" s="4">
        <v>2</v>
      </c>
      <c r="F3464" s="4">
        <v>1270</v>
      </c>
      <c r="G3464" s="9">
        <v>84.29</v>
      </c>
    </row>
    <row r="3465" spans="1:7" ht="15.6" x14ac:dyDescent="0.3">
      <c r="A3465" s="16">
        <v>44947</v>
      </c>
      <c r="B3465" s="10" t="s">
        <v>13</v>
      </c>
      <c r="C3465" s="10" t="s">
        <v>14</v>
      </c>
      <c r="D3465" s="10" t="s">
        <v>9</v>
      </c>
      <c r="E3465" s="4">
        <v>1</v>
      </c>
      <c r="F3465" s="4">
        <v>607</v>
      </c>
      <c r="G3465" s="9">
        <v>33.770000000000003</v>
      </c>
    </row>
    <row r="3466" spans="1:7" ht="15.6" x14ac:dyDescent="0.3">
      <c r="A3466" s="16">
        <v>45008</v>
      </c>
      <c r="B3466" s="10" t="s">
        <v>10</v>
      </c>
      <c r="C3466" s="10" t="s">
        <v>11</v>
      </c>
      <c r="D3466" s="10" t="s">
        <v>15</v>
      </c>
      <c r="E3466" s="4">
        <v>2</v>
      </c>
      <c r="F3466" s="4">
        <v>1672</v>
      </c>
      <c r="G3466" s="9">
        <v>469.64</v>
      </c>
    </row>
    <row r="3467" spans="1:7" ht="15.6" x14ac:dyDescent="0.3">
      <c r="A3467" s="16">
        <v>45105</v>
      </c>
      <c r="B3467" s="10" t="s">
        <v>22</v>
      </c>
      <c r="C3467" s="10" t="s">
        <v>11</v>
      </c>
      <c r="D3467" s="10" t="s">
        <v>15</v>
      </c>
      <c r="E3467" s="4">
        <v>6</v>
      </c>
      <c r="F3467" s="4">
        <v>5718</v>
      </c>
      <c r="G3467" s="9">
        <v>1358.26</v>
      </c>
    </row>
    <row r="3468" spans="1:7" ht="15.6" x14ac:dyDescent="0.3">
      <c r="A3468" s="16">
        <v>44681</v>
      </c>
      <c r="B3468" s="10" t="s">
        <v>18</v>
      </c>
      <c r="C3468" s="10" t="s">
        <v>11</v>
      </c>
      <c r="D3468" s="10" t="s">
        <v>15</v>
      </c>
      <c r="E3468" s="4">
        <v>8</v>
      </c>
      <c r="F3468" s="4">
        <v>584</v>
      </c>
      <c r="G3468" s="9">
        <v>107.27</v>
      </c>
    </row>
    <row r="3469" spans="1:7" ht="15.6" x14ac:dyDescent="0.3">
      <c r="A3469" s="16">
        <v>45009</v>
      </c>
      <c r="B3469" s="10" t="s">
        <v>17</v>
      </c>
      <c r="C3469" s="10" t="s">
        <v>14</v>
      </c>
      <c r="D3469" s="10" t="s">
        <v>16</v>
      </c>
      <c r="E3469" s="4">
        <v>7</v>
      </c>
      <c r="F3469" s="4">
        <v>7455</v>
      </c>
      <c r="G3469" s="9">
        <v>966.64</v>
      </c>
    </row>
    <row r="3470" spans="1:7" ht="15.6" x14ac:dyDescent="0.3">
      <c r="A3470" s="16">
        <v>44645</v>
      </c>
      <c r="B3470" s="10" t="s">
        <v>22</v>
      </c>
      <c r="C3470" s="10" t="s">
        <v>11</v>
      </c>
      <c r="D3470" s="10" t="s">
        <v>9</v>
      </c>
      <c r="E3470" s="4">
        <v>7</v>
      </c>
      <c r="F3470" s="4">
        <v>7679</v>
      </c>
      <c r="G3470" s="9">
        <v>2270.08</v>
      </c>
    </row>
    <row r="3471" spans="1:7" ht="15.6" x14ac:dyDescent="0.3">
      <c r="A3471" s="16">
        <v>44714</v>
      </c>
      <c r="B3471" s="10" t="s">
        <v>13</v>
      </c>
      <c r="C3471" s="10" t="s">
        <v>14</v>
      </c>
      <c r="D3471" s="10" t="s">
        <v>16</v>
      </c>
      <c r="E3471" s="4">
        <v>7</v>
      </c>
      <c r="F3471" s="4">
        <v>847</v>
      </c>
      <c r="G3471" s="9">
        <v>154.05000000000001</v>
      </c>
    </row>
    <row r="3472" spans="1:7" ht="15.6" x14ac:dyDescent="0.3">
      <c r="A3472" s="16">
        <v>44773</v>
      </c>
      <c r="B3472" s="10" t="s">
        <v>10</v>
      </c>
      <c r="C3472" s="10" t="s">
        <v>11</v>
      </c>
      <c r="D3472" s="10" t="s">
        <v>16</v>
      </c>
      <c r="E3472" s="4">
        <v>3</v>
      </c>
      <c r="F3472" s="4">
        <v>1278</v>
      </c>
      <c r="G3472" s="9">
        <v>178.78</v>
      </c>
    </row>
    <row r="3473" spans="1:7" ht="15.6" x14ac:dyDescent="0.3">
      <c r="A3473" s="16">
        <v>45312</v>
      </c>
      <c r="B3473" s="10" t="s">
        <v>22</v>
      </c>
      <c r="C3473" s="10" t="s">
        <v>11</v>
      </c>
      <c r="D3473" s="10" t="s">
        <v>12</v>
      </c>
      <c r="E3473" s="4">
        <v>8</v>
      </c>
      <c r="F3473" s="4">
        <v>6592</v>
      </c>
      <c r="G3473" s="9">
        <v>1024.82</v>
      </c>
    </row>
    <row r="3474" spans="1:7" ht="15.6" x14ac:dyDescent="0.3">
      <c r="A3474" s="16">
        <v>45182</v>
      </c>
      <c r="B3474" s="10" t="s">
        <v>20</v>
      </c>
      <c r="C3474" s="10" t="s">
        <v>11</v>
      </c>
      <c r="D3474" s="10" t="s">
        <v>12</v>
      </c>
      <c r="E3474" s="4">
        <v>8</v>
      </c>
      <c r="F3474" s="4">
        <v>3544</v>
      </c>
      <c r="G3474" s="9">
        <v>454.14</v>
      </c>
    </row>
    <row r="3475" spans="1:7" ht="15.6" x14ac:dyDescent="0.3">
      <c r="A3475" s="16">
        <v>45279</v>
      </c>
      <c r="B3475" s="10" t="s">
        <v>17</v>
      </c>
      <c r="C3475" s="10" t="s">
        <v>14</v>
      </c>
      <c r="D3475" s="10" t="s">
        <v>16</v>
      </c>
      <c r="E3475" s="4">
        <v>3</v>
      </c>
      <c r="F3475" s="4">
        <v>1959</v>
      </c>
      <c r="G3475" s="9">
        <v>274.27</v>
      </c>
    </row>
    <row r="3476" spans="1:7" ht="15.6" x14ac:dyDescent="0.3">
      <c r="A3476" s="16">
        <v>44775</v>
      </c>
      <c r="B3476" s="10" t="s">
        <v>10</v>
      </c>
      <c r="C3476" s="10" t="s">
        <v>11</v>
      </c>
      <c r="D3476" s="10" t="s">
        <v>15</v>
      </c>
      <c r="E3476" s="4">
        <v>6</v>
      </c>
      <c r="F3476" s="4">
        <v>3384</v>
      </c>
      <c r="G3476" s="9">
        <v>924.03</v>
      </c>
    </row>
    <row r="3477" spans="1:7" ht="15.6" x14ac:dyDescent="0.3">
      <c r="A3477" s="16">
        <v>45255</v>
      </c>
      <c r="B3477" s="10" t="s">
        <v>21</v>
      </c>
      <c r="C3477" s="10" t="s">
        <v>14</v>
      </c>
      <c r="D3477" s="10" t="s">
        <v>9</v>
      </c>
      <c r="E3477" s="4">
        <v>1</v>
      </c>
      <c r="F3477" s="4">
        <v>307</v>
      </c>
      <c r="G3477" s="9">
        <v>50.2</v>
      </c>
    </row>
    <row r="3478" spans="1:7" ht="15.6" x14ac:dyDescent="0.3">
      <c r="A3478" s="16">
        <v>44771</v>
      </c>
      <c r="B3478" s="10" t="s">
        <v>17</v>
      </c>
      <c r="C3478" s="10" t="s">
        <v>14</v>
      </c>
      <c r="D3478" s="10" t="s">
        <v>16</v>
      </c>
      <c r="E3478" s="4">
        <v>9</v>
      </c>
      <c r="F3478" s="4">
        <v>10017</v>
      </c>
      <c r="G3478" s="9">
        <v>1468.72</v>
      </c>
    </row>
    <row r="3479" spans="1:7" ht="15.6" x14ac:dyDescent="0.3">
      <c r="A3479" s="16">
        <v>45600</v>
      </c>
      <c r="B3479" s="10" t="s">
        <v>13</v>
      </c>
      <c r="C3479" s="10" t="s">
        <v>14</v>
      </c>
      <c r="D3479" s="10" t="s">
        <v>15</v>
      </c>
      <c r="E3479" s="4">
        <v>7</v>
      </c>
      <c r="F3479" s="4">
        <v>7931</v>
      </c>
      <c r="G3479" s="9">
        <v>504.39</v>
      </c>
    </row>
    <row r="3480" spans="1:7" ht="15.6" x14ac:dyDescent="0.3">
      <c r="A3480" s="16">
        <v>45585</v>
      </c>
      <c r="B3480" s="10" t="s">
        <v>23</v>
      </c>
      <c r="C3480" s="10" t="s">
        <v>14</v>
      </c>
      <c r="D3480" s="10" t="s">
        <v>9</v>
      </c>
      <c r="E3480" s="4">
        <v>2</v>
      </c>
      <c r="F3480" s="4">
        <v>1168</v>
      </c>
      <c r="G3480" s="9">
        <v>198.4</v>
      </c>
    </row>
    <row r="3481" spans="1:7" ht="15.6" x14ac:dyDescent="0.3">
      <c r="A3481" s="16">
        <v>45370</v>
      </c>
      <c r="B3481" s="10" t="s">
        <v>21</v>
      </c>
      <c r="C3481" s="10" t="s">
        <v>14</v>
      </c>
      <c r="D3481" s="10" t="s">
        <v>15</v>
      </c>
      <c r="E3481" s="4">
        <v>9</v>
      </c>
      <c r="F3481" s="4">
        <v>9765</v>
      </c>
      <c r="G3481" s="9">
        <v>909.99</v>
      </c>
    </row>
    <row r="3482" spans="1:7" ht="15.6" x14ac:dyDescent="0.3">
      <c r="A3482" s="16">
        <v>45190</v>
      </c>
      <c r="B3482" s="10" t="s">
        <v>13</v>
      </c>
      <c r="C3482" s="10" t="s">
        <v>14</v>
      </c>
      <c r="D3482" s="10" t="s">
        <v>15</v>
      </c>
      <c r="E3482" s="4">
        <v>8</v>
      </c>
      <c r="F3482" s="4">
        <v>1456</v>
      </c>
      <c r="G3482" s="9">
        <v>271.26</v>
      </c>
    </row>
    <row r="3483" spans="1:7" ht="15.6" x14ac:dyDescent="0.3">
      <c r="A3483" s="16">
        <v>44906</v>
      </c>
      <c r="B3483" s="10" t="s">
        <v>21</v>
      </c>
      <c r="C3483" s="10" t="s">
        <v>14</v>
      </c>
      <c r="D3483" s="10" t="s">
        <v>15</v>
      </c>
      <c r="E3483" s="4">
        <v>5</v>
      </c>
      <c r="F3483" s="4">
        <v>950</v>
      </c>
      <c r="G3483" s="9">
        <v>61.9</v>
      </c>
    </row>
    <row r="3484" spans="1:7" ht="15.6" x14ac:dyDescent="0.3">
      <c r="A3484" s="16">
        <v>44736</v>
      </c>
      <c r="B3484" s="10" t="s">
        <v>19</v>
      </c>
      <c r="C3484" s="10" t="s">
        <v>14</v>
      </c>
      <c r="D3484" s="10" t="s">
        <v>16</v>
      </c>
      <c r="E3484" s="4">
        <v>2</v>
      </c>
      <c r="F3484" s="4">
        <v>2314</v>
      </c>
      <c r="G3484" s="9">
        <v>600.76</v>
      </c>
    </row>
    <row r="3485" spans="1:7" ht="15.6" x14ac:dyDescent="0.3">
      <c r="A3485" s="16">
        <v>45205</v>
      </c>
      <c r="B3485" s="10" t="s">
        <v>19</v>
      </c>
      <c r="C3485" s="10" t="s">
        <v>14</v>
      </c>
      <c r="D3485" s="10" t="s">
        <v>9</v>
      </c>
      <c r="E3485" s="4">
        <v>1</v>
      </c>
      <c r="F3485" s="4">
        <v>915</v>
      </c>
      <c r="G3485" s="9">
        <v>264.3</v>
      </c>
    </row>
    <row r="3486" spans="1:7" ht="15.6" x14ac:dyDescent="0.3">
      <c r="A3486" s="16">
        <v>44901</v>
      </c>
      <c r="B3486" s="10" t="s">
        <v>23</v>
      </c>
      <c r="C3486" s="10" t="s">
        <v>14</v>
      </c>
      <c r="D3486" s="10" t="s">
        <v>9</v>
      </c>
      <c r="E3486" s="4">
        <v>1</v>
      </c>
      <c r="F3486" s="4">
        <v>290</v>
      </c>
      <c r="G3486" s="9">
        <v>61.14</v>
      </c>
    </row>
    <row r="3487" spans="1:7" ht="15.6" x14ac:dyDescent="0.3">
      <c r="A3487" s="16">
        <v>44576</v>
      </c>
      <c r="B3487" s="10" t="s">
        <v>13</v>
      </c>
      <c r="C3487" s="10" t="s">
        <v>14</v>
      </c>
      <c r="D3487" s="10" t="s">
        <v>9</v>
      </c>
      <c r="E3487" s="4">
        <v>7</v>
      </c>
      <c r="F3487" s="4">
        <v>3584</v>
      </c>
      <c r="G3487" s="9">
        <v>940.88</v>
      </c>
    </row>
    <row r="3488" spans="1:7" ht="15.6" x14ac:dyDescent="0.3">
      <c r="A3488" s="16">
        <v>45355</v>
      </c>
      <c r="B3488" s="10" t="s">
        <v>10</v>
      </c>
      <c r="C3488" s="10" t="s">
        <v>11</v>
      </c>
      <c r="D3488" s="10" t="s">
        <v>16</v>
      </c>
      <c r="E3488" s="4">
        <v>6</v>
      </c>
      <c r="F3488" s="4">
        <v>1254</v>
      </c>
      <c r="G3488" s="9">
        <v>205.57</v>
      </c>
    </row>
    <row r="3489" spans="1:7" ht="15.6" x14ac:dyDescent="0.3">
      <c r="A3489" s="16">
        <v>44950</v>
      </c>
      <c r="B3489" s="10" t="s">
        <v>23</v>
      </c>
      <c r="C3489" s="10" t="s">
        <v>14</v>
      </c>
      <c r="D3489" s="10" t="s">
        <v>9</v>
      </c>
      <c r="E3489" s="4">
        <v>5</v>
      </c>
      <c r="F3489" s="4">
        <v>2410</v>
      </c>
      <c r="G3489" s="9">
        <v>636.83000000000004</v>
      </c>
    </row>
    <row r="3490" spans="1:7" ht="15.6" x14ac:dyDescent="0.3">
      <c r="A3490" s="16">
        <v>45200</v>
      </c>
      <c r="B3490" s="10" t="s">
        <v>7</v>
      </c>
      <c r="C3490" s="10" t="s">
        <v>8</v>
      </c>
      <c r="D3490" s="10" t="s">
        <v>9</v>
      </c>
      <c r="E3490" s="4">
        <v>2</v>
      </c>
      <c r="F3490" s="4">
        <v>800</v>
      </c>
      <c r="G3490" s="9">
        <v>118.68</v>
      </c>
    </row>
    <row r="3491" spans="1:7" ht="15.6" x14ac:dyDescent="0.3">
      <c r="A3491" s="16">
        <v>44740</v>
      </c>
      <c r="B3491" s="10" t="s">
        <v>19</v>
      </c>
      <c r="C3491" s="10" t="s">
        <v>14</v>
      </c>
      <c r="D3491" s="10" t="s">
        <v>16</v>
      </c>
      <c r="E3491" s="4">
        <v>5</v>
      </c>
      <c r="F3491" s="4">
        <v>990</v>
      </c>
      <c r="G3491" s="9">
        <v>87.61</v>
      </c>
    </row>
    <row r="3492" spans="1:7" ht="15.6" x14ac:dyDescent="0.3">
      <c r="A3492" s="16">
        <v>45060</v>
      </c>
      <c r="B3492" s="10" t="s">
        <v>23</v>
      </c>
      <c r="C3492" s="10" t="s">
        <v>14</v>
      </c>
      <c r="D3492" s="10" t="s">
        <v>16</v>
      </c>
      <c r="E3492" s="4">
        <v>9</v>
      </c>
      <c r="F3492" s="4">
        <v>9702</v>
      </c>
      <c r="G3492" s="9">
        <v>2771.49</v>
      </c>
    </row>
    <row r="3493" spans="1:7" ht="15.6" x14ac:dyDescent="0.3">
      <c r="A3493" s="16">
        <v>45173</v>
      </c>
      <c r="B3493" s="10" t="s">
        <v>22</v>
      </c>
      <c r="C3493" s="10" t="s">
        <v>11</v>
      </c>
      <c r="D3493" s="10" t="s">
        <v>12</v>
      </c>
      <c r="E3493" s="4">
        <v>8</v>
      </c>
      <c r="F3493" s="4">
        <v>5888</v>
      </c>
      <c r="G3493" s="9">
        <v>354.27</v>
      </c>
    </row>
    <row r="3494" spans="1:7" ht="15.6" x14ac:dyDescent="0.3">
      <c r="A3494" s="16">
        <v>45189</v>
      </c>
      <c r="B3494" s="10" t="s">
        <v>13</v>
      </c>
      <c r="C3494" s="10" t="s">
        <v>14</v>
      </c>
      <c r="D3494" s="10" t="s">
        <v>12</v>
      </c>
      <c r="E3494" s="4">
        <v>4</v>
      </c>
      <c r="F3494" s="4">
        <v>1768</v>
      </c>
      <c r="G3494" s="9">
        <v>345.33</v>
      </c>
    </row>
    <row r="3495" spans="1:7" ht="15.6" x14ac:dyDescent="0.3">
      <c r="A3495" s="16">
        <v>44713</v>
      </c>
      <c r="B3495" s="10" t="s">
        <v>18</v>
      </c>
      <c r="C3495" s="10" t="s">
        <v>11</v>
      </c>
      <c r="D3495" s="10" t="s">
        <v>9</v>
      </c>
      <c r="E3495" s="4">
        <v>2</v>
      </c>
      <c r="F3495" s="4">
        <v>1022</v>
      </c>
      <c r="G3495" s="9">
        <v>76.040000000000006</v>
      </c>
    </row>
    <row r="3496" spans="1:7" ht="15.6" x14ac:dyDescent="0.3">
      <c r="A3496" s="16">
        <v>45263</v>
      </c>
      <c r="B3496" s="10" t="s">
        <v>13</v>
      </c>
      <c r="C3496" s="10" t="s">
        <v>14</v>
      </c>
      <c r="D3496" s="10" t="s">
        <v>9</v>
      </c>
      <c r="E3496" s="4">
        <v>3</v>
      </c>
      <c r="F3496" s="4">
        <v>2883</v>
      </c>
      <c r="G3496" s="9">
        <v>671.91</v>
      </c>
    </row>
    <row r="3497" spans="1:7" ht="15.6" x14ac:dyDescent="0.3">
      <c r="A3497" s="16">
        <v>44972</v>
      </c>
      <c r="B3497" s="10" t="s">
        <v>20</v>
      </c>
      <c r="C3497" s="10" t="s">
        <v>11</v>
      </c>
      <c r="D3497" s="10" t="s">
        <v>9</v>
      </c>
      <c r="E3497" s="4">
        <v>4</v>
      </c>
      <c r="F3497" s="4">
        <v>4064</v>
      </c>
      <c r="G3497" s="9">
        <v>771.16</v>
      </c>
    </row>
    <row r="3498" spans="1:7" ht="15.6" x14ac:dyDescent="0.3">
      <c r="A3498" s="16">
        <v>44822</v>
      </c>
      <c r="B3498" s="10" t="s">
        <v>20</v>
      </c>
      <c r="C3498" s="10" t="s">
        <v>11</v>
      </c>
      <c r="D3498" s="10" t="s">
        <v>12</v>
      </c>
      <c r="E3498" s="4">
        <v>1</v>
      </c>
      <c r="F3498" s="4">
        <v>1117</v>
      </c>
      <c r="G3498" s="9">
        <v>119.89</v>
      </c>
    </row>
    <row r="3499" spans="1:7" ht="15.6" x14ac:dyDescent="0.3">
      <c r="A3499" s="16">
        <v>44663</v>
      </c>
      <c r="B3499" s="10" t="s">
        <v>23</v>
      </c>
      <c r="C3499" s="10" t="s">
        <v>14</v>
      </c>
      <c r="D3499" s="10" t="s">
        <v>15</v>
      </c>
      <c r="E3499" s="4">
        <v>4</v>
      </c>
      <c r="F3499" s="4">
        <v>260</v>
      </c>
      <c r="G3499" s="9">
        <v>66.02</v>
      </c>
    </row>
    <row r="3500" spans="1:7" ht="15.6" x14ac:dyDescent="0.3">
      <c r="A3500" s="16">
        <v>44579</v>
      </c>
      <c r="B3500" s="10" t="s">
        <v>7</v>
      </c>
      <c r="C3500" s="10" t="s">
        <v>8</v>
      </c>
      <c r="D3500" s="10" t="s">
        <v>15</v>
      </c>
      <c r="E3500" s="4">
        <v>3</v>
      </c>
      <c r="F3500" s="4">
        <v>222</v>
      </c>
      <c r="G3500" s="9">
        <v>50.28</v>
      </c>
    </row>
    <row r="3501" spans="1:7" ht="15.6" x14ac:dyDescent="0.3">
      <c r="A3501" s="16">
        <v>45597</v>
      </c>
      <c r="B3501" s="10" t="s">
        <v>19</v>
      </c>
      <c r="C3501" s="10" t="s">
        <v>14</v>
      </c>
      <c r="D3501" s="10" t="s">
        <v>12</v>
      </c>
      <c r="E3501" s="4">
        <v>9</v>
      </c>
      <c r="F3501" s="4">
        <v>10530</v>
      </c>
      <c r="G3501" s="9">
        <v>1777.32</v>
      </c>
    </row>
  </sheetData>
  <phoneticPr fontId="4" type="noConversion"/>
  <conditionalFormatting sqref="G2:G3501">
    <cfRule type="dataBar" priority="22">
      <dataBar>
        <cfvo type="min"/>
        <cfvo type="max"/>
        <color rgb="FF008AEF"/>
      </dataBar>
      <extLst>
        <ext xmlns:x14="http://schemas.microsoft.com/office/spreadsheetml/2009/9/main" uri="{B025F937-C7B1-47D3-B67F-A62EFF666E3E}">
          <x14:id>{3533287E-2E1F-4385-9C42-F90B8384CD32}</x14:id>
        </ext>
      </extLst>
    </cfRule>
  </conditionalFormatting>
  <conditionalFormatting pivot="1" sqref="M2:M13">
    <cfRule type="dataBar" priority="21">
      <dataBar>
        <cfvo type="min"/>
        <cfvo type="max"/>
        <color rgb="FF008AEF"/>
      </dataBar>
      <extLst>
        <ext xmlns:x14="http://schemas.microsoft.com/office/spreadsheetml/2009/9/main" uri="{B025F937-C7B1-47D3-B67F-A62EFF666E3E}">
          <x14:id>{8C3F1F0F-1E29-4F4C-B4EB-DF91A3DBE43A}</x14:id>
        </ext>
      </extLst>
    </cfRule>
  </conditionalFormatting>
  <conditionalFormatting pivot="1" sqref="M2:M13">
    <cfRule type="dataBar" priority="20">
      <dataBar>
        <cfvo type="min"/>
        <cfvo type="max"/>
        <color rgb="FF638EC6"/>
      </dataBar>
      <extLst>
        <ext xmlns:x14="http://schemas.microsoft.com/office/spreadsheetml/2009/9/main" uri="{B025F937-C7B1-47D3-B67F-A62EFF666E3E}">
          <x14:id>{E3C3238C-3C0A-4AFD-B843-1CE6F0BD4CC2}</x14:id>
        </ext>
      </extLst>
    </cfRule>
  </conditionalFormatting>
  <conditionalFormatting pivot="1" sqref="M2:M13">
    <cfRule type="dataBar" priority="19">
      <dataBar>
        <cfvo type="min"/>
        <cfvo type="max"/>
        <color theme="7" tint="0.39997558519241921"/>
      </dataBar>
      <extLst>
        <ext xmlns:x14="http://schemas.microsoft.com/office/spreadsheetml/2009/9/main" uri="{B025F937-C7B1-47D3-B67F-A62EFF666E3E}">
          <x14:id>{77835A02-662C-4CE6-B680-198E090562E2}</x14:id>
        </ext>
      </extLst>
    </cfRule>
  </conditionalFormatting>
  <conditionalFormatting pivot="1" sqref="M2:M14">
    <cfRule type="dataBar" priority="18">
      <dataBar>
        <cfvo type="percent" val="50"/>
        <cfvo type="max"/>
        <color rgb="FF638EC6"/>
      </dataBar>
      <extLst>
        <ext xmlns:x14="http://schemas.microsoft.com/office/spreadsheetml/2009/9/main" uri="{B025F937-C7B1-47D3-B67F-A62EFF666E3E}">
          <x14:id>{D2843E41-AD85-40D2-845A-DCF3BB09E46B}</x14:id>
        </ext>
      </extLst>
    </cfRule>
  </conditionalFormatting>
  <conditionalFormatting pivot="1" sqref="M2:M14">
    <cfRule type="dataBar" priority="17">
      <dataBar>
        <cfvo type="min"/>
        <cfvo type="max"/>
        <color theme="7" tint="0.39997558519241921"/>
      </dataBar>
      <extLst>
        <ext xmlns:x14="http://schemas.microsoft.com/office/spreadsheetml/2009/9/main" uri="{B025F937-C7B1-47D3-B67F-A62EFF666E3E}">
          <x14:id>{43AA720E-4B37-4F01-83B2-5CE53BC75795}</x14:id>
        </ext>
      </extLst>
    </cfRule>
  </conditionalFormatting>
  <conditionalFormatting pivot="1" sqref="M2:M14">
    <cfRule type="top10" priority="16" rank="10"/>
  </conditionalFormatting>
  <conditionalFormatting pivot="1" sqref="M2:M14">
    <cfRule type="dataBar" priority="15">
      <dataBar>
        <cfvo type="min"/>
        <cfvo type="max"/>
        <color theme="7" tint="0.39997558519241921"/>
      </dataBar>
      <extLst>
        <ext xmlns:x14="http://schemas.microsoft.com/office/spreadsheetml/2009/9/main" uri="{B025F937-C7B1-47D3-B67F-A62EFF666E3E}">
          <x14:id>{7A0137F6-FBF6-4367-9100-52008841E2E1}</x14:id>
        </ext>
      </extLst>
    </cfRule>
  </conditionalFormatting>
  <conditionalFormatting sqref="M1">
    <cfRule type="dataBar" priority="14">
      <dataBar>
        <cfvo type="min"/>
        <cfvo type="max"/>
        <color theme="7" tint="0.39997558519241921"/>
      </dataBar>
      <extLst>
        <ext xmlns:x14="http://schemas.microsoft.com/office/spreadsheetml/2009/9/main" uri="{B025F937-C7B1-47D3-B67F-A62EFF666E3E}">
          <x14:id>{E4EE747F-5C66-49E7-9856-7D2840850428}</x14:id>
        </ext>
      </extLst>
    </cfRule>
  </conditionalFormatting>
  <conditionalFormatting pivot="1" sqref="M2:M14">
    <cfRule type="dataBar" priority="13">
      <dataBar>
        <cfvo type="min"/>
        <cfvo type="max"/>
        <color theme="7" tint="0.39997558519241921"/>
      </dataBar>
      <extLst>
        <ext xmlns:x14="http://schemas.microsoft.com/office/spreadsheetml/2009/9/main" uri="{B025F937-C7B1-47D3-B67F-A62EFF666E3E}">
          <x14:id>{8460F326-8A32-4359-B8A9-DA08D57EBB12}</x14:id>
        </ext>
      </extLst>
    </cfRule>
  </conditionalFormatting>
  <conditionalFormatting pivot="1" sqref="M2:M14">
    <cfRule type="dataBar" priority="11">
      <dataBar>
        <cfvo type="min"/>
        <cfvo type="max"/>
        <color rgb="FF008AEF"/>
      </dataBar>
      <extLst>
        <ext xmlns:x14="http://schemas.microsoft.com/office/spreadsheetml/2009/9/main" uri="{B025F937-C7B1-47D3-B67F-A62EFF666E3E}">
          <x14:id>{FAE46E7E-F3FF-49C5-A380-D879B9DF17A6}</x14:id>
        </ext>
      </extLst>
    </cfRule>
  </conditionalFormatting>
  <conditionalFormatting pivot="1" sqref="M2:M13">
    <cfRule type="dataBar" priority="10">
      <dataBar>
        <cfvo type="min"/>
        <cfvo type="max"/>
        <color theme="7" tint="0.39997558519241921"/>
      </dataBar>
      <extLst>
        <ext xmlns:x14="http://schemas.microsoft.com/office/spreadsheetml/2009/9/main" uri="{B025F937-C7B1-47D3-B67F-A62EFF666E3E}">
          <x14:id>{3948E8F3-8543-4551-8650-31693456B763}</x14:id>
        </ext>
      </extLst>
    </cfRule>
  </conditionalFormatting>
  <conditionalFormatting pivot="1" sqref="M2:M13">
    <cfRule type="dataBar" priority="9">
      <dataBar>
        <cfvo type="percentile" val="70"/>
        <cfvo type="max"/>
        <color theme="7" tint="0.39997558519241921"/>
      </dataBar>
      <extLst>
        <ext xmlns:x14="http://schemas.microsoft.com/office/spreadsheetml/2009/9/main" uri="{B025F937-C7B1-47D3-B67F-A62EFF666E3E}">
          <x14:id>{1B9F1583-78B5-4203-B6A9-27D94C0ABBA5}</x14:id>
        </ext>
      </extLst>
    </cfRule>
  </conditionalFormatting>
  <conditionalFormatting pivot="1" sqref="M2:M13">
    <cfRule type="dataBar" priority="8">
      <dataBar>
        <cfvo type="min"/>
        <cfvo type="max"/>
        <color theme="4" tint="0.39997558519241921"/>
      </dataBar>
      <extLst>
        <ext xmlns:x14="http://schemas.microsoft.com/office/spreadsheetml/2009/9/main" uri="{B025F937-C7B1-47D3-B67F-A62EFF666E3E}">
          <x14:id>{AB4C8560-7D5E-4824-B70B-C4F98F06192F}</x14:id>
        </ext>
      </extLst>
    </cfRule>
  </conditionalFormatting>
  <conditionalFormatting sqref="F1:F3501">
    <cfRule type="dataBar" priority="7">
      <dataBar>
        <cfvo type="min"/>
        <cfvo type="max"/>
        <color rgb="FF008AEF"/>
      </dataBar>
      <extLst>
        <ext xmlns:x14="http://schemas.microsoft.com/office/spreadsheetml/2009/9/main" uri="{B025F937-C7B1-47D3-B67F-A62EFF666E3E}">
          <x14:id>{37A9A875-9097-4031-819D-5F98C879FED1}</x14:id>
        </ext>
      </extLst>
    </cfRule>
  </conditionalFormatting>
  <conditionalFormatting pivot="1" sqref="L22:L31">
    <cfRule type="dataBar" priority="6">
      <dataBar>
        <cfvo type="min"/>
        <cfvo type="max"/>
        <color theme="7" tint="0.59999389629810485"/>
      </dataBar>
      <extLst>
        <ext xmlns:x14="http://schemas.microsoft.com/office/spreadsheetml/2009/9/main" uri="{B025F937-C7B1-47D3-B67F-A62EFF666E3E}">
          <x14:id>{68913150-7BAA-4BAC-853A-B4594AAC4E3D}</x14:id>
        </ext>
      </extLst>
    </cfRule>
  </conditionalFormatting>
  <conditionalFormatting pivot="1" sqref="L22:L32">
    <cfRule type="dataBar" priority="5">
      <dataBar>
        <cfvo type="num" val="0"/>
        <cfvo type="num" val="0"/>
        <color theme="7" tint="0.39997558519241921"/>
      </dataBar>
      <extLst>
        <ext xmlns:x14="http://schemas.microsoft.com/office/spreadsheetml/2009/9/main" uri="{B025F937-C7B1-47D3-B67F-A62EFF666E3E}">
          <x14:id>{64D92A00-B473-4814-83E9-D527555F1675}</x14:id>
        </ext>
      </extLst>
    </cfRule>
  </conditionalFormatting>
  <conditionalFormatting pivot="1" sqref="L22:L31">
    <cfRule type="dataBar" priority="4">
      <dataBar>
        <cfvo type="min"/>
        <cfvo type="max"/>
        <color theme="7" tint="0.59999389629810485"/>
      </dataBar>
      <extLst>
        <ext xmlns:x14="http://schemas.microsoft.com/office/spreadsheetml/2009/9/main" uri="{B025F937-C7B1-47D3-B67F-A62EFF666E3E}">
          <x14:id>{6B0E71B3-7571-492D-B414-6B85D51FB4A8}</x14:id>
        </ext>
      </extLst>
    </cfRule>
  </conditionalFormatting>
  <conditionalFormatting pivot="1" sqref="L22:L32">
    <cfRule type="dataBar" priority="3">
      <dataBar>
        <cfvo type="min"/>
        <cfvo type="max"/>
        <color theme="7" tint="0.39997558519241921"/>
      </dataBar>
      <extLst>
        <ext xmlns:x14="http://schemas.microsoft.com/office/spreadsheetml/2009/9/main" uri="{B025F937-C7B1-47D3-B67F-A62EFF666E3E}">
          <x14:id>{F4AA655C-ECEC-4C9A-9C06-4183E5C8C48D}</x14:id>
        </ext>
      </extLst>
    </cfRule>
  </conditionalFormatting>
  <conditionalFormatting pivot="1" sqref="L22:L32">
    <cfRule type="dataBar" priority="2">
      <dataBar>
        <cfvo type="min"/>
        <cfvo type="max"/>
        <color theme="7" tint="0.59999389629810485"/>
      </dataBar>
      <extLst>
        <ext xmlns:x14="http://schemas.microsoft.com/office/spreadsheetml/2009/9/main" uri="{B025F937-C7B1-47D3-B67F-A62EFF666E3E}">
          <x14:id>{57B54435-E203-4280-B838-33DE6899C7B0}</x14:id>
        </ext>
      </extLst>
    </cfRule>
  </conditionalFormatting>
  <conditionalFormatting pivot="1" sqref="L22:L31">
    <cfRule type="dataBar" priority="1">
      <dataBar>
        <cfvo type="min"/>
        <cfvo type="max"/>
        <color theme="7" tint="0.59999389629810485"/>
      </dataBar>
      <extLst>
        <ext xmlns:x14="http://schemas.microsoft.com/office/spreadsheetml/2009/9/main" uri="{B025F937-C7B1-47D3-B67F-A62EFF666E3E}">
          <x14:id>{CA37F270-1735-44D2-9499-B9AABA6B3C02}</x14:id>
        </ext>
      </extLst>
    </cfRule>
  </conditionalFormatting>
  <pageMargins left="0.7" right="0.7" top="0.75" bottom="0.75" header="0.3" footer="0.3"/>
  <pageSetup orientation="portrait" r:id="rId3"/>
  <tableParts count="1">
    <tablePart r:id="rId4"/>
  </tableParts>
  <extLst>
    <ext xmlns:x14="http://schemas.microsoft.com/office/spreadsheetml/2009/9/main" uri="{78C0D931-6437-407d-A8EE-F0AAD7539E65}">
      <x14:conditionalFormattings>
        <x14:conditionalFormatting xmlns:xm="http://schemas.microsoft.com/office/excel/2006/main">
          <x14:cfRule type="dataBar" id="{3533287E-2E1F-4385-9C42-F90B8384CD32}">
            <x14:dataBar minLength="0" maxLength="100" gradient="0">
              <x14:cfvo type="autoMin"/>
              <x14:cfvo type="autoMax"/>
              <x14:negativeFillColor rgb="FFFF0000"/>
              <x14:axisColor rgb="FF000000"/>
            </x14:dataBar>
          </x14:cfRule>
          <xm:sqref>G2:G3501</xm:sqref>
        </x14:conditionalFormatting>
        <x14:conditionalFormatting xmlns:xm="http://schemas.microsoft.com/office/excel/2006/main" pivot="1">
          <x14:cfRule type="dataBar" id="{8C3F1F0F-1E29-4F4C-B4EB-DF91A3DBE43A}">
            <x14:dataBar minLength="0" maxLength="100" gradient="0">
              <x14:cfvo type="autoMin"/>
              <x14:cfvo type="autoMax"/>
              <x14:negativeFillColor rgb="FFFF0000"/>
              <x14:axisColor rgb="FF000000"/>
            </x14:dataBar>
          </x14:cfRule>
          <xm:sqref>M2:M13</xm:sqref>
        </x14:conditionalFormatting>
        <x14:conditionalFormatting xmlns:xm="http://schemas.microsoft.com/office/excel/2006/main" pivot="1">
          <x14:cfRule type="dataBar" id="{E3C3238C-3C0A-4AFD-B843-1CE6F0BD4CC2}">
            <x14:dataBar minLength="0" maxLength="100" gradient="0">
              <x14:cfvo type="min"/>
              <x14:cfvo type="max"/>
              <x14:negativeFillColor rgb="FFFF0000"/>
              <x14:axisColor rgb="FF000000"/>
            </x14:dataBar>
          </x14:cfRule>
          <xm:sqref>M2:M13</xm:sqref>
        </x14:conditionalFormatting>
        <x14:conditionalFormatting xmlns:xm="http://schemas.microsoft.com/office/excel/2006/main" pivot="1">
          <x14:cfRule type="dataBar" id="{77835A02-662C-4CE6-B680-198E090562E2}">
            <x14:dataBar minLength="0" maxLength="100" gradient="0">
              <x14:cfvo type="min"/>
              <x14:cfvo type="max"/>
              <x14:negativeFillColor rgb="FFFF0000"/>
              <x14:axisColor rgb="FF000000"/>
            </x14:dataBar>
          </x14:cfRule>
          <xm:sqref>M2:M13</xm:sqref>
        </x14:conditionalFormatting>
        <x14:conditionalFormatting xmlns:xm="http://schemas.microsoft.com/office/excel/2006/main" pivot="1">
          <x14:cfRule type="dataBar" id="{D2843E41-AD85-40D2-845A-DCF3BB09E46B}">
            <x14:dataBar minLength="0" maxLength="100" gradient="0">
              <x14:cfvo type="percent">
                <xm:f>50</xm:f>
              </x14:cfvo>
              <x14:cfvo type="max"/>
              <x14:negativeFillColor rgb="FFFF0000"/>
              <x14:axisColor rgb="FF000000"/>
            </x14:dataBar>
          </x14:cfRule>
          <xm:sqref>M2:M14</xm:sqref>
        </x14:conditionalFormatting>
        <x14:conditionalFormatting xmlns:xm="http://schemas.microsoft.com/office/excel/2006/main" pivot="1">
          <x14:cfRule type="dataBar" id="{43AA720E-4B37-4F01-83B2-5CE53BC75795}">
            <x14:dataBar minLength="0" maxLength="100" gradient="0">
              <x14:cfvo type="autoMin"/>
              <x14:cfvo type="max"/>
              <x14:negativeFillColor rgb="FFFF0000"/>
              <x14:axisColor rgb="FF000000"/>
            </x14:dataBar>
          </x14:cfRule>
          <xm:sqref>M2:M14</xm:sqref>
        </x14:conditionalFormatting>
        <x14:conditionalFormatting xmlns:xm="http://schemas.microsoft.com/office/excel/2006/main" pivot="1">
          <x14:cfRule type="dataBar" id="{7A0137F6-FBF6-4367-9100-52008841E2E1}">
            <x14:dataBar minLength="0" maxLength="100" gradient="0">
              <x14:cfvo type="autoMin"/>
              <x14:cfvo type="max"/>
              <x14:negativeFillColor rgb="FFFF0000"/>
              <x14:axisColor rgb="FF000000"/>
            </x14:dataBar>
          </x14:cfRule>
          <xm:sqref>M2:M14</xm:sqref>
        </x14:conditionalFormatting>
        <x14:conditionalFormatting xmlns:xm="http://schemas.microsoft.com/office/excel/2006/main">
          <x14:cfRule type="dataBar" id="{E4EE747F-5C66-49E7-9856-7D2840850428}">
            <x14:dataBar minLength="0" maxLength="100" gradient="0">
              <x14:cfvo type="autoMin"/>
              <x14:cfvo type="autoMax"/>
              <x14:negativeFillColor rgb="FFFF0000"/>
              <x14:axisColor rgb="FF000000"/>
            </x14:dataBar>
          </x14:cfRule>
          <xm:sqref>M1</xm:sqref>
        </x14:conditionalFormatting>
        <x14:conditionalFormatting xmlns:xm="http://schemas.microsoft.com/office/excel/2006/main" pivot="1">
          <x14:cfRule type="dataBar" id="{8460F326-8A32-4359-B8A9-DA08D57EBB12}">
            <x14:dataBar minLength="0" maxLength="100" gradient="0">
              <x14:cfvo type="autoMin"/>
              <x14:cfvo type="autoMax"/>
              <x14:negativeFillColor rgb="FFFF0000"/>
              <x14:axisColor rgb="FF000000"/>
            </x14:dataBar>
          </x14:cfRule>
          <xm:sqref>M2:M14</xm:sqref>
        </x14:conditionalFormatting>
        <x14:conditionalFormatting xmlns:xm="http://schemas.microsoft.com/office/excel/2006/main" pivot="1">
          <x14:cfRule type="dataBar" id="{FAE46E7E-F3FF-49C5-A380-D879B9DF17A6}">
            <x14:dataBar minLength="0" maxLength="100" gradient="0">
              <x14:cfvo type="autoMin"/>
              <x14:cfvo type="max"/>
              <x14:negativeFillColor rgb="FFFF0000"/>
              <x14:axisColor rgb="FF000000"/>
            </x14:dataBar>
          </x14:cfRule>
          <xm:sqref>M2:M14</xm:sqref>
        </x14:conditionalFormatting>
        <x14:conditionalFormatting xmlns:xm="http://schemas.microsoft.com/office/excel/2006/main" pivot="1">
          <x14:cfRule type="dataBar" id="{3948E8F3-8543-4551-8650-31693456B763}">
            <x14:dataBar minLength="0" maxLength="100" gradient="0">
              <x14:cfvo type="min"/>
              <x14:cfvo type="autoMax"/>
              <x14:negativeFillColor rgb="FFFF0000"/>
              <x14:axisColor rgb="FF000000"/>
            </x14:dataBar>
          </x14:cfRule>
          <xm:sqref>M2:M13</xm:sqref>
        </x14:conditionalFormatting>
        <x14:conditionalFormatting xmlns:xm="http://schemas.microsoft.com/office/excel/2006/main" pivot="1">
          <x14:cfRule type="dataBar" id="{1B9F1583-78B5-4203-B6A9-27D94C0ABBA5}">
            <x14:dataBar minLength="0" maxLength="100" gradient="0">
              <x14:cfvo type="percentile">
                <xm:f>70</xm:f>
              </x14:cfvo>
              <x14:cfvo type="max"/>
              <x14:negativeFillColor rgb="FFFF0000"/>
              <x14:axisColor rgb="FF000000"/>
            </x14:dataBar>
          </x14:cfRule>
          <xm:sqref>M2:M13</xm:sqref>
        </x14:conditionalFormatting>
        <x14:conditionalFormatting xmlns:xm="http://schemas.microsoft.com/office/excel/2006/main" pivot="1">
          <x14:cfRule type="dataBar" id="{AB4C8560-7D5E-4824-B70B-C4F98F06192F}">
            <x14:dataBar minLength="0" maxLength="100" border="1" gradient="0">
              <x14:cfvo type="min"/>
              <x14:cfvo type="max"/>
              <x14:borderColor theme="7" tint="0.59999389629810485"/>
              <x14:negativeFillColor rgb="FFFF0000"/>
              <x14:axisColor rgb="FF000000"/>
            </x14:dataBar>
          </x14:cfRule>
          <xm:sqref>M2:M13</xm:sqref>
        </x14:conditionalFormatting>
        <x14:conditionalFormatting xmlns:xm="http://schemas.microsoft.com/office/excel/2006/main">
          <x14:cfRule type="dataBar" id="{37A9A875-9097-4031-819D-5F98C879FED1}">
            <x14:dataBar minLength="0" maxLength="100" gradient="0">
              <x14:cfvo type="autoMin"/>
              <x14:cfvo type="autoMax"/>
              <x14:negativeFillColor rgb="FFFF0000"/>
              <x14:axisColor rgb="FF000000"/>
            </x14:dataBar>
          </x14:cfRule>
          <xm:sqref>F1:F3501</xm:sqref>
        </x14:conditionalFormatting>
        <x14:conditionalFormatting xmlns:xm="http://schemas.microsoft.com/office/excel/2006/main" pivot="1">
          <x14:cfRule type="dataBar" id="{68913150-7BAA-4BAC-853A-B4594AAC4E3D}">
            <x14:dataBar minLength="0" maxLength="100" gradient="0">
              <x14:cfvo type="autoMin"/>
              <x14:cfvo type="autoMax"/>
              <x14:negativeFillColor rgb="FFFF0000"/>
              <x14:axisColor rgb="FF000000"/>
            </x14:dataBar>
          </x14:cfRule>
          <xm:sqref>L22:L31</xm:sqref>
        </x14:conditionalFormatting>
        <x14:conditionalFormatting xmlns:xm="http://schemas.microsoft.com/office/excel/2006/main" pivot="1">
          <x14:cfRule type="dataBar" id="{64D92A00-B473-4814-83E9-D527555F1675}">
            <x14:dataBar minLength="0" maxLength="100" gradient="0">
              <x14:cfvo type="num">
                <xm:f>0</xm:f>
              </x14:cfvo>
              <x14:cfvo type="num">
                <xm:f>0</xm:f>
              </x14:cfvo>
              <x14:negativeFillColor rgb="FFFF0000"/>
              <x14:axisColor rgb="FF000000"/>
            </x14:dataBar>
          </x14:cfRule>
          <xm:sqref>L22:L32</xm:sqref>
        </x14:conditionalFormatting>
        <x14:conditionalFormatting xmlns:xm="http://schemas.microsoft.com/office/excel/2006/main" pivot="1">
          <x14:cfRule type="dataBar" id="{6B0E71B3-7571-492D-B414-6B85D51FB4A8}">
            <x14:dataBar minLength="0" maxLength="100" gradient="0">
              <x14:cfvo type="min"/>
              <x14:cfvo type="max"/>
              <x14:negativeFillColor rgb="FFFF0000"/>
              <x14:axisColor rgb="FF000000"/>
            </x14:dataBar>
          </x14:cfRule>
          <xm:sqref>L22:L31</xm:sqref>
        </x14:conditionalFormatting>
        <x14:conditionalFormatting xmlns:xm="http://schemas.microsoft.com/office/excel/2006/main" pivot="1">
          <x14:cfRule type="dataBar" id="{F4AA655C-ECEC-4C9A-9C06-4183E5C8C48D}">
            <x14:dataBar minLength="0" maxLength="100" gradient="0">
              <x14:cfvo type="min"/>
              <x14:cfvo type="max"/>
              <x14:negativeFillColor rgb="FFFF0000"/>
              <x14:axisColor rgb="FF000000"/>
            </x14:dataBar>
          </x14:cfRule>
          <xm:sqref>L22:L32</xm:sqref>
        </x14:conditionalFormatting>
        <x14:conditionalFormatting xmlns:xm="http://schemas.microsoft.com/office/excel/2006/main" pivot="1">
          <x14:cfRule type="dataBar" id="{57B54435-E203-4280-B838-33DE6899C7B0}">
            <x14:dataBar minLength="0" maxLength="100" gradient="0">
              <x14:cfvo type="autoMin"/>
              <x14:cfvo type="autoMax"/>
              <x14:negativeFillColor rgb="FFFF0000"/>
              <x14:axisColor rgb="FF000000"/>
            </x14:dataBar>
          </x14:cfRule>
          <xm:sqref>L22:L32</xm:sqref>
        </x14:conditionalFormatting>
        <x14:conditionalFormatting xmlns:xm="http://schemas.microsoft.com/office/excel/2006/main" pivot="1">
          <x14:cfRule type="dataBar" id="{CA37F270-1735-44D2-9499-B9AABA6B3C02}">
            <x14:dataBar minLength="0" maxLength="100" gradient="0">
              <x14:cfvo type="min"/>
              <x14:cfvo type="max"/>
              <x14:negativeFillColor rgb="FFFF0000"/>
              <x14:axisColor rgb="FF000000"/>
            </x14:dataBar>
          </x14:cfRule>
          <xm:sqref>L22:L31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C39AB-4A45-449E-A524-3E391AD884A6}">
  <dimension ref="A1:O33"/>
  <sheetViews>
    <sheetView tabSelected="1" workbookViewId="0">
      <selection activeCell="C5" sqref="C5"/>
    </sheetView>
  </sheetViews>
  <sheetFormatPr defaultRowHeight="14.4" x14ac:dyDescent="0.3"/>
  <cols>
    <col min="1" max="1" width="11.6640625" bestFit="1" customWidth="1"/>
    <col min="2" max="2" width="12.88671875" bestFit="1" customWidth="1"/>
    <col min="3" max="3" width="5.33203125" customWidth="1"/>
    <col min="4" max="4" width="8.88671875" customWidth="1"/>
    <col min="5" max="5" width="12.21875" customWidth="1"/>
    <col min="6" max="6" width="15.109375" bestFit="1" customWidth="1"/>
    <col min="7" max="7" width="10.88671875" bestFit="1" customWidth="1"/>
    <col min="8" max="8" width="8.77734375" customWidth="1"/>
    <col min="9" max="9" width="10.33203125" bestFit="1" customWidth="1"/>
    <col min="10" max="10" width="8.88671875" customWidth="1"/>
    <col min="11" max="11" width="17.77734375" customWidth="1"/>
    <col min="12" max="12" width="11.44140625" customWidth="1"/>
    <col min="13" max="13" width="28.5546875" customWidth="1"/>
    <col min="14" max="14" width="14.77734375" customWidth="1"/>
    <col min="15" max="15" width="12.44140625" bestFit="1" customWidth="1"/>
    <col min="16" max="17" width="11.5546875" bestFit="1" customWidth="1"/>
  </cols>
  <sheetData>
    <row r="1" spans="1:14" ht="31.2" x14ac:dyDescent="0.6">
      <c r="A1" s="39" t="s">
        <v>69</v>
      </c>
      <c r="B1" s="39"/>
      <c r="C1" s="35"/>
      <c r="F1" s="37" t="s">
        <v>68</v>
      </c>
      <c r="G1" s="38"/>
      <c r="H1" s="38"/>
      <c r="I1" s="38"/>
      <c r="J1" s="38"/>
      <c r="K1" s="38"/>
    </row>
    <row r="2" spans="1:14" ht="15.6" x14ac:dyDescent="0.3">
      <c r="A2" s="17" t="s">
        <v>1</v>
      </c>
      <c r="B2" s="17" t="s">
        <v>28</v>
      </c>
    </row>
    <row r="3" spans="1:14" ht="18" x14ac:dyDescent="0.35">
      <c r="A3" s="18" t="s">
        <v>17</v>
      </c>
      <c r="B3" s="19">
        <v>1177381</v>
      </c>
      <c r="M3" s="30" t="s">
        <v>61</v>
      </c>
      <c r="N3" s="33" t="s">
        <v>16</v>
      </c>
    </row>
    <row r="4" spans="1:14" ht="18" x14ac:dyDescent="0.35">
      <c r="A4" s="18" t="s">
        <v>18</v>
      </c>
      <c r="B4" s="19">
        <v>988638</v>
      </c>
      <c r="M4" s="30" t="s">
        <v>60</v>
      </c>
      <c r="N4" s="33" t="s">
        <v>14</v>
      </c>
    </row>
    <row r="5" spans="1:14" ht="15.6" x14ac:dyDescent="0.3">
      <c r="A5" s="18" t="s">
        <v>22</v>
      </c>
      <c r="B5" s="19">
        <v>1024507</v>
      </c>
    </row>
    <row r="6" spans="1:14" ht="15.6" x14ac:dyDescent="0.3">
      <c r="A6" s="18" t="s">
        <v>23</v>
      </c>
      <c r="B6" s="19">
        <v>1005873</v>
      </c>
    </row>
    <row r="7" spans="1:14" ht="18" x14ac:dyDescent="0.35">
      <c r="A7" s="18" t="s">
        <v>20</v>
      </c>
      <c r="B7" s="19">
        <v>1152974</v>
      </c>
      <c r="M7" s="31" t="s">
        <v>62</v>
      </c>
      <c r="N7" s="33" t="s">
        <v>9</v>
      </c>
    </row>
    <row r="8" spans="1:14" ht="18" x14ac:dyDescent="0.35">
      <c r="A8" s="18" t="s">
        <v>10</v>
      </c>
      <c r="B8" s="19">
        <v>1074398</v>
      </c>
      <c r="M8" s="31" t="s">
        <v>63</v>
      </c>
      <c r="N8" s="33" t="s">
        <v>8</v>
      </c>
    </row>
    <row r="9" spans="1:14" ht="15.6" x14ac:dyDescent="0.3">
      <c r="A9" s="18" t="s">
        <v>7</v>
      </c>
      <c r="B9" s="19">
        <v>1094216</v>
      </c>
    </row>
    <row r="10" spans="1:14" ht="15.6" x14ac:dyDescent="0.3">
      <c r="A10" s="18" t="s">
        <v>21</v>
      </c>
      <c r="B10" s="19">
        <v>1069681</v>
      </c>
    </row>
    <row r="11" spans="1:14" ht="15.6" x14ac:dyDescent="0.3">
      <c r="A11" s="18" t="s">
        <v>19</v>
      </c>
      <c r="B11" s="19">
        <v>1049211</v>
      </c>
    </row>
    <row r="12" spans="1:14" ht="15.6" x14ac:dyDescent="0.3">
      <c r="A12" s="18" t="s">
        <v>13</v>
      </c>
      <c r="B12" s="19">
        <v>1023928</v>
      </c>
    </row>
    <row r="13" spans="1:14" ht="15.6" x14ac:dyDescent="0.3">
      <c r="A13" s="20" t="s">
        <v>27</v>
      </c>
      <c r="B13" s="21">
        <v>10660807</v>
      </c>
    </row>
    <row r="15" spans="1:14" ht="25.8" x14ac:dyDescent="0.5">
      <c r="A15" s="39" t="s">
        <v>70</v>
      </c>
      <c r="B15" s="39"/>
    </row>
    <row r="16" spans="1:14" ht="15.6" x14ac:dyDescent="0.3">
      <c r="A16" s="22" t="s">
        <v>3</v>
      </c>
      <c r="B16" s="22" t="s">
        <v>28</v>
      </c>
    </row>
    <row r="17" spans="1:14" ht="15.6" x14ac:dyDescent="0.3">
      <c r="A17" s="26" t="s">
        <v>12</v>
      </c>
      <c r="B17" s="27">
        <v>2675110</v>
      </c>
    </row>
    <row r="18" spans="1:14" ht="15.6" x14ac:dyDescent="0.3">
      <c r="A18" s="26" t="s">
        <v>9</v>
      </c>
      <c r="B18" s="27">
        <v>2488773</v>
      </c>
    </row>
    <row r="19" spans="1:14" ht="15.6" x14ac:dyDescent="0.3">
      <c r="A19" s="26" t="s">
        <v>15</v>
      </c>
      <c r="B19" s="27">
        <v>2652474</v>
      </c>
    </row>
    <row r="20" spans="1:14" ht="15.6" x14ac:dyDescent="0.3">
      <c r="A20" s="26" t="s">
        <v>16</v>
      </c>
      <c r="B20" s="27">
        <v>2844450</v>
      </c>
    </row>
    <row r="21" spans="1:14" ht="15.6" x14ac:dyDescent="0.3">
      <c r="A21" s="23" t="s">
        <v>27</v>
      </c>
      <c r="B21" s="24">
        <v>10660807</v>
      </c>
    </row>
    <row r="23" spans="1:14" ht="25.8" x14ac:dyDescent="0.5">
      <c r="A23" s="39" t="s">
        <v>71</v>
      </c>
      <c r="B23" s="39"/>
      <c r="C23" s="36"/>
    </row>
    <row r="24" spans="1:14" ht="15.6" x14ac:dyDescent="0.3">
      <c r="A24" s="17" t="s">
        <v>2</v>
      </c>
      <c r="B24" s="17" t="s">
        <v>28</v>
      </c>
    </row>
    <row r="25" spans="1:14" ht="15.6" x14ac:dyDescent="0.3">
      <c r="A25" s="18" t="s">
        <v>11</v>
      </c>
      <c r="B25" s="19">
        <v>4240517</v>
      </c>
    </row>
    <row r="26" spans="1:14" ht="15.6" x14ac:dyDescent="0.3">
      <c r="A26" s="18" t="s">
        <v>14</v>
      </c>
      <c r="B26" s="19">
        <v>5326074</v>
      </c>
    </row>
    <row r="27" spans="1:14" ht="15.6" x14ac:dyDescent="0.3">
      <c r="A27" s="18" t="s">
        <v>8</v>
      </c>
      <c r="B27" s="19">
        <v>1094216</v>
      </c>
    </row>
    <row r="28" spans="1:14" ht="18" x14ac:dyDescent="0.35">
      <c r="A28" s="23" t="s">
        <v>27</v>
      </c>
      <c r="B28" s="25">
        <v>10660807</v>
      </c>
      <c r="M28" s="32" t="s">
        <v>64</v>
      </c>
      <c r="N28" s="34">
        <v>2844450</v>
      </c>
    </row>
    <row r="29" spans="1:14" ht="18" x14ac:dyDescent="0.35">
      <c r="M29" s="32" t="s">
        <v>65</v>
      </c>
      <c r="N29" s="34">
        <v>5326074</v>
      </c>
    </row>
    <row r="32" spans="1:14" ht="18" x14ac:dyDescent="0.35">
      <c r="M32" s="32" t="s">
        <v>66</v>
      </c>
      <c r="N32" s="33">
        <v>2488773</v>
      </c>
    </row>
    <row r="33" spans="13:15" ht="18" x14ac:dyDescent="0.35">
      <c r="M33" s="32" t="s">
        <v>67</v>
      </c>
      <c r="N33" s="33">
        <v>1094216</v>
      </c>
      <c r="O33" s="29"/>
    </row>
  </sheetData>
  <mergeCells count="4">
    <mergeCell ref="F1:K1"/>
    <mergeCell ref="A15:B15"/>
    <mergeCell ref="A1:B1"/>
    <mergeCell ref="A23:B23"/>
  </mergeCells>
  <conditionalFormatting pivot="1" sqref="B3:B12">
    <cfRule type="dataBar" priority="4">
      <dataBar>
        <cfvo type="min"/>
        <cfvo type="max"/>
        <color rgb="FF008AEF"/>
      </dataBar>
      <extLst>
        <ext xmlns:x14="http://schemas.microsoft.com/office/spreadsheetml/2009/9/main" uri="{B025F937-C7B1-47D3-B67F-A62EFF666E3E}">
          <x14:id>{A66701A6-1BAD-40D1-85B0-463715B5AB71}</x14:id>
        </ext>
      </extLst>
    </cfRule>
  </conditionalFormatting>
  <conditionalFormatting pivot="1" sqref="B17:B20">
    <cfRule type="dataBar" priority="3">
      <dataBar>
        <cfvo type="min"/>
        <cfvo type="max"/>
        <color rgb="FF008AEF"/>
      </dataBar>
      <extLst>
        <ext xmlns:x14="http://schemas.microsoft.com/office/spreadsheetml/2009/9/main" uri="{B025F937-C7B1-47D3-B67F-A62EFF666E3E}">
          <x14:id>{0A1E064A-0C07-4502-B401-8214BE5DB138}</x14:id>
        </ext>
      </extLst>
    </cfRule>
  </conditionalFormatting>
  <conditionalFormatting pivot="1" sqref="B25:B27">
    <cfRule type="dataBar" priority="2">
      <dataBar>
        <cfvo type="min"/>
        <cfvo type="max"/>
        <color rgb="FF008AEF"/>
      </dataBar>
      <extLst>
        <ext xmlns:x14="http://schemas.microsoft.com/office/spreadsheetml/2009/9/main" uri="{B025F937-C7B1-47D3-B67F-A62EFF666E3E}">
          <x14:id>{65478E62-B669-41BA-AA46-7E065A502084}</x14:id>
        </ext>
      </extLst>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A66701A6-1BAD-40D1-85B0-463715B5AB71}">
            <x14:dataBar minLength="0" maxLength="100" gradient="0">
              <x14:cfvo type="autoMin"/>
              <x14:cfvo type="autoMax"/>
              <x14:negativeFillColor rgb="FFFF0000"/>
              <x14:axisColor rgb="FF000000"/>
            </x14:dataBar>
          </x14:cfRule>
          <xm:sqref>B3:B12</xm:sqref>
        </x14:conditionalFormatting>
        <x14:conditionalFormatting xmlns:xm="http://schemas.microsoft.com/office/excel/2006/main" pivot="1">
          <x14:cfRule type="dataBar" id="{0A1E064A-0C07-4502-B401-8214BE5DB138}">
            <x14:dataBar minLength="0" maxLength="100" gradient="0">
              <x14:cfvo type="autoMin"/>
              <x14:cfvo type="autoMax"/>
              <x14:negativeFillColor rgb="FFFF0000"/>
              <x14:axisColor rgb="FF000000"/>
            </x14:dataBar>
          </x14:cfRule>
          <xm:sqref>B17:B20</xm:sqref>
        </x14:conditionalFormatting>
        <x14:conditionalFormatting xmlns:xm="http://schemas.microsoft.com/office/excel/2006/main" pivot="1">
          <x14:cfRule type="dataBar" id="{65478E62-B669-41BA-AA46-7E065A502084}">
            <x14:dataBar minLength="0" maxLength="100" gradient="0">
              <x14:cfvo type="autoMin"/>
              <x14:cfvo type="autoMax"/>
              <x14:negativeFillColor rgb="FFFF0000"/>
              <x14:axisColor rgb="FF000000"/>
            </x14:dataBar>
          </x14:cfRule>
          <xm:sqref>B25:B27</xm:sqref>
        </x14:conditionalFormatting>
      </x14:conditionalFormattings>
    </ext>
    <ext xmlns:x14="http://schemas.microsoft.com/office/spreadsheetml/2009/9/main" uri="{A8765BA9-456A-4dab-B4F3-ACF838C121DE}">
      <x14:slicerList>
        <x14:slicer r:id="rId5"/>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26FB09E-8E8B-457B-9D04-5D0FA2199EF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Data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gautam kumar</dc:creator>
  <cp:lastModifiedBy>gautam kumar</cp:lastModifiedBy>
  <dcterms:created xsi:type="dcterms:W3CDTF">2026-03-13T09:03:27Z</dcterms:created>
  <dcterms:modified xsi:type="dcterms:W3CDTF">2026-03-16T12:18:42Z</dcterms:modified>
</cp:coreProperties>
</file>